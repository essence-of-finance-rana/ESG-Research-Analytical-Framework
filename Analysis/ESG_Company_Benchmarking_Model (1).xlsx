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8_{B4077B93-0E65-47BE-97AE-6E7B124388C2}" xr6:coauthVersionLast="47" xr6:coauthVersionMax="47" xr10:uidLastSave="{00000000-0000-0000-0000-000000000000}"/>
  <bookViews>
    <workbookView xWindow="-110" yWindow="-110" windowWidth="19420" windowHeight="10300" tabRatio="500" firstSheet="1" activeTab="1" xr2:uid="{00000000-000D-0000-FFFF-FFFF00000000}"/>
  </bookViews>
  <sheets>
    <sheet name="Raw Data" sheetId="1" r:id="rId1"/>
    <sheet name="Benchmarking" sheetId="2" r:id="rId2"/>
    <sheet name="Pillar Analysis" sheetId="3" r:id="rId3"/>
    <sheet name="Rankings" sheetId="4" r:id="rId4"/>
    <sheet name="Dashboard" sheetId="5" r:id="rId5"/>
    <sheet name="Executive Summary" sheetId="6" r:id="rId6"/>
    <sheet name="Industry Stats" sheetId="7" state="hidden" r:id="rId7"/>
  </sheets>
  <definedNames>
    <definedName name="_xlnm._FilterDatabase" localSheetId="1" hidden="1">Benchmarking!$A$3:$P$725</definedName>
    <definedName name="_xlnm._FilterDatabase" localSheetId="2" hidden="1">'Pillar Analysis'!$A$3:$Q$725</definedName>
    <definedName name="ExternalData_1" localSheetId="0" hidden="1">'Raw Data'!$A$1:$U$723</definedName>
  </definedNames>
  <calcPr calcId="191029"/>
  <fileRecoveryPr repairLoad="1"/>
  <extLst>
    <ext xmlns:loext="http://schemas.libreoffice.org/" uri="{7626C862-2A13-11E5-B345-FEFF819CDC9F}">
      <loext:extCalcPr stringRefSyntax="ExcelA1"/>
    </ext>
  </extLst>
</workbook>
</file>

<file path=xl/calcChain.xml><?xml version="1.0" encoding="utf-8"?>
<calcChain xmlns="http://schemas.openxmlformats.org/spreadsheetml/2006/main">
  <c r="C81" i="6" l="1"/>
  <c r="C80" i="6"/>
  <c r="C79" i="6"/>
  <c r="C6" i="5"/>
  <c r="R725" i="2"/>
  <c r="G725" i="2"/>
  <c r="G725" i="3" s="1"/>
  <c r="F725" i="2"/>
  <c r="F725" i="3" s="1"/>
  <c r="E725" i="2"/>
  <c r="E725" i="3" s="1"/>
  <c r="K725" i="3" s="1"/>
  <c r="D725" i="2"/>
  <c r="D725" i="3" s="1"/>
  <c r="C725" i="2"/>
  <c r="C725" i="3" s="1"/>
  <c r="B725" i="2"/>
  <c r="B725" i="3" s="1"/>
  <c r="A725" i="2"/>
  <c r="A725" i="3" s="1"/>
  <c r="U724" i="2"/>
  <c r="R724" i="2"/>
  <c r="G724" i="2"/>
  <c r="G724" i="3" s="1"/>
  <c r="F724" i="2"/>
  <c r="F724" i="3" s="1"/>
  <c r="E724" i="2"/>
  <c r="E724" i="3" s="1"/>
  <c r="K724" i="3" s="1"/>
  <c r="D724" i="2"/>
  <c r="D724" i="3" s="1"/>
  <c r="C724" i="2"/>
  <c r="C724" i="3" s="1"/>
  <c r="B724" i="2"/>
  <c r="B724" i="3" s="1"/>
  <c r="A724" i="2"/>
  <c r="A724" i="3" s="1"/>
  <c r="S723" i="2"/>
  <c r="G723" i="2"/>
  <c r="G723" i="3" s="1"/>
  <c r="F723" i="2"/>
  <c r="F723" i="3" s="1"/>
  <c r="E723" i="2"/>
  <c r="E723" i="3" s="1"/>
  <c r="K723" i="3" s="1"/>
  <c r="D723" i="2"/>
  <c r="D723" i="3" s="1"/>
  <c r="C723" i="2"/>
  <c r="C723" i="3" s="1"/>
  <c r="B723" i="2"/>
  <c r="B723" i="3" s="1"/>
  <c r="A723" i="2"/>
  <c r="A723" i="3" s="1"/>
  <c r="U722" i="2"/>
  <c r="R722" i="2"/>
  <c r="G722" i="2"/>
  <c r="G722" i="3" s="1"/>
  <c r="F722" i="2"/>
  <c r="F722" i="3" s="1"/>
  <c r="E722" i="2"/>
  <c r="E722" i="3" s="1"/>
  <c r="K722" i="3" s="1"/>
  <c r="D722" i="2"/>
  <c r="D722" i="3" s="1"/>
  <c r="C722" i="2"/>
  <c r="C722" i="3" s="1"/>
  <c r="B722" i="2"/>
  <c r="B722" i="3" s="1"/>
  <c r="A722" i="2"/>
  <c r="A722" i="3" s="1"/>
  <c r="T721" i="2"/>
  <c r="S721" i="2"/>
  <c r="G721" i="2"/>
  <c r="G721" i="3" s="1"/>
  <c r="F721" i="2"/>
  <c r="F721" i="3" s="1"/>
  <c r="E721" i="2"/>
  <c r="E721" i="3" s="1"/>
  <c r="K721" i="3" s="1"/>
  <c r="D721" i="2"/>
  <c r="D721" i="3" s="1"/>
  <c r="C721" i="2"/>
  <c r="C721" i="3" s="1"/>
  <c r="B721" i="2"/>
  <c r="B721" i="3" s="1"/>
  <c r="A721" i="2"/>
  <c r="A721" i="3" s="1"/>
  <c r="G720" i="2"/>
  <c r="G720" i="3" s="1"/>
  <c r="F720" i="2"/>
  <c r="F720" i="3" s="1"/>
  <c r="E720" i="2"/>
  <c r="D720" i="2"/>
  <c r="D720" i="3" s="1"/>
  <c r="C720" i="2"/>
  <c r="C720" i="3" s="1"/>
  <c r="B720" i="2"/>
  <c r="B720" i="3" s="1"/>
  <c r="A720" i="2"/>
  <c r="A720" i="3" s="1"/>
  <c r="T719" i="2"/>
  <c r="G719" i="2"/>
  <c r="G719" i="3" s="1"/>
  <c r="F719" i="2"/>
  <c r="F719" i="3" s="1"/>
  <c r="E719" i="2"/>
  <c r="E719" i="3" s="1"/>
  <c r="K719" i="3" s="1"/>
  <c r="D719" i="2"/>
  <c r="D719" i="3" s="1"/>
  <c r="C719" i="2"/>
  <c r="B719" i="2"/>
  <c r="B719" i="3" s="1"/>
  <c r="A719" i="2"/>
  <c r="A719" i="3" s="1"/>
  <c r="U718" i="2"/>
  <c r="T718" i="2"/>
  <c r="R718" i="2"/>
  <c r="G718" i="2"/>
  <c r="G718" i="3" s="1"/>
  <c r="F718" i="2"/>
  <c r="F718" i="3" s="1"/>
  <c r="E718" i="2"/>
  <c r="E718" i="3" s="1"/>
  <c r="K718" i="3" s="1"/>
  <c r="D718" i="2"/>
  <c r="D718" i="3" s="1"/>
  <c r="C718" i="2"/>
  <c r="C718" i="3" s="1"/>
  <c r="B718" i="2"/>
  <c r="B718" i="3" s="1"/>
  <c r="A718" i="2"/>
  <c r="A718" i="3" s="1"/>
  <c r="T717" i="2"/>
  <c r="S717" i="2"/>
  <c r="G717" i="2"/>
  <c r="F717" i="2"/>
  <c r="F717" i="3" s="1"/>
  <c r="E717" i="2"/>
  <c r="E717" i="3" s="1"/>
  <c r="K717" i="3" s="1"/>
  <c r="D717" i="2"/>
  <c r="D717" i="3" s="1"/>
  <c r="C717" i="2"/>
  <c r="C717" i="3" s="1"/>
  <c r="B717" i="2"/>
  <c r="B717" i="3" s="1"/>
  <c r="A717" i="2"/>
  <c r="A717" i="3" s="1"/>
  <c r="G716" i="2"/>
  <c r="G716" i="3" s="1"/>
  <c r="F716" i="2"/>
  <c r="F716" i="3" s="1"/>
  <c r="E716" i="2"/>
  <c r="D716" i="2"/>
  <c r="D716" i="3" s="1"/>
  <c r="C716" i="2"/>
  <c r="C716" i="3" s="1"/>
  <c r="B716" i="2"/>
  <c r="B716" i="3" s="1"/>
  <c r="A716" i="2"/>
  <c r="A716" i="3" s="1"/>
  <c r="T715" i="2"/>
  <c r="G715" i="2"/>
  <c r="G715" i="3" s="1"/>
  <c r="F715" i="2"/>
  <c r="F715" i="3" s="1"/>
  <c r="E715" i="2"/>
  <c r="E715" i="3" s="1"/>
  <c r="K715" i="3" s="1"/>
  <c r="D715" i="2"/>
  <c r="D715" i="3" s="1"/>
  <c r="C715" i="2"/>
  <c r="B715" i="2"/>
  <c r="B715" i="3" s="1"/>
  <c r="A715" i="2"/>
  <c r="A715" i="3" s="1"/>
  <c r="U714" i="2"/>
  <c r="T714" i="2"/>
  <c r="R714" i="2"/>
  <c r="G714" i="2"/>
  <c r="G714" i="3" s="1"/>
  <c r="F714" i="2"/>
  <c r="F714" i="3" s="1"/>
  <c r="E714" i="2"/>
  <c r="E714" i="3" s="1"/>
  <c r="K714" i="3" s="1"/>
  <c r="D714" i="2"/>
  <c r="D714" i="3" s="1"/>
  <c r="C714" i="2"/>
  <c r="C714" i="3" s="1"/>
  <c r="B714" i="2"/>
  <c r="B714" i="3" s="1"/>
  <c r="A714" i="2"/>
  <c r="A714" i="3" s="1"/>
  <c r="U713" i="2"/>
  <c r="T713" i="2"/>
  <c r="G713" i="2"/>
  <c r="F713" i="2"/>
  <c r="F713" i="3" s="1"/>
  <c r="E713" i="2"/>
  <c r="E713" i="3" s="1"/>
  <c r="K713" i="3" s="1"/>
  <c r="D713" i="2"/>
  <c r="D713" i="3" s="1"/>
  <c r="C713" i="2"/>
  <c r="C713" i="3" s="1"/>
  <c r="B713" i="2"/>
  <c r="B713" i="3" s="1"/>
  <c r="A713" i="2"/>
  <c r="A713" i="3" s="1"/>
  <c r="S712" i="2"/>
  <c r="G712" i="2"/>
  <c r="F712" i="2"/>
  <c r="F712" i="3" s="1"/>
  <c r="E712" i="2"/>
  <c r="D712" i="2"/>
  <c r="D712" i="3" s="1"/>
  <c r="C712" i="2"/>
  <c r="C712" i="3" s="1"/>
  <c r="B712" i="2"/>
  <c r="B712" i="3" s="1"/>
  <c r="A712" i="2"/>
  <c r="A712" i="3" s="1"/>
  <c r="G711" i="2"/>
  <c r="G711" i="3" s="1"/>
  <c r="F711" i="2"/>
  <c r="F711" i="3" s="1"/>
  <c r="E711" i="2"/>
  <c r="D711" i="2"/>
  <c r="D711" i="3" s="1"/>
  <c r="C711" i="2"/>
  <c r="B711" i="2"/>
  <c r="B711" i="3" s="1"/>
  <c r="A711" i="2"/>
  <c r="A711" i="3" s="1"/>
  <c r="T710" i="2"/>
  <c r="R710" i="2"/>
  <c r="G710" i="2"/>
  <c r="G710" i="3" s="1"/>
  <c r="F710" i="2"/>
  <c r="F710" i="3" s="1"/>
  <c r="E710" i="2"/>
  <c r="E710" i="3" s="1"/>
  <c r="K710" i="3" s="1"/>
  <c r="D710" i="2"/>
  <c r="D710" i="3" s="1"/>
  <c r="C710" i="2"/>
  <c r="B710" i="2"/>
  <c r="B710" i="3" s="1"/>
  <c r="A710" i="2"/>
  <c r="A710" i="3" s="1"/>
  <c r="U709" i="2"/>
  <c r="T709" i="2"/>
  <c r="R709" i="2"/>
  <c r="G709" i="2"/>
  <c r="G709" i="3" s="1"/>
  <c r="F709" i="2"/>
  <c r="F709" i="3" s="1"/>
  <c r="E709" i="2"/>
  <c r="E709" i="3" s="1"/>
  <c r="K709" i="3" s="1"/>
  <c r="D709" i="2"/>
  <c r="D709" i="3" s="1"/>
  <c r="C709" i="2"/>
  <c r="C709" i="3" s="1"/>
  <c r="B709" i="2"/>
  <c r="B709" i="3" s="1"/>
  <c r="A709" i="2"/>
  <c r="A709" i="3" s="1"/>
  <c r="S708" i="2"/>
  <c r="G708" i="2"/>
  <c r="F708" i="2"/>
  <c r="F708" i="3" s="1"/>
  <c r="E708" i="2"/>
  <c r="D708" i="2"/>
  <c r="D708" i="3" s="1"/>
  <c r="C708" i="2"/>
  <c r="C708" i="3" s="1"/>
  <c r="B708" i="2"/>
  <c r="B708" i="3" s="1"/>
  <c r="A708" i="2"/>
  <c r="A708" i="3" s="1"/>
  <c r="T707" i="2"/>
  <c r="G707" i="2"/>
  <c r="G707" i="3" s="1"/>
  <c r="F707" i="2"/>
  <c r="F707" i="3" s="1"/>
  <c r="E707" i="2"/>
  <c r="D707" i="2"/>
  <c r="D707" i="3" s="1"/>
  <c r="C707" i="2"/>
  <c r="B707" i="2"/>
  <c r="B707" i="3" s="1"/>
  <c r="A707" i="2"/>
  <c r="A707" i="3" s="1"/>
  <c r="T706" i="2"/>
  <c r="R706" i="2"/>
  <c r="G706" i="2"/>
  <c r="G706" i="3" s="1"/>
  <c r="F706" i="2"/>
  <c r="F706" i="3" s="1"/>
  <c r="E706" i="2"/>
  <c r="E706" i="3" s="1"/>
  <c r="K706" i="3" s="1"/>
  <c r="D706" i="2"/>
  <c r="D706" i="3" s="1"/>
  <c r="C706" i="2"/>
  <c r="B706" i="2"/>
  <c r="B706" i="3" s="1"/>
  <c r="A706" i="2"/>
  <c r="A706" i="3" s="1"/>
  <c r="U705" i="2"/>
  <c r="R705" i="2"/>
  <c r="G705" i="2"/>
  <c r="G705" i="3" s="1"/>
  <c r="F705" i="2"/>
  <c r="F705" i="3" s="1"/>
  <c r="E705" i="2"/>
  <c r="E705" i="3" s="1"/>
  <c r="K705" i="3" s="1"/>
  <c r="D705" i="2"/>
  <c r="D705" i="3" s="1"/>
  <c r="C705" i="2"/>
  <c r="C705" i="3" s="1"/>
  <c r="B705" i="2"/>
  <c r="B705" i="3" s="1"/>
  <c r="A705" i="2"/>
  <c r="A705" i="3" s="1"/>
  <c r="S704" i="2"/>
  <c r="G704" i="2"/>
  <c r="F704" i="2"/>
  <c r="F704" i="3" s="1"/>
  <c r="E704" i="2"/>
  <c r="D704" i="2"/>
  <c r="D704" i="3" s="1"/>
  <c r="C704" i="2"/>
  <c r="C704" i="3" s="1"/>
  <c r="B704" i="2"/>
  <c r="B704" i="3" s="1"/>
  <c r="A704" i="2"/>
  <c r="A704" i="3" s="1"/>
  <c r="G703" i="2"/>
  <c r="G703" i="3" s="1"/>
  <c r="F703" i="2"/>
  <c r="F703" i="3" s="1"/>
  <c r="E703" i="2"/>
  <c r="D703" i="2"/>
  <c r="D703" i="3" s="1"/>
  <c r="C703" i="2"/>
  <c r="B703" i="2"/>
  <c r="B703" i="3" s="1"/>
  <c r="A703" i="2"/>
  <c r="A703" i="3" s="1"/>
  <c r="T702" i="2"/>
  <c r="R702" i="2"/>
  <c r="G702" i="2"/>
  <c r="G702" i="3" s="1"/>
  <c r="F702" i="2"/>
  <c r="F702" i="3" s="1"/>
  <c r="E702" i="2"/>
  <c r="E702" i="3" s="1"/>
  <c r="K702" i="3" s="1"/>
  <c r="D702" i="2"/>
  <c r="D702" i="3" s="1"/>
  <c r="C702" i="2"/>
  <c r="B702" i="2"/>
  <c r="B702" i="3" s="1"/>
  <c r="A702" i="2"/>
  <c r="A702" i="3" s="1"/>
  <c r="U701" i="2"/>
  <c r="R701" i="2"/>
  <c r="G701" i="2"/>
  <c r="G701" i="3" s="1"/>
  <c r="F701" i="2"/>
  <c r="F701" i="3" s="1"/>
  <c r="E701" i="2"/>
  <c r="E701" i="3" s="1"/>
  <c r="K701" i="3" s="1"/>
  <c r="D701" i="2"/>
  <c r="D701" i="3" s="1"/>
  <c r="C701" i="2"/>
  <c r="C701" i="3" s="1"/>
  <c r="B701" i="2"/>
  <c r="B701" i="3" s="1"/>
  <c r="A701" i="2"/>
  <c r="A701" i="3" s="1"/>
  <c r="S700" i="2"/>
  <c r="G700" i="2"/>
  <c r="F700" i="2"/>
  <c r="F700" i="3" s="1"/>
  <c r="E700" i="2"/>
  <c r="D700" i="2"/>
  <c r="D700" i="3" s="1"/>
  <c r="C700" i="2"/>
  <c r="C700" i="3" s="1"/>
  <c r="B700" i="2"/>
  <c r="B700" i="3" s="1"/>
  <c r="A700" i="2"/>
  <c r="A700" i="3" s="1"/>
  <c r="T699" i="2"/>
  <c r="R699" i="2"/>
  <c r="G699" i="2"/>
  <c r="G699" i="3" s="1"/>
  <c r="F699" i="2"/>
  <c r="F699" i="3" s="1"/>
  <c r="E699" i="2"/>
  <c r="D699" i="2"/>
  <c r="D699" i="3" s="1"/>
  <c r="C699" i="2"/>
  <c r="B699" i="2"/>
  <c r="B699" i="3" s="1"/>
  <c r="A699" i="2"/>
  <c r="A699" i="3" s="1"/>
  <c r="T698" i="2"/>
  <c r="G698" i="2"/>
  <c r="F698" i="2"/>
  <c r="F698" i="3" s="1"/>
  <c r="E698" i="2"/>
  <c r="E698" i="3" s="1"/>
  <c r="K698" i="3" s="1"/>
  <c r="D698" i="2"/>
  <c r="D698" i="3" s="1"/>
  <c r="C698" i="2"/>
  <c r="B698" i="2"/>
  <c r="B698" i="3" s="1"/>
  <c r="A698" i="2"/>
  <c r="A698" i="3" s="1"/>
  <c r="U697" i="2"/>
  <c r="G697" i="2"/>
  <c r="G697" i="3" s="1"/>
  <c r="F697" i="2"/>
  <c r="F697" i="3" s="1"/>
  <c r="E697" i="2"/>
  <c r="D697" i="2"/>
  <c r="D697" i="3" s="1"/>
  <c r="C697" i="2"/>
  <c r="B697" i="2"/>
  <c r="B697" i="3" s="1"/>
  <c r="A697" i="2"/>
  <c r="A697" i="3" s="1"/>
  <c r="T696" i="2"/>
  <c r="S696" i="2"/>
  <c r="R696" i="2"/>
  <c r="G696" i="2"/>
  <c r="G696" i="3" s="1"/>
  <c r="F696" i="2"/>
  <c r="F696" i="3" s="1"/>
  <c r="E696" i="2"/>
  <c r="D696" i="2"/>
  <c r="D696" i="3" s="1"/>
  <c r="C696" i="2"/>
  <c r="B696" i="2"/>
  <c r="B696" i="3" s="1"/>
  <c r="A696" i="2"/>
  <c r="A696" i="3" s="1"/>
  <c r="U695" i="2"/>
  <c r="R695" i="2"/>
  <c r="G695" i="2"/>
  <c r="G695" i="3" s="1"/>
  <c r="F695" i="2"/>
  <c r="F695" i="3" s="1"/>
  <c r="E695" i="2"/>
  <c r="D695" i="2"/>
  <c r="D695" i="3" s="1"/>
  <c r="C695" i="2"/>
  <c r="B695" i="2"/>
  <c r="B695" i="3" s="1"/>
  <c r="A695" i="2"/>
  <c r="A695" i="3" s="1"/>
  <c r="S694" i="2"/>
  <c r="R694" i="2"/>
  <c r="G694" i="2"/>
  <c r="G694" i="3" s="1"/>
  <c r="F694" i="2"/>
  <c r="F694" i="3" s="1"/>
  <c r="E694" i="2"/>
  <c r="D694" i="2"/>
  <c r="D694" i="3" s="1"/>
  <c r="C694" i="2"/>
  <c r="B694" i="2"/>
  <c r="B694" i="3" s="1"/>
  <c r="A694" i="2"/>
  <c r="A694" i="3" s="1"/>
  <c r="U693" i="2"/>
  <c r="G693" i="2"/>
  <c r="G693" i="3" s="1"/>
  <c r="F693" i="2"/>
  <c r="F693" i="3" s="1"/>
  <c r="E693" i="2"/>
  <c r="D693" i="2"/>
  <c r="D693" i="3" s="1"/>
  <c r="C693" i="2"/>
  <c r="B693" i="2"/>
  <c r="B693" i="3" s="1"/>
  <c r="A693" i="2"/>
  <c r="A693" i="3" s="1"/>
  <c r="S692" i="2"/>
  <c r="G692" i="2"/>
  <c r="G692" i="3" s="1"/>
  <c r="F692" i="2"/>
  <c r="F692" i="3" s="1"/>
  <c r="E692" i="2"/>
  <c r="D692" i="2"/>
  <c r="D692" i="3" s="1"/>
  <c r="C692" i="2"/>
  <c r="B692" i="2"/>
  <c r="B692" i="3" s="1"/>
  <c r="A692" i="2"/>
  <c r="A692" i="3" s="1"/>
  <c r="U691" i="2"/>
  <c r="G691" i="2"/>
  <c r="F691" i="2"/>
  <c r="F691" i="3" s="1"/>
  <c r="E691" i="2"/>
  <c r="D691" i="2"/>
  <c r="D691" i="3" s="1"/>
  <c r="C691" i="2"/>
  <c r="B691" i="2"/>
  <c r="B691" i="3" s="1"/>
  <c r="A691" i="2"/>
  <c r="A691" i="3" s="1"/>
  <c r="T690" i="2"/>
  <c r="S690" i="2"/>
  <c r="G690" i="2"/>
  <c r="G690" i="3" s="1"/>
  <c r="F690" i="2"/>
  <c r="F690" i="3" s="1"/>
  <c r="E690" i="2"/>
  <c r="D690" i="2"/>
  <c r="D690" i="3" s="1"/>
  <c r="C690" i="2"/>
  <c r="B690" i="2"/>
  <c r="B690" i="3" s="1"/>
  <c r="A690" i="2"/>
  <c r="A690" i="3" s="1"/>
  <c r="U689" i="2"/>
  <c r="G689" i="2"/>
  <c r="G689" i="3" s="1"/>
  <c r="F689" i="2"/>
  <c r="F689" i="3" s="1"/>
  <c r="E689" i="2"/>
  <c r="D689" i="2"/>
  <c r="D689" i="3" s="1"/>
  <c r="C689" i="2"/>
  <c r="B689" i="2"/>
  <c r="B689" i="3" s="1"/>
  <c r="A689" i="2"/>
  <c r="A689" i="3" s="1"/>
  <c r="T688" i="2"/>
  <c r="S688" i="2"/>
  <c r="R688" i="2"/>
  <c r="G688" i="2"/>
  <c r="G688" i="3" s="1"/>
  <c r="F688" i="2"/>
  <c r="F688" i="3" s="1"/>
  <c r="E688" i="2"/>
  <c r="D688" i="2"/>
  <c r="D688" i="3" s="1"/>
  <c r="C688" i="2"/>
  <c r="B688" i="2"/>
  <c r="B688" i="3" s="1"/>
  <c r="A688" i="2"/>
  <c r="A688" i="3" s="1"/>
  <c r="U687" i="2"/>
  <c r="R687" i="2"/>
  <c r="G687" i="2"/>
  <c r="G687" i="3" s="1"/>
  <c r="F687" i="2"/>
  <c r="F687" i="3" s="1"/>
  <c r="E687" i="2"/>
  <c r="D687" i="2"/>
  <c r="D687" i="3" s="1"/>
  <c r="C687" i="2"/>
  <c r="B687" i="2"/>
  <c r="B687" i="3" s="1"/>
  <c r="A687" i="2"/>
  <c r="A687" i="3" s="1"/>
  <c r="S686" i="2"/>
  <c r="R686" i="2"/>
  <c r="G686" i="2"/>
  <c r="G686" i="3" s="1"/>
  <c r="F686" i="2"/>
  <c r="F686" i="3" s="1"/>
  <c r="E686" i="2"/>
  <c r="D686" i="2"/>
  <c r="D686" i="3" s="1"/>
  <c r="C686" i="2"/>
  <c r="B686" i="2"/>
  <c r="B686" i="3" s="1"/>
  <c r="A686" i="2"/>
  <c r="A686" i="3" s="1"/>
  <c r="U685" i="2"/>
  <c r="G685" i="2"/>
  <c r="G685" i="3" s="1"/>
  <c r="F685" i="2"/>
  <c r="F685" i="3" s="1"/>
  <c r="E685" i="2"/>
  <c r="D685" i="2"/>
  <c r="D685" i="3" s="1"/>
  <c r="C685" i="2"/>
  <c r="B685" i="2"/>
  <c r="B685" i="3" s="1"/>
  <c r="A685" i="2"/>
  <c r="A685" i="3" s="1"/>
  <c r="S684" i="2"/>
  <c r="G684" i="2"/>
  <c r="G684" i="3" s="1"/>
  <c r="F684" i="2"/>
  <c r="F684" i="3" s="1"/>
  <c r="E684" i="2"/>
  <c r="D684" i="2"/>
  <c r="D684" i="3" s="1"/>
  <c r="C684" i="2"/>
  <c r="B684" i="2"/>
  <c r="B684" i="3" s="1"/>
  <c r="A684" i="2"/>
  <c r="A684" i="3" s="1"/>
  <c r="U683" i="2"/>
  <c r="G683" i="2"/>
  <c r="F683" i="2"/>
  <c r="F683" i="3" s="1"/>
  <c r="E683" i="2"/>
  <c r="D683" i="2"/>
  <c r="D683" i="3" s="1"/>
  <c r="C683" i="2"/>
  <c r="B683" i="2"/>
  <c r="B683" i="3" s="1"/>
  <c r="A683" i="2"/>
  <c r="A683" i="3" s="1"/>
  <c r="T682" i="2"/>
  <c r="S682" i="2"/>
  <c r="G682" i="2"/>
  <c r="G682" i="3" s="1"/>
  <c r="F682" i="2"/>
  <c r="F682" i="3" s="1"/>
  <c r="E682" i="2"/>
  <c r="D682" i="2"/>
  <c r="D682" i="3" s="1"/>
  <c r="C682" i="2"/>
  <c r="B682" i="2"/>
  <c r="B682" i="3" s="1"/>
  <c r="A682" i="2"/>
  <c r="A682" i="3" s="1"/>
  <c r="R681" i="2"/>
  <c r="G681" i="2"/>
  <c r="G681" i="3" s="1"/>
  <c r="F681" i="2"/>
  <c r="F681" i="3" s="1"/>
  <c r="E681" i="2"/>
  <c r="D681" i="2"/>
  <c r="D681" i="3" s="1"/>
  <c r="C681" i="2"/>
  <c r="B681" i="2"/>
  <c r="B681" i="3" s="1"/>
  <c r="A681" i="2"/>
  <c r="A681" i="3" s="1"/>
  <c r="R680" i="2"/>
  <c r="G680" i="2"/>
  <c r="G680" i="3" s="1"/>
  <c r="F680" i="2"/>
  <c r="F680" i="3" s="1"/>
  <c r="E680" i="2"/>
  <c r="D680" i="2"/>
  <c r="D680" i="3" s="1"/>
  <c r="C680" i="2"/>
  <c r="B680" i="2"/>
  <c r="B680" i="3" s="1"/>
  <c r="A680" i="2"/>
  <c r="A680" i="3" s="1"/>
  <c r="U679" i="2"/>
  <c r="R679" i="2"/>
  <c r="G679" i="2"/>
  <c r="G679" i="3" s="1"/>
  <c r="F679" i="2"/>
  <c r="F679" i="3" s="1"/>
  <c r="E679" i="2"/>
  <c r="D679" i="2"/>
  <c r="D679" i="3" s="1"/>
  <c r="C679" i="2"/>
  <c r="B679" i="2"/>
  <c r="B679" i="3" s="1"/>
  <c r="A679" i="2"/>
  <c r="A679" i="3" s="1"/>
  <c r="S678" i="2"/>
  <c r="G678" i="2"/>
  <c r="G678" i="3" s="1"/>
  <c r="F678" i="2"/>
  <c r="F678" i="3" s="1"/>
  <c r="E678" i="2"/>
  <c r="D678" i="2"/>
  <c r="D678" i="3" s="1"/>
  <c r="C678" i="2"/>
  <c r="B678" i="2"/>
  <c r="B678" i="3" s="1"/>
  <c r="A678" i="2"/>
  <c r="A678" i="3" s="1"/>
  <c r="G677" i="2"/>
  <c r="G677" i="3" s="1"/>
  <c r="F677" i="2"/>
  <c r="F677" i="3" s="1"/>
  <c r="E677" i="2"/>
  <c r="D677" i="2"/>
  <c r="D677" i="3" s="1"/>
  <c r="C677" i="2"/>
  <c r="B677" i="2"/>
  <c r="B677" i="3" s="1"/>
  <c r="A677" i="2"/>
  <c r="A677" i="3" s="1"/>
  <c r="R676" i="2"/>
  <c r="G676" i="2"/>
  <c r="G676" i="3" s="1"/>
  <c r="F676" i="2"/>
  <c r="F676" i="3" s="1"/>
  <c r="E676" i="2"/>
  <c r="D676" i="2"/>
  <c r="D676" i="3" s="1"/>
  <c r="C676" i="2"/>
  <c r="B676" i="2"/>
  <c r="B676" i="3" s="1"/>
  <c r="A676" i="2"/>
  <c r="A676" i="3" s="1"/>
  <c r="U675" i="2"/>
  <c r="R675" i="2"/>
  <c r="G675" i="2"/>
  <c r="G675" i="3" s="1"/>
  <c r="F675" i="2"/>
  <c r="F675" i="3" s="1"/>
  <c r="E675" i="2"/>
  <c r="D675" i="2"/>
  <c r="D675" i="3" s="1"/>
  <c r="C675" i="2"/>
  <c r="B675" i="2"/>
  <c r="B675" i="3" s="1"/>
  <c r="A675" i="2"/>
  <c r="A675" i="3" s="1"/>
  <c r="S674" i="2"/>
  <c r="R674" i="2"/>
  <c r="G674" i="2"/>
  <c r="G674" i="3" s="1"/>
  <c r="F674" i="2"/>
  <c r="F674" i="3" s="1"/>
  <c r="E674" i="2"/>
  <c r="D674" i="2"/>
  <c r="D674" i="3" s="1"/>
  <c r="C674" i="2"/>
  <c r="B674" i="2"/>
  <c r="B674" i="3" s="1"/>
  <c r="A674" i="2"/>
  <c r="A674" i="3" s="1"/>
  <c r="G673" i="2"/>
  <c r="G673" i="3" s="1"/>
  <c r="F673" i="2"/>
  <c r="F673" i="3" s="1"/>
  <c r="E673" i="2"/>
  <c r="D673" i="2"/>
  <c r="D673" i="3" s="1"/>
  <c r="C673" i="2"/>
  <c r="B673" i="2"/>
  <c r="B673" i="3" s="1"/>
  <c r="A673" i="2"/>
  <c r="A673" i="3" s="1"/>
  <c r="G672" i="2"/>
  <c r="G672" i="3" s="1"/>
  <c r="F672" i="2"/>
  <c r="F672" i="3" s="1"/>
  <c r="E672" i="2"/>
  <c r="D672" i="2"/>
  <c r="D672" i="3" s="1"/>
  <c r="C672" i="2"/>
  <c r="B672" i="2"/>
  <c r="B672" i="3" s="1"/>
  <c r="A672" i="2"/>
  <c r="A672" i="3" s="1"/>
  <c r="U671" i="2"/>
  <c r="T671" i="2"/>
  <c r="G671" i="2"/>
  <c r="G671" i="3" s="1"/>
  <c r="F671" i="2"/>
  <c r="F671" i="3" s="1"/>
  <c r="E671" i="2"/>
  <c r="D671" i="2"/>
  <c r="D671" i="3" s="1"/>
  <c r="C671" i="2"/>
  <c r="B671" i="2"/>
  <c r="B671" i="3" s="1"/>
  <c r="A671" i="2"/>
  <c r="A671" i="3" s="1"/>
  <c r="T670" i="2"/>
  <c r="S670" i="2"/>
  <c r="R670" i="2"/>
  <c r="G670" i="2"/>
  <c r="G670" i="3" s="1"/>
  <c r="F670" i="2"/>
  <c r="F670" i="3" s="1"/>
  <c r="E670" i="2"/>
  <c r="D670" i="2"/>
  <c r="D670" i="3" s="1"/>
  <c r="C670" i="2"/>
  <c r="B670" i="2"/>
  <c r="B670" i="3" s="1"/>
  <c r="A670" i="2"/>
  <c r="A670" i="3" s="1"/>
  <c r="R669" i="2"/>
  <c r="G669" i="2"/>
  <c r="G669" i="3" s="1"/>
  <c r="F669" i="2"/>
  <c r="F669" i="3" s="1"/>
  <c r="E669" i="2"/>
  <c r="D669" i="2"/>
  <c r="D669" i="3" s="1"/>
  <c r="C669" i="2"/>
  <c r="B669" i="2"/>
  <c r="B669" i="3" s="1"/>
  <c r="A669" i="2"/>
  <c r="A669" i="3" s="1"/>
  <c r="G668" i="2"/>
  <c r="G668" i="3" s="1"/>
  <c r="F668" i="2"/>
  <c r="F668" i="3" s="1"/>
  <c r="E668" i="2"/>
  <c r="D668" i="2"/>
  <c r="D668" i="3" s="1"/>
  <c r="C668" i="2"/>
  <c r="B668" i="2"/>
  <c r="B668" i="3" s="1"/>
  <c r="A668" i="2"/>
  <c r="A668" i="3" s="1"/>
  <c r="U667" i="2"/>
  <c r="G667" i="2"/>
  <c r="F667" i="2"/>
  <c r="F667" i="3" s="1"/>
  <c r="E667" i="2"/>
  <c r="D667" i="2"/>
  <c r="D667" i="3" s="1"/>
  <c r="C667" i="2"/>
  <c r="B667" i="2"/>
  <c r="B667" i="3" s="1"/>
  <c r="A667" i="2"/>
  <c r="A667" i="3" s="1"/>
  <c r="T666" i="2"/>
  <c r="S666" i="2"/>
  <c r="G666" i="2"/>
  <c r="G666" i="3" s="1"/>
  <c r="F666" i="2"/>
  <c r="F666" i="3" s="1"/>
  <c r="E666" i="2"/>
  <c r="D666" i="2"/>
  <c r="D666" i="3" s="1"/>
  <c r="C666" i="2"/>
  <c r="B666" i="2"/>
  <c r="B666" i="3" s="1"/>
  <c r="A666" i="2"/>
  <c r="A666" i="3" s="1"/>
  <c r="R665" i="2"/>
  <c r="G665" i="2"/>
  <c r="G665" i="3" s="1"/>
  <c r="F665" i="2"/>
  <c r="F665" i="3" s="1"/>
  <c r="E665" i="2"/>
  <c r="D665" i="2"/>
  <c r="D665" i="3" s="1"/>
  <c r="C665" i="2"/>
  <c r="B665" i="2"/>
  <c r="B665" i="3" s="1"/>
  <c r="A665" i="2"/>
  <c r="A665" i="3" s="1"/>
  <c r="R664" i="2"/>
  <c r="G664" i="2"/>
  <c r="G664" i="3" s="1"/>
  <c r="F664" i="2"/>
  <c r="F664" i="3" s="1"/>
  <c r="E664" i="2"/>
  <c r="D664" i="2"/>
  <c r="D664" i="3" s="1"/>
  <c r="C664" i="2"/>
  <c r="B664" i="2"/>
  <c r="B664" i="3" s="1"/>
  <c r="A664" i="2"/>
  <c r="A664" i="3" s="1"/>
  <c r="U663" i="2"/>
  <c r="R663" i="2"/>
  <c r="G663" i="2"/>
  <c r="G663" i="3" s="1"/>
  <c r="F663" i="2"/>
  <c r="F663" i="3" s="1"/>
  <c r="E663" i="2"/>
  <c r="D663" i="2"/>
  <c r="D663" i="3" s="1"/>
  <c r="C663" i="2"/>
  <c r="B663" i="2"/>
  <c r="B663" i="3" s="1"/>
  <c r="A663" i="2"/>
  <c r="A663" i="3" s="1"/>
  <c r="S662" i="2"/>
  <c r="G662" i="2"/>
  <c r="G662" i="3" s="1"/>
  <c r="F662" i="2"/>
  <c r="F662" i="3" s="1"/>
  <c r="E662" i="2"/>
  <c r="D662" i="2"/>
  <c r="D662" i="3" s="1"/>
  <c r="C662" i="2"/>
  <c r="B662" i="2"/>
  <c r="B662" i="3" s="1"/>
  <c r="A662" i="2"/>
  <c r="A662" i="3" s="1"/>
  <c r="G661" i="2"/>
  <c r="G661" i="3" s="1"/>
  <c r="F661" i="2"/>
  <c r="F661" i="3" s="1"/>
  <c r="E661" i="2"/>
  <c r="D661" i="2"/>
  <c r="D661" i="3" s="1"/>
  <c r="C661" i="2"/>
  <c r="B661" i="2"/>
  <c r="B661" i="3" s="1"/>
  <c r="A661" i="2"/>
  <c r="A661" i="3" s="1"/>
  <c r="R660" i="2"/>
  <c r="G660" i="2"/>
  <c r="G660" i="3" s="1"/>
  <c r="F660" i="2"/>
  <c r="F660" i="3" s="1"/>
  <c r="E660" i="2"/>
  <c r="D660" i="2"/>
  <c r="D660" i="3" s="1"/>
  <c r="C660" i="2"/>
  <c r="B660" i="2"/>
  <c r="B660" i="3" s="1"/>
  <c r="A660" i="2"/>
  <c r="A660" i="3" s="1"/>
  <c r="U659" i="2"/>
  <c r="R659" i="2"/>
  <c r="G659" i="2"/>
  <c r="G659" i="3" s="1"/>
  <c r="F659" i="2"/>
  <c r="F659" i="3" s="1"/>
  <c r="E659" i="2"/>
  <c r="D659" i="2"/>
  <c r="D659" i="3" s="1"/>
  <c r="C659" i="2"/>
  <c r="B659" i="2"/>
  <c r="B659" i="3" s="1"/>
  <c r="A659" i="2"/>
  <c r="A659" i="3" s="1"/>
  <c r="S658" i="2"/>
  <c r="R658" i="2"/>
  <c r="G658" i="2"/>
  <c r="G658" i="3" s="1"/>
  <c r="F658" i="2"/>
  <c r="F658" i="3" s="1"/>
  <c r="E658" i="2"/>
  <c r="D658" i="2"/>
  <c r="D658" i="3" s="1"/>
  <c r="C658" i="2"/>
  <c r="B658" i="2"/>
  <c r="B658" i="3" s="1"/>
  <c r="A658" i="2"/>
  <c r="A658" i="3" s="1"/>
  <c r="G657" i="2"/>
  <c r="G657" i="3" s="1"/>
  <c r="F657" i="2"/>
  <c r="F657" i="3" s="1"/>
  <c r="E657" i="2"/>
  <c r="D657" i="2"/>
  <c r="D657" i="3" s="1"/>
  <c r="C657" i="2"/>
  <c r="B657" i="2"/>
  <c r="B657" i="3" s="1"/>
  <c r="A657" i="2"/>
  <c r="A657" i="3" s="1"/>
  <c r="G656" i="2"/>
  <c r="G656" i="3" s="1"/>
  <c r="F656" i="2"/>
  <c r="F656" i="3" s="1"/>
  <c r="E656" i="2"/>
  <c r="D656" i="2"/>
  <c r="D656" i="3" s="1"/>
  <c r="C656" i="2"/>
  <c r="B656" i="2"/>
  <c r="B656" i="3" s="1"/>
  <c r="A656" i="2"/>
  <c r="A656" i="3" s="1"/>
  <c r="U655" i="2"/>
  <c r="G655" i="2"/>
  <c r="G655" i="3" s="1"/>
  <c r="F655" i="2"/>
  <c r="F655" i="3" s="1"/>
  <c r="E655" i="2"/>
  <c r="D655" i="2"/>
  <c r="D655" i="3" s="1"/>
  <c r="C655" i="2"/>
  <c r="B655" i="2"/>
  <c r="B655" i="3" s="1"/>
  <c r="A655" i="2"/>
  <c r="A655" i="3" s="1"/>
  <c r="U654" i="2"/>
  <c r="S654" i="2"/>
  <c r="G654" i="2"/>
  <c r="G654" i="3" s="1"/>
  <c r="F654" i="2"/>
  <c r="F654" i="3" s="1"/>
  <c r="E654" i="2"/>
  <c r="D654" i="2"/>
  <c r="D654" i="3" s="1"/>
  <c r="C654" i="2"/>
  <c r="B654" i="2"/>
  <c r="B654" i="3" s="1"/>
  <c r="A654" i="2"/>
  <c r="A654" i="3" s="1"/>
  <c r="T653" i="2"/>
  <c r="S653" i="2"/>
  <c r="R653" i="2"/>
  <c r="G653" i="2"/>
  <c r="G653" i="3" s="1"/>
  <c r="F653" i="2"/>
  <c r="F653" i="3" s="1"/>
  <c r="E653" i="2"/>
  <c r="D653" i="2"/>
  <c r="D653" i="3" s="1"/>
  <c r="C653" i="2"/>
  <c r="B653" i="2"/>
  <c r="B653" i="3" s="1"/>
  <c r="A653" i="2"/>
  <c r="A653" i="3" s="1"/>
  <c r="G652" i="2"/>
  <c r="G652" i="3" s="1"/>
  <c r="F652" i="2"/>
  <c r="F652" i="3" s="1"/>
  <c r="E652" i="2"/>
  <c r="D652" i="2"/>
  <c r="D652" i="3" s="1"/>
  <c r="C652" i="2"/>
  <c r="B652" i="2"/>
  <c r="B652" i="3" s="1"/>
  <c r="A652" i="2"/>
  <c r="A652" i="3" s="1"/>
  <c r="U651" i="2"/>
  <c r="R651" i="2"/>
  <c r="G651" i="2"/>
  <c r="G651" i="3" s="1"/>
  <c r="F651" i="2"/>
  <c r="F651" i="3" s="1"/>
  <c r="E651" i="2"/>
  <c r="D651" i="2"/>
  <c r="D651" i="3" s="1"/>
  <c r="C651" i="2"/>
  <c r="B651" i="2"/>
  <c r="B651" i="3" s="1"/>
  <c r="A651" i="2"/>
  <c r="A651" i="3" s="1"/>
  <c r="U650" i="2"/>
  <c r="T650" i="2"/>
  <c r="S650" i="2"/>
  <c r="R650" i="2"/>
  <c r="G650" i="2"/>
  <c r="G650" i="3" s="1"/>
  <c r="F650" i="2"/>
  <c r="F650" i="3" s="1"/>
  <c r="E650" i="2"/>
  <c r="D650" i="2"/>
  <c r="D650" i="3" s="1"/>
  <c r="C650" i="2"/>
  <c r="B650" i="2"/>
  <c r="B650" i="3" s="1"/>
  <c r="A650" i="2"/>
  <c r="A650" i="3" s="1"/>
  <c r="S649" i="2"/>
  <c r="G649" i="2"/>
  <c r="G649" i="3" s="1"/>
  <c r="F649" i="2"/>
  <c r="F649" i="3" s="1"/>
  <c r="E649" i="2"/>
  <c r="D649" i="2"/>
  <c r="D649" i="3" s="1"/>
  <c r="C649" i="2"/>
  <c r="B649" i="2"/>
  <c r="B649" i="3" s="1"/>
  <c r="A649" i="2"/>
  <c r="A649" i="3" s="1"/>
  <c r="G648" i="2"/>
  <c r="G648" i="3" s="1"/>
  <c r="F648" i="2"/>
  <c r="F648" i="3" s="1"/>
  <c r="E648" i="2"/>
  <c r="D648" i="2"/>
  <c r="D648" i="3" s="1"/>
  <c r="C648" i="2"/>
  <c r="B648" i="2"/>
  <c r="B648" i="3" s="1"/>
  <c r="A648" i="2"/>
  <c r="A648" i="3" s="1"/>
  <c r="U647" i="2"/>
  <c r="T647" i="2"/>
  <c r="G647" i="2"/>
  <c r="G647" i="3" s="1"/>
  <c r="F647" i="2"/>
  <c r="F647" i="3" s="1"/>
  <c r="E647" i="2"/>
  <c r="D647" i="2"/>
  <c r="D647" i="3" s="1"/>
  <c r="C647" i="2"/>
  <c r="B647" i="2"/>
  <c r="B647" i="3" s="1"/>
  <c r="A647" i="2"/>
  <c r="A647" i="3" s="1"/>
  <c r="U646" i="2"/>
  <c r="S646" i="2"/>
  <c r="G646" i="2"/>
  <c r="G646" i="3" s="1"/>
  <c r="F646" i="2"/>
  <c r="F646" i="3" s="1"/>
  <c r="E646" i="2"/>
  <c r="D646" i="2"/>
  <c r="D646" i="3" s="1"/>
  <c r="C646" i="2"/>
  <c r="B646" i="2"/>
  <c r="B646" i="3" s="1"/>
  <c r="A646" i="2"/>
  <c r="A646" i="3" s="1"/>
  <c r="U645" i="2"/>
  <c r="S645" i="2"/>
  <c r="G645" i="2"/>
  <c r="G645" i="3" s="1"/>
  <c r="F645" i="2"/>
  <c r="F645" i="3" s="1"/>
  <c r="E645" i="2"/>
  <c r="D645" i="2"/>
  <c r="D645" i="3" s="1"/>
  <c r="C645" i="2"/>
  <c r="B645" i="2"/>
  <c r="B645" i="3" s="1"/>
  <c r="A645" i="2"/>
  <c r="A645" i="3" s="1"/>
  <c r="T644" i="2"/>
  <c r="S644" i="2"/>
  <c r="R644" i="2"/>
  <c r="G644" i="2"/>
  <c r="G644" i="3" s="1"/>
  <c r="F644" i="2"/>
  <c r="F644" i="3" s="1"/>
  <c r="E644" i="2"/>
  <c r="D644" i="2"/>
  <c r="D644" i="3" s="1"/>
  <c r="C644" i="2"/>
  <c r="B644" i="2"/>
  <c r="B644" i="3" s="1"/>
  <c r="A644" i="2"/>
  <c r="A644" i="3" s="1"/>
  <c r="U643" i="2"/>
  <c r="R643" i="2"/>
  <c r="G643" i="2"/>
  <c r="G643" i="3" s="1"/>
  <c r="F643" i="2"/>
  <c r="F643" i="3" s="1"/>
  <c r="E643" i="2"/>
  <c r="D643" i="2"/>
  <c r="D643" i="3" s="1"/>
  <c r="C643" i="2"/>
  <c r="B643" i="2"/>
  <c r="B643" i="3" s="1"/>
  <c r="A643" i="2"/>
  <c r="A643" i="3" s="1"/>
  <c r="U642" i="2"/>
  <c r="S642" i="2"/>
  <c r="R642" i="2"/>
  <c r="G642" i="2"/>
  <c r="G642" i="3" s="1"/>
  <c r="F642" i="2"/>
  <c r="F642" i="3" s="1"/>
  <c r="E642" i="2"/>
  <c r="D642" i="2"/>
  <c r="D642" i="3" s="1"/>
  <c r="C642" i="2"/>
  <c r="B642" i="2"/>
  <c r="B642" i="3" s="1"/>
  <c r="A642" i="2"/>
  <c r="A642" i="3" s="1"/>
  <c r="U641" i="2"/>
  <c r="G641" i="2"/>
  <c r="G641" i="3" s="1"/>
  <c r="F641" i="2"/>
  <c r="F641" i="3" s="1"/>
  <c r="E641" i="2"/>
  <c r="D641" i="2"/>
  <c r="D641" i="3" s="1"/>
  <c r="C641" i="2"/>
  <c r="B641" i="2"/>
  <c r="B641" i="3" s="1"/>
  <c r="A641" i="2"/>
  <c r="A641" i="3" s="1"/>
  <c r="T640" i="2"/>
  <c r="S640" i="2"/>
  <c r="R640" i="2"/>
  <c r="G640" i="2"/>
  <c r="G640" i="3" s="1"/>
  <c r="F640" i="2"/>
  <c r="F640" i="3" s="1"/>
  <c r="E640" i="2"/>
  <c r="D640" i="2"/>
  <c r="D640" i="3" s="1"/>
  <c r="C640" i="2"/>
  <c r="B640" i="2"/>
  <c r="B640" i="3" s="1"/>
  <c r="A640" i="2"/>
  <c r="A640" i="3" s="1"/>
  <c r="U639" i="2"/>
  <c r="G639" i="2"/>
  <c r="G639" i="3" s="1"/>
  <c r="F639" i="2"/>
  <c r="F639" i="3" s="1"/>
  <c r="E639" i="2"/>
  <c r="D639" i="2"/>
  <c r="D639" i="3" s="1"/>
  <c r="C639" i="2"/>
  <c r="B639" i="2"/>
  <c r="B639" i="3" s="1"/>
  <c r="A639" i="2"/>
  <c r="A639" i="3" s="1"/>
  <c r="T638" i="2"/>
  <c r="S638" i="2"/>
  <c r="G638" i="2"/>
  <c r="F638" i="2"/>
  <c r="F638" i="3" s="1"/>
  <c r="E638" i="2"/>
  <c r="D638" i="2"/>
  <c r="D638" i="3" s="1"/>
  <c r="C638" i="2"/>
  <c r="B638" i="2"/>
  <c r="B638" i="3" s="1"/>
  <c r="A638" i="2"/>
  <c r="A638" i="3" s="1"/>
  <c r="U637" i="2"/>
  <c r="G637" i="2"/>
  <c r="G637" i="3" s="1"/>
  <c r="F637" i="2"/>
  <c r="F637" i="3" s="1"/>
  <c r="E637" i="2"/>
  <c r="D637" i="2"/>
  <c r="D637" i="3" s="1"/>
  <c r="C637" i="2"/>
  <c r="B637" i="2"/>
  <c r="B637" i="3" s="1"/>
  <c r="A637" i="2"/>
  <c r="A637" i="3" s="1"/>
  <c r="S636" i="2"/>
  <c r="G636" i="2"/>
  <c r="G636" i="3" s="1"/>
  <c r="F636" i="2"/>
  <c r="F636" i="3" s="1"/>
  <c r="E636" i="2"/>
  <c r="D636" i="2"/>
  <c r="D636" i="3" s="1"/>
  <c r="C636" i="2"/>
  <c r="B636" i="2"/>
  <c r="B636" i="3" s="1"/>
  <c r="A636" i="2"/>
  <c r="A636" i="3" s="1"/>
  <c r="U635" i="2"/>
  <c r="R635" i="2"/>
  <c r="G635" i="2"/>
  <c r="G635" i="3" s="1"/>
  <c r="F635" i="2"/>
  <c r="F635" i="3" s="1"/>
  <c r="E635" i="2"/>
  <c r="D635" i="2"/>
  <c r="D635" i="3" s="1"/>
  <c r="C635" i="2"/>
  <c r="B635" i="2"/>
  <c r="B635" i="3" s="1"/>
  <c r="A635" i="2"/>
  <c r="A635" i="3" s="1"/>
  <c r="S634" i="2"/>
  <c r="R634" i="2"/>
  <c r="G634" i="2"/>
  <c r="G634" i="3" s="1"/>
  <c r="F634" i="2"/>
  <c r="F634" i="3" s="1"/>
  <c r="E634" i="2"/>
  <c r="D634" i="2"/>
  <c r="D634" i="3" s="1"/>
  <c r="C634" i="2"/>
  <c r="B634" i="2"/>
  <c r="B634" i="3" s="1"/>
  <c r="A634" i="2"/>
  <c r="A634" i="3" s="1"/>
  <c r="R633" i="2"/>
  <c r="G633" i="2"/>
  <c r="G633" i="3" s="1"/>
  <c r="F633" i="2"/>
  <c r="F633" i="3" s="1"/>
  <c r="E633" i="2"/>
  <c r="D633" i="2"/>
  <c r="D633" i="3" s="1"/>
  <c r="C633" i="2"/>
  <c r="B633" i="2"/>
  <c r="B633" i="3" s="1"/>
  <c r="A633" i="2"/>
  <c r="A633" i="3" s="1"/>
  <c r="G632" i="2"/>
  <c r="F632" i="2"/>
  <c r="F632" i="3" s="1"/>
  <c r="E632" i="2"/>
  <c r="D632" i="2"/>
  <c r="D632" i="3" s="1"/>
  <c r="C632" i="2"/>
  <c r="B632" i="2"/>
  <c r="B632" i="3" s="1"/>
  <c r="A632" i="2"/>
  <c r="A632" i="3" s="1"/>
  <c r="U631" i="2"/>
  <c r="G631" i="2"/>
  <c r="G631" i="3" s="1"/>
  <c r="F631" i="2"/>
  <c r="F631" i="3" s="1"/>
  <c r="E631" i="2"/>
  <c r="D631" i="2"/>
  <c r="D631" i="3" s="1"/>
  <c r="C631" i="2"/>
  <c r="B631" i="2"/>
  <c r="B631" i="3" s="1"/>
  <c r="A631" i="2"/>
  <c r="A631" i="3" s="1"/>
  <c r="S630" i="2"/>
  <c r="G630" i="2"/>
  <c r="G630" i="3" s="1"/>
  <c r="F630" i="2"/>
  <c r="F630" i="3" s="1"/>
  <c r="E630" i="2"/>
  <c r="D630" i="2"/>
  <c r="D630" i="3" s="1"/>
  <c r="C630" i="2"/>
  <c r="B630" i="2"/>
  <c r="B630" i="3" s="1"/>
  <c r="A630" i="2"/>
  <c r="A630" i="3" s="1"/>
  <c r="R629" i="2"/>
  <c r="G629" i="2"/>
  <c r="G629" i="3" s="1"/>
  <c r="F629" i="2"/>
  <c r="F629" i="3" s="1"/>
  <c r="E629" i="2"/>
  <c r="D629" i="2"/>
  <c r="D629" i="3" s="1"/>
  <c r="C629" i="2"/>
  <c r="B629" i="2"/>
  <c r="B629" i="3" s="1"/>
  <c r="A629" i="2"/>
  <c r="A629" i="3" s="1"/>
  <c r="R628" i="2"/>
  <c r="G628" i="2"/>
  <c r="G628" i="3" s="1"/>
  <c r="F628" i="2"/>
  <c r="F628" i="3" s="1"/>
  <c r="E628" i="2"/>
  <c r="D628" i="2"/>
  <c r="D628" i="3" s="1"/>
  <c r="C628" i="2"/>
  <c r="B628" i="2"/>
  <c r="B628" i="3" s="1"/>
  <c r="A628" i="2"/>
  <c r="A628" i="3" s="1"/>
  <c r="U627" i="2"/>
  <c r="G627" i="2"/>
  <c r="G627" i="3" s="1"/>
  <c r="F627" i="2"/>
  <c r="F627" i="3" s="1"/>
  <c r="E627" i="2"/>
  <c r="D627" i="2"/>
  <c r="D627" i="3" s="1"/>
  <c r="C627" i="2"/>
  <c r="B627" i="2"/>
  <c r="B627" i="3" s="1"/>
  <c r="A627" i="2"/>
  <c r="A627" i="3" s="1"/>
  <c r="T626" i="2"/>
  <c r="S626" i="2"/>
  <c r="G626" i="2"/>
  <c r="F626" i="2"/>
  <c r="F626" i="3" s="1"/>
  <c r="E626" i="2"/>
  <c r="D626" i="2"/>
  <c r="D626" i="3" s="1"/>
  <c r="C626" i="2"/>
  <c r="B626" i="2"/>
  <c r="B626" i="3" s="1"/>
  <c r="A626" i="2"/>
  <c r="A626" i="3" s="1"/>
  <c r="T625" i="2"/>
  <c r="G625" i="2"/>
  <c r="G625" i="3" s="1"/>
  <c r="F625" i="2"/>
  <c r="F625" i="3" s="1"/>
  <c r="E625" i="2"/>
  <c r="D625" i="2"/>
  <c r="D625" i="3" s="1"/>
  <c r="C625" i="2"/>
  <c r="B625" i="2"/>
  <c r="B625" i="3" s="1"/>
  <c r="A625" i="2"/>
  <c r="A625" i="3" s="1"/>
  <c r="R624" i="2"/>
  <c r="G624" i="2"/>
  <c r="G624" i="3" s="1"/>
  <c r="F624" i="2"/>
  <c r="F624" i="3" s="1"/>
  <c r="E624" i="2"/>
  <c r="D624" i="2"/>
  <c r="D624" i="3" s="1"/>
  <c r="C624" i="2"/>
  <c r="B624" i="2"/>
  <c r="B624" i="3" s="1"/>
  <c r="A624" i="2"/>
  <c r="A624" i="3" s="1"/>
  <c r="U623" i="2"/>
  <c r="R623" i="2"/>
  <c r="G623" i="2"/>
  <c r="G623" i="3" s="1"/>
  <c r="F623" i="2"/>
  <c r="F623" i="3" s="1"/>
  <c r="E623" i="2"/>
  <c r="D623" i="2"/>
  <c r="D623" i="3" s="1"/>
  <c r="C623" i="2"/>
  <c r="B623" i="2"/>
  <c r="B623" i="3" s="1"/>
  <c r="A623" i="2"/>
  <c r="A623" i="3" s="1"/>
  <c r="T622" i="2"/>
  <c r="S622" i="2"/>
  <c r="R622" i="2"/>
  <c r="G622" i="2"/>
  <c r="G622" i="3" s="1"/>
  <c r="F622" i="2"/>
  <c r="F622" i="3" s="1"/>
  <c r="E622" i="2"/>
  <c r="D622" i="2"/>
  <c r="D622" i="3" s="1"/>
  <c r="C622" i="2"/>
  <c r="B622" i="2"/>
  <c r="B622" i="3" s="1"/>
  <c r="A622" i="2"/>
  <c r="A622" i="3" s="1"/>
  <c r="G621" i="2"/>
  <c r="F621" i="2"/>
  <c r="F621" i="3" s="1"/>
  <c r="E621" i="2"/>
  <c r="D621" i="2"/>
  <c r="D621" i="3" s="1"/>
  <c r="C621" i="2"/>
  <c r="B621" i="2"/>
  <c r="B621" i="3" s="1"/>
  <c r="A621" i="2"/>
  <c r="A621" i="3" s="1"/>
  <c r="G620" i="2"/>
  <c r="G620" i="3" s="1"/>
  <c r="F620" i="2"/>
  <c r="F620" i="3" s="1"/>
  <c r="E620" i="2"/>
  <c r="D620" i="2"/>
  <c r="D620" i="3" s="1"/>
  <c r="C620" i="2"/>
  <c r="B620" i="2"/>
  <c r="B620" i="3" s="1"/>
  <c r="A620" i="2"/>
  <c r="A620" i="3" s="1"/>
  <c r="U619" i="2"/>
  <c r="R619" i="2"/>
  <c r="G619" i="2"/>
  <c r="G619" i="3" s="1"/>
  <c r="F619" i="2"/>
  <c r="F619" i="3" s="1"/>
  <c r="E619" i="2"/>
  <c r="D619" i="2"/>
  <c r="D619" i="3" s="1"/>
  <c r="C619" i="2"/>
  <c r="B619" i="2"/>
  <c r="B619" i="3" s="1"/>
  <c r="A619" i="2"/>
  <c r="A619" i="3" s="1"/>
  <c r="S618" i="2"/>
  <c r="R618" i="2"/>
  <c r="G618" i="2"/>
  <c r="G618" i="3" s="1"/>
  <c r="F618" i="2"/>
  <c r="F618" i="3" s="1"/>
  <c r="E618" i="2"/>
  <c r="D618" i="2"/>
  <c r="D618" i="3" s="1"/>
  <c r="C618" i="2"/>
  <c r="B618" i="2"/>
  <c r="B618" i="3" s="1"/>
  <c r="A618" i="2"/>
  <c r="A618" i="3" s="1"/>
  <c r="R617" i="2"/>
  <c r="G617" i="2"/>
  <c r="G617" i="3" s="1"/>
  <c r="F617" i="2"/>
  <c r="F617" i="3" s="1"/>
  <c r="E617" i="2"/>
  <c r="D617" i="2"/>
  <c r="D617" i="3" s="1"/>
  <c r="C617" i="2"/>
  <c r="B617" i="2"/>
  <c r="B617" i="3" s="1"/>
  <c r="A617" i="2"/>
  <c r="A617" i="3" s="1"/>
  <c r="T616" i="2"/>
  <c r="G616" i="2"/>
  <c r="G616" i="3" s="1"/>
  <c r="F616" i="2"/>
  <c r="E616" i="2"/>
  <c r="E616" i="3" s="1"/>
  <c r="D616" i="2"/>
  <c r="D616" i="3" s="1"/>
  <c r="C616" i="2"/>
  <c r="B616" i="2"/>
  <c r="B616" i="3" s="1"/>
  <c r="A616" i="2"/>
  <c r="A616" i="3" s="1"/>
  <c r="U615" i="2"/>
  <c r="T615" i="2"/>
  <c r="G615" i="2"/>
  <c r="G615" i="3" s="1"/>
  <c r="F615" i="2"/>
  <c r="F615" i="3" s="1"/>
  <c r="E615" i="2"/>
  <c r="D615" i="2"/>
  <c r="C615" i="2"/>
  <c r="B615" i="2"/>
  <c r="B615" i="3" s="1"/>
  <c r="A615" i="2"/>
  <c r="A615" i="3" s="1"/>
  <c r="T614" i="2"/>
  <c r="S614" i="2"/>
  <c r="G614" i="2"/>
  <c r="G614" i="3" s="1"/>
  <c r="F614" i="2"/>
  <c r="F614" i="3" s="1"/>
  <c r="E614" i="2"/>
  <c r="D614" i="2"/>
  <c r="D614" i="3" s="1"/>
  <c r="C614" i="2"/>
  <c r="B614" i="2"/>
  <c r="B614" i="3" s="1"/>
  <c r="A614" i="2"/>
  <c r="A614" i="3" s="1"/>
  <c r="T613" i="2"/>
  <c r="R613" i="2"/>
  <c r="G613" i="2"/>
  <c r="G613" i="3" s="1"/>
  <c r="F613" i="2"/>
  <c r="F613" i="3" s="1"/>
  <c r="E613" i="2"/>
  <c r="D613" i="2"/>
  <c r="D613" i="3" s="1"/>
  <c r="C613" i="2"/>
  <c r="C613" i="3" s="1"/>
  <c r="B613" i="2"/>
  <c r="B613" i="3" s="1"/>
  <c r="A613" i="2"/>
  <c r="A613" i="3" s="1"/>
  <c r="T612" i="2"/>
  <c r="G612" i="2"/>
  <c r="G612" i="3" s="1"/>
  <c r="F612" i="2"/>
  <c r="E612" i="2"/>
  <c r="E612" i="3" s="1"/>
  <c r="D612" i="2"/>
  <c r="D612" i="3" s="1"/>
  <c r="C612" i="2"/>
  <c r="B612" i="2"/>
  <c r="B612" i="3" s="1"/>
  <c r="A612" i="2"/>
  <c r="A612" i="3" s="1"/>
  <c r="U611" i="2"/>
  <c r="T611" i="2"/>
  <c r="G611" i="2"/>
  <c r="F611" i="2"/>
  <c r="F611" i="3" s="1"/>
  <c r="E611" i="2"/>
  <c r="D611" i="2"/>
  <c r="C611" i="2"/>
  <c r="B611" i="2"/>
  <c r="B611" i="3" s="1"/>
  <c r="A611" i="2"/>
  <c r="A611" i="3" s="1"/>
  <c r="T610" i="2"/>
  <c r="S610" i="2"/>
  <c r="G610" i="2"/>
  <c r="G610" i="3" s="1"/>
  <c r="F610" i="2"/>
  <c r="F610" i="3" s="1"/>
  <c r="E610" i="2"/>
  <c r="D610" i="2"/>
  <c r="D610" i="3" s="1"/>
  <c r="C610" i="2"/>
  <c r="C610" i="3" s="1"/>
  <c r="B610" i="2"/>
  <c r="B610" i="3" s="1"/>
  <c r="A610" i="2"/>
  <c r="A610" i="3" s="1"/>
  <c r="T609" i="2"/>
  <c r="G609" i="2"/>
  <c r="G609" i="3" s="1"/>
  <c r="F609" i="2"/>
  <c r="E609" i="2"/>
  <c r="E609" i="3" s="1"/>
  <c r="D609" i="2"/>
  <c r="D609" i="3" s="1"/>
  <c r="C609" i="2"/>
  <c r="B609" i="2"/>
  <c r="B609" i="3" s="1"/>
  <c r="A609" i="2"/>
  <c r="A609" i="3" s="1"/>
  <c r="U608" i="2"/>
  <c r="R608" i="2"/>
  <c r="G608" i="2"/>
  <c r="G608" i="3" s="1"/>
  <c r="F608" i="2"/>
  <c r="E608" i="2"/>
  <c r="D608" i="2"/>
  <c r="C608" i="2"/>
  <c r="B608" i="2"/>
  <c r="B608" i="3" s="1"/>
  <c r="A608" i="2"/>
  <c r="A608" i="3" s="1"/>
  <c r="U607" i="2"/>
  <c r="S607" i="2"/>
  <c r="G607" i="2"/>
  <c r="F607" i="2"/>
  <c r="F607" i="3" s="1"/>
  <c r="E607" i="2"/>
  <c r="D607" i="2"/>
  <c r="D607" i="3" s="1"/>
  <c r="C607" i="2"/>
  <c r="B607" i="2"/>
  <c r="B607" i="3" s="1"/>
  <c r="A607" i="2"/>
  <c r="A607" i="3" s="1"/>
  <c r="T606" i="2"/>
  <c r="S606" i="2"/>
  <c r="G606" i="2"/>
  <c r="G606" i="3" s="1"/>
  <c r="F606" i="2"/>
  <c r="F606" i="3" s="1"/>
  <c r="E606" i="2"/>
  <c r="D606" i="2"/>
  <c r="D606" i="3" s="1"/>
  <c r="C606" i="2"/>
  <c r="C606" i="3" s="1"/>
  <c r="B606" i="2"/>
  <c r="B606" i="3" s="1"/>
  <c r="A606" i="2"/>
  <c r="A606" i="3" s="1"/>
  <c r="T605" i="2"/>
  <c r="G605" i="2"/>
  <c r="G605" i="3" s="1"/>
  <c r="F605" i="2"/>
  <c r="E605" i="2"/>
  <c r="E605" i="3" s="1"/>
  <c r="D605" i="2"/>
  <c r="D605" i="3" s="1"/>
  <c r="C605" i="2"/>
  <c r="B605" i="2"/>
  <c r="B605" i="3" s="1"/>
  <c r="A605" i="2"/>
  <c r="A605" i="3" s="1"/>
  <c r="U604" i="2"/>
  <c r="G604" i="2"/>
  <c r="G604" i="3" s="1"/>
  <c r="F604" i="2"/>
  <c r="E604" i="2"/>
  <c r="D604" i="2"/>
  <c r="C604" i="2"/>
  <c r="B604" i="2"/>
  <c r="B604" i="3" s="1"/>
  <c r="A604" i="2"/>
  <c r="A604" i="3" s="1"/>
  <c r="U603" i="2"/>
  <c r="S603" i="2"/>
  <c r="G603" i="2"/>
  <c r="F603" i="2"/>
  <c r="F603" i="3" s="1"/>
  <c r="E603" i="2"/>
  <c r="D603" i="2"/>
  <c r="D603" i="3" s="1"/>
  <c r="C603" i="2"/>
  <c r="B603" i="2"/>
  <c r="B603" i="3" s="1"/>
  <c r="A603" i="2"/>
  <c r="A603" i="3" s="1"/>
  <c r="T602" i="2"/>
  <c r="S602" i="2"/>
  <c r="G602" i="2"/>
  <c r="G602" i="3" s="1"/>
  <c r="F602" i="2"/>
  <c r="F602" i="3" s="1"/>
  <c r="E602" i="2"/>
  <c r="D602" i="2"/>
  <c r="D602" i="3" s="1"/>
  <c r="C602" i="2"/>
  <c r="C602" i="3" s="1"/>
  <c r="B602" i="2"/>
  <c r="B602" i="3" s="1"/>
  <c r="A602" i="2"/>
  <c r="A602" i="3" s="1"/>
  <c r="T601" i="2"/>
  <c r="G601" i="2"/>
  <c r="G601" i="3" s="1"/>
  <c r="F601" i="2"/>
  <c r="E601" i="2"/>
  <c r="E601" i="3" s="1"/>
  <c r="D601" i="2"/>
  <c r="D601" i="3" s="1"/>
  <c r="C601" i="2"/>
  <c r="B601" i="2"/>
  <c r="B601" i="3" s="1"/>
  <c r="A601" i="2"/>
  <c r="A601" i="3" s="1"/>
  <c r="U600" i="2"/>
  <c r="G600" i="2"/>
  <c r="G600" i="3" s="1"/>
  <c r="F600" i="2"/>
  <c r="E600" i="2"/>
  <c r="D600" i="2"/>
  <c r="C600" i="2"/>
  <c r="B600" i="2"/>
  <c r="B600" i="3" s="1"/>
  <c r="A600" i="2"/>
  <c r="A600" i="3" s="1"/>
  <c r="U599" i="2"/>
  <c r="S599" i="2"/>
  <c r="G599" i="2"/>
  <c r="G599" i="3" s="1"/>
  <c r="F599" i="2"/>
  <c r="F599" i="3" s="1"/>
  <c r="E599" i="2"/>
  <c r="D599" i="2"/>
  <c r="D599" i="3" s="1"/>
  <c r="C599" i="2"/>
  <c r="B599" i="2"/>
  <c r="B599" i="3" s="1"/>
  <c r="A599" i="2"/>
  <c r="A599" i="3" s="1"/>
  <c r="T598" i="2"/>
  <c r="S598" i="2"/>
  <c r="G598" i="2"/>
  <c r="F598" i="2"/>
  <c r="E598" i="2"/>
  <c r="E598" i="3" s="1"/>
  <c r="D598" i="2"/>
  <c r="D598" i="3" s="1"/>
  <c r="C598" i="2"/>
  <c r="C598" i="3" s="1"/>
  <c r="B598" i="2"/>
  <c r="B598" i="3" s="1"/>
  <c r="A598" i="2"/>
  <c r="A598" i="3" s="1"/>
  <c r="R597" i="2"/>
  <c r="G597" i="2"/>
  <c r="G597" i="3" s="1"/>
  <c r="F597" i="2"/>
  <c r="F597" i="3" s="1"/>
  <c r="E597" i="2"/>
  <c r="E597" i="3" s="1"/>
  <c r="D597" i="2"/>
  <c r="C597" i="2"/>
  <c r="B597" i="2"/>
  <c r="B597" i="3" s="1"/>
  <c r="A597" i="2"/>
  <c r="A597" i="3" s="1"/>
  <c r="T596" i="2"/>
  <c r="R596" i="2"/>
  <c r="G596" i="2"/>
  <c r="G596" i="3" s="1"/>
  <c r="F596" i="2"/>
  <c r="E596" i="2"/>
  <c r="E596" i="3" s="1"/>
  <c r="D596" i="2"/>
  <c r="D596" i="3" s="1"/>
  <c r="C596" i="2"/>
  <c r="C596" i="3" s="1"/>
  <c r="B596" i="2"/>
  <c r="B596" i="3" s="1"/>
  <c r="A596" i="2"/>
  <c r="A596" i="3" s="1"/>
  <c r="U595" i="2"/>
  <c r="G595" i="2"/>
  <c r="F595" i="2"/>
  <c r="F595" i="3" s="1"/>
  <c r="E595" i="2"/>
  <c r="E595" i="3" s="1"/>
  <c r="D595" i="2"/>
  <c r="C595" i="2"/>
  <c r="C595" i="3" s="1"/>
  <c r="B595" i="2"/>
  <c r="B595" i="3" s="1"/>
  <c r="A595" i="2"/>
  <c r="A595" i="3" s="1"/>
  <c r="S594" i="2"/>
  <c r="G594" i="2"/>
  <c r="G594" i="3" s="1"/>
  <c r="F594" i="2"/>
  <c r="F594" i="3" s="1"/>
  <c r="E594" i="2"/>
  <c r="D594" i="2"/>
  <c r="D594" i="3" s="1"/>
  <c r="C594" i="2"/>
  <c r="C594" i="3" s="1"/>
  <c r="B594" i="2"/>
  <c r="B594" i="3" s="1"/>
  <c r="A594" i="2"/>
  <c r="A594" i="3" s="1"/>
  <c r="T593" i="2"/>
  <c r="R593" i="2"/>
  <c r="G593" i="2"/>
  <c r="G593" i="3" s="1"/>
  <c r="F593" i="2"/>
  <c r="F593" i="3" s="1"/>
  <c r="E593" i="2"/>
  <c r="E593" i="3" s="1"/>
  <c r="D593" i="2"/>
  <c r="D593" i="3" s="1"/>
  <c r="C593" i="2"/>
  <c r="B593" i="2"/>
  <c r="B593" i="3" s="1"/>
  <c r="A593" i="2"/>
  <c r="A593" i="3" s="1"/>
  <c r="T592" i="2"/>
  <c r="R592" i="2"/>
  <c r="G592" i="2"/>
  <c r="G592" i="3" s="1"/>
  <c r="F592" i="2"/>
  <c r="E592" i="2"/>
  <c r="E592" i="3" s="1"/>
  <c r="D592" i="2"/>
  <c r="D592" i="3" s="1"/>
  <c r="C592" i="2"/>
  <c r="C592" i="3" s="1"/>
  <c r="B592" i="2"/>
  <c r="B592" i="3" s="1"/>
  <c r="A592" i="2"/>
  <c r="A592" i="3" s="1"/>
  <c r="U591" i="2"/>
  <c r="G591" i="2"/>
  <c r="F591" i="2"/>
  <c r="F591" i="3" s="1"/>
  <c r="E591" i="2"/>
  <c r="E591" i="3" s="1"/>
  <c r="D591" i="2"/>
  <c r="C591" i="2"/>
  <c r="C591" i="3" s="1"/>
  <c r="B591" i="2"/>
  <c r="B591" i="3" s="1"/>
  <c r="A591" i="2"/>
  <c r="A591" i="3" s="1"/>
  <c r="S590" i="2"/>
  <c r="G590" i="2"/>
  <c r="G590" i="3" s="1"/>
  <c r="F590" i="2"/>
  <c r="F590" i="3" s="1"/>
  <c r="E590" i="2"/>
  <c r="D590" i="2"/>
  <c r="D590" i="3" s="1"/>
  <c r="C590" i="2"/>
  <c r="C590" i="3" s="1"/>
  <c r="B590" i="2"/>
  <c r="B590" i="3" s="1"/>
  <c r="A590" i="2"/>
  <c r="A590" i="3" s="1"/>
  <c r="T589" i="2"/>
  <c r="R589" i="2"/>
  <c r="G589" i="2"/>
  <c r="G589" i="3" s="1"/>
  <c r="F589" i="2"/>
  <c r="F589" i="3" s="1"/>
  <c r="E589" i="2"/>
  <c r="E589" i="3" s="1"/>
  <c r="D589" i="2"/>
  <c r="D589" i="3" s="1"/>
  <c r="C589" i="2"/>
  <c r="B589" i="2"/>
  <c r="B589" i="3" s="1"/>
  <c r="A589" i="2"/>
  <c r="A589" i="3" s="1"/>
  <c r="T588" i="2"/>
  <c r="R588" i="2"/>
  <c r="G588" i="2"/>
  <c r="G588" i="3" s="1"/>
  <c r="F588" i="2"/>
  <c r="E588" i="2"/>
  <c r="E588" i="3" s="1"/>
  <c r="D588" i="2"/>
  <c r="D588" i="3" s="1"/>
  <c r="C588" i="2"/>
  <c r="C588" i="3" s="1"/>
  <c r="B588" i="2"/>
  <c r="B588" i="3" s="1"/>
  <c r="A588" i="2"/>
  <c r="A588" i="3" s="1"/>
  <c r="U587" i="2"/>
  <c r="G587" i="2"/>
  <c r="F587" i="2"/>
  <c r="F587" i="3" s="1"/>
  <c r="E587" i="2"/>
  <c r="E587" i="3" s="1"/>
  <c r="K587" i="3" s="1"/>
  <c r="D587" i="2"/>
  <c r="C587" i="2"/>
  <c r="C587" i="3" s="1"/>
  <c r="B587" i="2"/>
  <c r="B587" i="3" s="1"/>
  <c r="A587" i="2"/>
  <c r="A587" i="3" s="1"/>
  <c r="S586" i="2"/>
  <c r="G586" i="2"/>
  <c r="G586" i="3" s="1"/>
  <c r="F586" i="2"/>
  <c r="F586" i="3" s="1"/>
  <c r="E586" i="2"/>
  <c r="D586" i="2"/>
  <c r="D586" i="3" s="1"/>
  <c r="C586" i="2"/>
  <c r="C586" i="3" s="1"/>
  <c r="B586" i="2"/>
  <c r="B586" i="3" s="1"/>
  <c r="A586" i="2"/>
  <c r="A586" i="3" s="1"/>
  <c r="T585" i="2"/>
  <c r="R585" i="2"/>
  <c r="G585" i="2"/>
  <c r="G585" i="3" s="1"/>
  <c r="F585" i="2"/>
  <c r="F585" i="3" s="1"/>
  <c r="E585" i="2"/>
  <c r="E585" i="3" s="1"/>
  <c r="D585" i="2"/>
  <c r="D585" i="3" s="1"/>
  <c r="C585" i="2"/>
  <c r="B585" i="2"/>
  <c r="B585" i="3" s="1"/>
  <c r="A585" i="2"/>
  <c r="A585" i="3" s="1"/>
  <c r="T584" i="2"/>
  <c r="R584" i="2"/>
  <c r="G584" i="2"/>
  <c r="G584" i="3" s="1"/>
  <c r="F584" i="2"/>
  <c r="E584" i="2"/>
  <c r="E584" i="3" s="1"/>
  <c r="D584" i="2"/>
  <c r="D584" i="3" s="1"/>
  <c r="C584" i="2"/>
  <c r="C584" i="3" s="1"/>
  <c r="B584" i="2"/>
  <c r="B584" i="3" s="1"/>
  <c r="A584" i="2"/>
  <c r="A584" i="3" s="1"/>
  <c r="U583" i="2"/>
  <c r="G583" i="2"/>
  <c r="F583" i="2"/>
  <c r="F583" i="3" s="1"/>
  <c r="E583" i="2"/>
  <c r="E583" i="3" s="1"/>
  <c r="K583" i="3" s="1"/>
  <c r="D583" i="2"/>
  <c r="C583" i="2"/>
  <c r="C583" i="3" s="1"/>
  <c r="B583" i="2"/>
  <c r="B583" i="3" s="1"/>
  <c r="A583" i="2"/>
  <c r="A583" i="3" s="1"/>
  <c r="S582" i="2"/>
  <c r="G582" i="2"/>
  <c r="G582" i="3" s="1"/>
  <c r="F582" i="2"/>
  <c r="F582" i="3" s="1"/>
  <c r="E582" i="2"/>
  <c r="D582" i="2"/>
  <c r="D582" i="3" s="1"/>
  <c r="C582" i="2"/>
  <c r="C582" i="3" s="1"/>
  <c r="B582" i="2"/>
  <c r="B582" i="3" s="1"/>
  <c r="A582" i="2"/>
  <c r="A582" i="3" s="1"/>
  <c r="T581" i="2"/>
  <c r="R581" i="2"/>
  <c r="G581" i="2"/>
  <c r="G581" i="3" s="1"/>
  <c r="F581" i="2"/>
  <c r="F581" i="3" s="1"/>
  <c r="E581" i="2"/>
  <c r="E581" i="3" s="1"/>
  <c r="D581" i="2"/>
  <c r="D581" i="3" s="1"/>
  <c r="C581" i="2"/>
  <c r="B581" i="2"/>
  <c r="B581" i="3" s="1"/>
  <c r="A581" i="2"/>
  <c r="A581" i="3" s="1"/>
  <c r="T580" i="2"/>
  <c r="R580" i="2"/>
  <c r="G580" i="2"/>
  <c r="G580" i="3" s="1"/>
  <c r="F580" i="2"/>
  <c r="E580" i="2"/>
  <c r="E580" i="3" s="1"/>
  <c r="D580" i="2"/>
  <c r="D580" i="3" s="1"/>
  <c r="C580" i="2"/>
  <c r="C580" i="3" s="1"/>
  <c r="B580" i="2"/>
  <c r="B580" i="3" s="1"/>
  <c r="A580" i="2"/>
  <c r="A580" i="3" s="1"/>
  <c r="U579" i="2"/>
  <c r="G579" i="2"/>
  <c r="F579" i="2"/>
  <c r="F579" i="3" s="1"/>
  <c r="E579" i="2"/>
  <c r="E579" i="3" s="1"/>
  <c r="K579" i="3" s="1"/>
  <c r="D579" i="2"/>
  <c r="C579" i="2"/>
  <c r="C579" i="3" s="1"/>
  <c r="B579" i="2"/>
  <c r="B579" i="3" s="1"/>
  <c r="A579" i="2"/>
  <c r="A579" i="3" s="1"/>
  <c r="S578" i="2"/>
  <c r="G578" i="2"/>
  <c r="G578" i="3" s="1"/>
  <c r="F578" i="2"/>
  <c r="F578" i="3" s="1"/>
  <c r="E578" i="2"/>
  <c r="D578" i="2"/>
  <c r="D578" i="3" s="1"/>
  <c r="C578" i="2"/>
  <c r="C578" i="3" s="1"/>
  <c r="B578" i="2"/>
  <c r="B578" i="3" s="1"/>
  <c r="A578" i="2"/>
  <c r="A578" i="3" s="1"/>
  <c r="T577" i="2"/>
  <c r="R577" i="2"/>
  <c r="G577" i="2"/>
  <c r="G577" i="3" s="1"/>
  <c r="F577" i="2"/>
  <c r="F577" i="3" s="1"/>
  <c r="E577" i="2"/>
  <c r="E577" i="3" s="1"/>
  <c r="D577" i="2"/>
  <c r="D577" i="3" s="1"/>
  <c r="C577" i="2"/>
  <c r="B577" i="2"/>
  <c r="B577" i="3" s="1"/>
  <c r="A577" i="2"/>
  <c r="A577" i="3" s="1"/>
  <c r="T576" i="2"/>
  <c r="R576" i="2"/>
  <c r="G576" i="2"/>
  <c r="G576" i="3" s="1"/>
  <c r="F576" i="2"/>
  <c r="E576" i="2"/>
  <c r="E576" i="3" s="1"/>
  <c r="D576" i="2"/>
  <c r="D576" i="3" s="1"/>
  <c r="C576" i="2"/>
  <c r="C576" i="3" s="1"/>
  <c r="B576" i="2"/>
  <c r="B576" i="3" s="1"/>
  <c r="A576" i="2"/>
  <c r="A576" i="3" s="1"/>
  <c r="U575" i="2"/>
  <c r="G575" i="2"/>
  <c r="F575" i="2"/>
  <c r="F575" i="3" s="1"/>
  <c r="E575" i="2"/>
  <c r="E575" i="3" s="1"/>
  <c r="K575" i="3" s="1"/>
  <c r="D575" i="2"/>
  <c r="C575" i="2"/>
  <c r="C575" i="3" s="1"/>
  <c r="B575" i="2"/>
  <c r="B575" i="3" s="1"/>
  <c r="A575" i="2"/>
  <c r="A575" i="3" s="1"/>
  <c r="S574" i="2"/>
  <c r="G574" i="2"/>
  <c r="G574" i="3" s="1"/>
  <c r="F574" i="2"/>
  <c r="F574" i="3" s="1"/>
  <c r="E574" i="2"/>
  <c r="D574" i="2"/>
  <c r="D574" i="3" s="1"/>
  <c r="C574" i="2"/>
  <c r="C574" i="3" s="1"/>
  <c r="B574" i="2"/>
  <c r="B574" i="3" s="1"/>
  <c r="A574" i="2"/>
  <c r="A574" i="3" s="1"/>
  <c r="T573" i="2"/>
  <c r="R573" i="2"/>
  <c r="G573" i="2"/>
  <c r="G573" i="3" s="1"/>
  <c r="F573" i="2"/>
  <c r="F573" i="3" s="1"/>
  <c r="E573" i="2"/>
  <c r="E573" i="3" s="1"/>
  <c r="D573" i="2"/>
  <c r="D573" i="3" s="1"/>
  <c r="C573" i="2"/>
  <c r="B573" i="2"/>
  <c r="B573" i="3" s="1"/>
  <c r="A573" i="2"/>
  <c r="A573" i="3" s="1"/>
  <c r="T572" i="2"/>
  <c r="R572" i="2"/>
  <c r="G572" i="2"/>
  <c r="G572" i="3" s="1"/>
  <c r="F572" i="2"/>
  <c r="E572" i="2"/>
  <c r="E572" i="3" s="1"/>
  <c r="D572" i="2"/>
  <c r="D572" i="3" s="1"/>
  <c r="C572" i="2"/>
  <c r="C572" i="3" s="1"/>
  <c r="B572" i="2"/>
  <c r="B572" i="3" s="1"/>
  <c r="A572" i="2"/>
  <c r="A572" i="3" s="1"/>
  <c r="U571" i="2"/>
  <c r="G571" i="2"/>
  <c r="F571" i="2"/>
  <c r="F571" i="3" s="1"/>
  <c r="E571" i="2"/>
  <c r="E571" i="3" s="1"/>
  <c r="K571" i="3" s="1"/>
  <c r="D571" i="2"/>
  <c r="C571" i="2"/>
  <c r="C571" i="3" s="1"/>
  <c r="B571" i="2"/>
  <c r="B571" i="3" s="1"/>
  <c r="A571" i="2"/>
  <c r="A571" i="3" s="1"/>
  <c r="S570" i="2"/>
  <c r="G570" i="2"/>
  <c r="G570" i="3" s="1"/>
  <c r="F570" i="2"/>
  <c r="F570" i="3" s="1"/>
  <c r="E570" i="2"/>
  <c r="D570" i="2"/>
  <c r="D570" i="3" s="1"/>
  <c r="C570" i="2"/>
  <c r="C570" i="3" s="1"/>
  <c r="B570" i="2"/>
  <c r="B570" i="3" s="1"/>
  <c r="A570" i="2"/>
  <c r="A570" i="3" s="1"/>
  <c r="T569" i="2"/>
  <c r="R569" i="2"/>
  <c r="G569" i="2"/>
  <c r="G569" i="3" s="1"/>
  <c r="F569" i="2"/>
  <c r="F569" i="3" s="1"/>
  <c r="E569" i="2"/>
  <c r="E569" i="3" s="1"/>
  <c r="D569" i="2"/>
  <c r="D569" i="3" s="1"/>
  <c r="C569" i="2"/>
  <c r="B569" i="2"/>
  <c r="B569" i="3" s="1"/>
  <c r="A569" i="2"/>
  <c r="A569" i="3" s="1"/>
  <c r="T568" i="2"/>
  <c r="R568" i="2"/>
  <c r="G568" i="2"/>
  <c r="G568" i="3" s="1"/>
  <c r="F568" i="2"/>
  <c r="E568" i="2"/>
  <c r="E568" i="3" s="1"/>
  <c r="D568" i="2"/>
  <c r="D568" i="3" s="1"/>
  <c r="C568" i="2"/>
  <c r="C568" i="3" s="1"/>
  <c r="B568" i="2"/>
  <c r="B568" i="3" s="1"/>
  <c r="A568" i="2"/>
  <c r="A568" i="3" s="1"/>
  <c r="U567" i="2"/>
  <c r="G567" i="2"/>
  <c r="F567" i="2"/>
  <c r="F567" i="3" s="1"/>
  <c r="E567" i="2"/>
  <c r="E567" i="3" s="1"/>
  <c r="K567" i="3" s="1"/>
  <c r="D567" i="2"/>
  <c r="C567" i="2"/>
  <c r="C567" i="3" s="1"/>
  <c r="B567" i="2"/>
  <c r="B567" i="3" s="1"/>
  <c r="A567" i="2"/>
  <c r="A567" i="3" s="1"/>
  <c r="S566" i="2"/>
  <c r="G566" i="2"/>
  <c r="G566" i="3" s="1"/>
  <c r="F566" i="2"/>
  <c r="F566" i="3" s="1"/>
  <c r="E566" i="2"/>
  <c r="D566" i="2"/>
  <c r="D566" i="3" s="1"/>
  <c r="C566" i="2"/>
  <c r="C566" i="3" s="1"/>
  <c r="B566" i="2"/>
  <c r="B566" i="3" s="1"/>
  <c r="A566" i="2"/>
  <c r="A566" i="3" s="1"/>
  <c r="T565" i="2"/>
  <c r="R565" i="2"/>
  <c r="G565" i="2"/>
  <c r="G565" i="3" s="1"/>
  <c r="F565" i="2"/>
  <c r="F565" i="3" s="1"/>
  <c r="E565" i="2"/>
  <c r="E565" i="3" s="1"/>
  <c r="D565" i="2"/>
  <c r="D565" i="3" s="1"/>
  <c r="C565" i="2"/>
  <c r="B565" i="2"/>
  <c r="B565" i="3" s="1"/>
  <c r="A565" i="2"/>
  <c r="A565" i="3" s="1"/>
  <c r="T564" i="2"/>
  <c r="R564" i="2"/>
  <c r="G564" i="2"/>
  <c r="G564" i="3" s="1"/>
  <c r="F564" i="2"/>
  <c r="E564" i="2"/>
  <c r="E564" i="3" s="1"/>
  <c r="D564" i="2"/>
  <c r="D564" i="3" s="1"/>
  <c r="C564" i="2"/>
  <c r="C564" i="3" s="1"/>
  <c r="B564" i="2"/>
  <c r="B564" i="3" s="1"/>
  <c r="A564" i="2"/>
  <c r="A564" i="3" s="1"/>
  <c r="U563" i="2"/>
  <c r="G563" i="2"/>
  <c r="F563" i="2"/>
  <c r="F563" i="3" s="1"/>
  <c r="E563" i="2"/>
  <c r="E563" i="3" s="1"/>
  <c r="K563" i="3" s="1"/>
  <c r="D563" i="2"/>
  <c r="C563" i="2"/>
  <c r="C563" i="3" s="1"/>
  <c r="B563" i="2"/>
  <c r="B563" i="3" s="1"/>
  <c r="A563" i="2"/>
  <c r="A563" i="3" s="1"/>
  <c r="S562" i="2"/>
  <c r="G562" i="2"/>
  <c r="G562" i="3" s="1"/>
  <c r="F562" i="2"/>
  <c r="F562" i="3" s="1"/>
  <c r="E562" i="2"/>
  <c r="D562" i="2"/>
  <c r="D562" i="3" s="1"/>
  <c r="C562" i="2"/>
  <c r="C562" i="3" s="1"/>
  <c r="B562" i="2"/>
  <c r="B562" i="3" s="1"/>
  <c r="A562" i="2"/>
  <c r="A562" i="3" s="1"/>
  <c r="T561" i="2"/>
  <c r="R561" i="2"/>
  <c r="G561" i="2"/>
  <c r="G561" i="3" s="1"/>
  <c r="F561" i="2"/>
  <c r="F561" i="3" s="1"/>
  <c r="E561" i="2"/>
  <c r="E561" i="3" s="1"/>
  <c r="D561" i="2"/>
  <c r="D561" i="3" s="1"/>
  <c r="C561" i="2"/>
  <c r="B561" i="2"/>
  <c r="B561" i="3" s="1"/>
  <c r="A561" i="2"/>
  <c r="A561" i="3" s="1"/>
  <c r="T560" i="2"/>
  <c r="R560" i="2"/>
  <c r="G560" i="2"/>
  <c r="G560" i="3" s="1"/>
  <c r="F560" i="2"/>
  <c r="E560" i="2"/>
  <c r="E560" i="3" s="1"/>
  <c r="D560" i="2"/>
  <c r="D560" i="3" s="1"/>
  <c r="C560" i="2"/>
  <c r="C560" i="3" s="1"/>
  <c r="B560" i="2"/>
  <c r="B560" i="3" s="1"/>
  <c r="A560" i="2"/>
  <c r="A560" i="3" s="1"/>
  <c r="U559" i="2"/>
  <c r="G559" i="2"/>
  <c r="F559" i="2"/>
  <c r="F559" i="3" s="1"/>
  <c r="E559" i="2"/>
  <c r="E559" i="3" s="1"/>
  <c r="K559" i="3" s="1"/>
  <c r="D559" i="2"/>
  <c r="C559" i="2"/>
  <c r="C559" i="3" s="1"/>
  <c r="B559" i="2"/>
  <c r="B559" i="3" s="1"/>
  <c r="A559" i="2"/>
  <c r="A559" i="3" s="1"/>
  <c r="S558" i="2"/>
  <c r="G558" i="2"/>
  <c r="G558" i="3" s="1"/>
  <c r="F558" i="2"/>
  <c r="F558" i="3" s="1"/>
  <c r="E558" i="2"/>
  <c r="D558" i="2"/>
  <c r="D558" i="3" s="1"/>
  <c r="C558" i="2"/>
  <c r="C558" i="3" s="1"/>
  <c r="B558" i="2"/>
  <c r="B558" i="3" s="1"/>
  <c r="A558" i="2"/>
  <c r="A558" i="3" s="1"/>
  <c r="T557" i="2"/>
  <c r="R557" i="2"/>
  <c r="G557" i="2"/>
  <c r="G557" i="3" s="1"/>
  <c r="F557" i="2"/>
  <c r="F557" i="3" s="1"/>
  <c r="E557" i="2"/>
  <c r="E557" i="3" s="1"/>
  <c r="D557" i="2"/>
  <c r="D557" i="3" s="1"/>
  <c r="C557" i="2"/>
  <c r="B557" i="2"/>
  <c r="B557" i="3" s="1"/>
  <c r="A557" i="2"/>
  <c r="A557" i="3" s="1"/>
  <c r="T556" i="2"/>
  <c r="R556" i="2"/>
  <c r="G556" i="2"/>
  <c r="G556" i="3" s="1"/>
  <c r="F556" i="2"/>
  <c r="E556" i="2"/>
  <c r="E556" i="3" s="1"/>
  <c r="D556" i="2"/>
  <c r="D556" i="3" s="1"/>
  <c r="C556" i="2"/>
  <c r="C556" i="3" s="1"/>
  <c r="B556" i="2"/>
  <c r="B556" i="3" s="1"/>
  <c r="A556" i="2"/>
  <c r="A556" i="3" s="1"/>
  <c r="U555" i="2"/>
  <c r="G555" i="2"/>
  <c r="F555" i="2"/>
  <c r="F555" i="3" s="1"/>
  <c r="E555" i="2"/>
  <c r="E555" i="3" s="1"/>
  <c r="K555" i="3" s="1"/>
  <c r="D555" i="2"/>
  <c r="C555" i="2"/>
  <c r="C555" i="3" s="1"/>
  <c r="B555" i="2"/>
  <c r="B555" i="3" s="1"/>
  <c r="A555" i="2"/>
  <c r="A555" i="3" s="1"/>
  <c r="S554" i="2"/>
  <c r="G554" i="2"/>
  <c r="G554" i="3" s="1"/>
  <c r="F554" i="2"/>
  <c r="F554" i="3" s="1"/>
  <c r="E554" i="2"/>
  <c r="D554" i="2"/>
  <c r="D554" i="3" s="1"/>
  <c r="C554" i="2"/>
  <c r="C554" i="3" s="1"/>
  <c r="B554" i="2"/>
  <c r="B554" i="3" s="1"/>
  <c r="A554" i="2"/>
  <c r="A554" i="3" s="1"/>
  <c r="U553" i="2"/>
  <c r="T553" i="2"/>
  <c r="R553" i="2"/>
  <c r="G553" i="2"/>
  <c r="G553" i="3" s="1"/>
  <c r="F553" i="2"/>
  <c r="F553" i="3" s="1"/>
  <c r="E553" i="2"/>
  <c r="E553" i="3" s="1"/>
  <c r="D553" i="2"/>
  <c r="D553" i="3" s="1"/>
  <c r="C553" i="2"/>
  <c r="B553" i="2"/>
  <c r="B553" i="3" s="1"/>
  <c r="A553" i="2"/>
  <c r="A553" i="3" s="1"/>
  <c r="T552" i="2"/>
  <c r="S552" i="2"/>
  <c r="R552" i="2"/>
  <c r="G552" i="2"/>
  <c r="G552" i="3" s="1"/>
  <c r="F552" i="2"/>
  <c r="E552" i="2"/>
  <c r="E552" i="3" s="1"/>
  <c r="D552" i="2"/>
  <c r="D552" i="3" s="1"/>
  <c r="C552" i="2"/>
  <c r="C552" i="3" s="1"/>
  <c r="B552" i="2"/>
  <c r="B552" i="3" s="1"/>
  <c r="A552" i="2"/>
  <c r="A552" i="3" s="1"/>
  <c r="U551" i="2"/>
  <c r="G551" i="2"/>
  <c r="F551" i="2"/>
  <c r="F551" i="3" s="1"/>
  <c r="E551" i="2"/>
  <c r="E551" i="3" s="1"/>
  <c r="K551" i="3" s="1"/>
  <c r="D551" i="2"/>
  <c r="C551" i="2"/>
  <c r="C551" i="3" s="1"/>
  <c r="B551" i="2"/>
  <c r="B551" i="3" s="1"/>
  <c r="A551" i="2"/>
  <c r="A551" i="3" s="1"/>
  <c r="S550" i="2"/>
  <c r="G550" i="2"/>
  <c r="G550" i="3" s="1"/>
  <c r="F550" i="2"/>
  <c r="F550" i="3" s="1"/>
  <c r="E550" i="2"/>
  <c r="D550" i="2"/>
  <c r="D550" i="3" s="1"/>
  <c r="C550" i="2"/>
  <c r="C550" i="3" s="1"/>
  <c r="B550" i="2"/>
  <c r="B550" i="3" s="1"/>
  <c r="A550" i="2"/>
  <c r="A550" i="3" s="1"/>
  <c r="U549" i="2"/>
  <c r="T549" i="2"/>
  <c r="R549" i="2"/>
  <c r="G549" i="2"/>
  <c r="G549" i="3" s="1"/>
  <c r="F549" i="2"/>
  <c r="F549" i="3" s="1"/>
  <c r="E549" i="2"/>
  <c r="E549" i="3" s="1"/>
  <c r="D549" i="2"/>
  <c r="D549" i="3" s="1"/>
  <c r="C549" i="2"/>
  <c r="B549" i="2"/>
  <c r="B549" i="3" s="1"/>
  <c r="A549" i="2"/>
  <c r="A549" i="3" s="1"/>
  <c r="T548" i="2"/>
  <c r="S548" i="2"/>
  <c r="R548" i="2"/>
  <c r="G548" i="2"/>
  <c r="G548" i="3" s="1"/>
  <c r="F548" i="2"/>
  <c r="E548" i="2"/>
  <c r="E548" i="3" s="1"/>
  <c r="D548" i="2"/>
  <c r="D548" i="3" s="1"/>
  <c r="C548" i="2"/>
  <c r="C548" i="3" s="1"/>
  <c r="B548" i="2"/>
  <c r="B548" i="3" s="1"/>
  <c r="A548" i="2"/>
  <c r="A548" i="3" s="1"/>
  <c r="U547" i="2"/>
  <c r="G547" i="2"/>
  <c r="F547" i="2"/>
  <c r="F547" i="3" s="1"/>
  <c r="E547" i="2"/>
  <c r="E547" i="3" s="1"/>
  <c r="K547" i="3" s="1"/>
  <c r="D547" i="2"/>
  <c r="C547" i="2"/>
  <c r="C547" i="3" s="1"/>
  <c r="B547" i="2"/>
  <c r="B547" i="3" s="1"/>
  <c r="A547" i="2"/>
  <c r="A547" i="3" s="1"/>
  <c r="S546" i="2"/>
  <c r="G546" i="2"/>
  <c r="G546" i="3" s="1"/>
  <c r="F546" i="2"/>
  <c r="E546" i="2"/>
  <c r="D546" i="2"/>
  <c r="D546" i="3" s="1"/>
  <c r="C546" i="2"/>
  <c r="C546" i="3" s="1"/>
  <c r="B546" i="2"/>
  <c r="B546" i="3" s="1"/>
  <c r="A546" i="2"/>
  <c r="A546" i="3" s="1"/>
  <c r="U545" i="2"/>
  <c r="T545" i="2"/>
  <c r="R545" i="2"/>
  <c r="G545" i="2"/>
  <c r="G545" i="3" s="1"/>
  <c r="F545" i="2"/>
  <c r="F545" i="3" s="1"/>
  <c r="E545" i="2"/>
  <c r="E545" i="3" s="1"/>
  <c r="D545" i="2"/>
  <c r="C545" i="2"/>
  <c r="B545" i="2"/>
  <c r="B545" i="3" s="1"/>
  <c r="A545" i="2"/>
  <c r="A545" i="3" s="1"/>
  <c r="T544" i="2"/>
  <c r="S544" i="2"/>
  <c r="R544" i="2"/>
  <c r="G544" i="2"/>
  <c r="G544" i="3" s="1"/>
  <c r="F544" i="2"/>
  <c r="E544" i="2"/>
  <c r="E544" i="3" s="1"/>
  <c r="D544" i="2"/>
  <c r="D544" i="3" s="1"/>
  <c r="C544" i="2"/>
  <c r="C544" i="3" s="1"/>
  <c r="B544" i="2"/>
  <c r="B544" i="3" s="1"/>
  <c r="A544" i="2"/>
  <c r="A544" i="3" s="1"/>
  <c r="U543" i="2"/>
  <c r="G543" i="2"/>
  <c r="F543" i="2"/>
  <c r="F543" i="3" s="1"/>
  <c r="E543" i="2"/>
  <c r="E543" i="3" s="1"/>
  <c r="K543" i="3" s="1"/>
  <c r="D543" i="2"/>
  <c r="C543" i="2"/>
  <c r="C543" i="3" s="1"/>
  <c r="B543" i="2"/>
  <c r="B543" i="3" s="1"/>
  <c r="A543" i="2"/>
  <c r="A543" i="3" s="1"/>
  <c r="S542" i="2"/>
  <c r="G542" i="2"/>
  <c r="G542" i="3" s="1"/>
  <c r="F542" i="2"/>
  <c r="E542" i="2"/>
  <c r="D542" i="2"/>
  <c r="D542" i="3" s="1"/>
  <c r="C542" i="2"/>
  <c r="C542" i="3" s="1"/>
  <c r="B542" i="2"/>
  <c r="B542" i="3" s="1"/>
  <c r="A542" i="2"/>
  <c r="A542" i="3" s="1"/>
  <c r="T541" i="2"/>
  <c r="R541" i="2"/>
  <c r="G541" i="2"/>
  <c r="G541" i="3" s="1"/>
  <c r="F541" i="2"/>
  <c r="F541" i="3" s="1"/>
  <c r="E541" i="2"/>
  <c r="E541" i="3" s="1"/>
  <c r="D541" i="2"/>
  <c r="C541" i="2"/>
  <c r="B541" i="2"/>
  <c r="B541" i="3" s="1"/>
  <c r="A541" i="2"/>
  <c r="A541" i="3" s="1"/>
  <c r="T540" i="2"/>
  <c r="R540" i="2"/>
  <c r="G540" i="2"/>
  <c r="G540" i="3" s="1"/>
  <c r="F540" i="2"/>
  <c r="E540" i="2"/>
  <c r="E540" i="3" s="1"/>
  <c r="D540" i="2"/>
  <c r="D540" i="3" s="1"/>
  <c r="C540" i="2"/>
  <c r="C540" i="3" s="1"/>
  <c r="B540" i="2"/>
  <c r="B540" i="3" s="1"/>
  <c r="A540" i="2"/>
  <c r="A540" i="3" s="1"/>
  <c r="U539" i="2"/>
  <c r="G539" i="2"/>
  <c r="F539" i="2"/>
  <c r="F539" i="3" s="1"/>
  <c r="E539" i="2"/>
  <c r="E539" i="3" s="1"/>
  <c r="K539" i="3" s="1"/>
  <c r="D539" i="2"/>
  <c r="D539" i="3" s="1"/>
  <c r="C539" i="2"/>
  <c r="C539" i="3" s="1"/>
  <c r="B539" i="2"/>
  <c r="B539" i="3" s="1"/>
  <c r="A539" i="2"/>
  <c r="A539" i="3" s="1"/>
  <c r="S538" i="2"/>
  <c r="G538" i="2"/>
  <c r="G538" i="3" s="1"/>
  <c r="F538" i="2"/>
  <c r="E538" i="2"/>
  <c r="D538" i="2"/>
  <c r="D538" i="3" s="1"/>
  <c r="C538" i="2"/>
  <c r="C538" i="3" s="1"/>
  <c r="B538" i="2"/>
  <c r="B538" i="3" s="1"/>
  <c r="A538" i="2"/>
  <c r="A538" i="3" s="1"/>
  <c r="U537" i="2"/>
  <c r="T537" i="2"/>
  <c r="R537" i="2"/>
  <c r="G537" i="2"/>
  <c r="G537" i="3" s="1"/>
  <c r="F537" i="2"/>
  <c r="F537" i="3" s="1"/>
  <c r="E537" i="2"/>
  <c r="E537" i="3" s="1"/>
  <c r="D537" i="2"/>
  <c r="C537" i="2"/>
  <c r="B537" i="2"/>
  <c r="B537" i="3" s="1"/>
  <c r="A537" i="2"/>
  <c r="A537" i="3" s="1"/>
  <c r="U536" i="2"/>
  <c r="T536" i="2"/>
  <c r="R536" i="2"/>
  <c r="G536" i="2"/>
  <c r="G536" i="3" s="1"/>
  <c r="F536" i="2"/>
  <c r="E536" i="2"/>
  <c r="E536" i="3" s="1"/>
  <c r="D536" i="2"/>
  <c r="D536" i="3" s="1"/>
  <c r="C536" i="2"/>
  <c r="C536" i="3" s="1"/>
  <c r="B536" i="2"/>
  <c r="B536" i="3" s="1"/>
  <c r="A536" i="2"/>
  <c r="A536" i="3" s="1"/>
  <c r="U535" i="2"/>
  <c r="S535" i="2"/>
  <c r="G535" i="2"/>
  <c r="F535" i="2"/>
  <c r="F535" i="3" s="1"/>
  <c r="E535" i="2"/>
  <c r="E535" i="3" s="1"/>
  <c r="K535" i="3" s="1"/>
  <c r="D535" i="2"/>
  <c r="D535" i="3" s="1"/>
  <c r="C535" i="2"/>
  <c r="C535" i="3" s="1"/>
  <c r="B535" i="2"/>
  <c r="B535" i="3" s="1"/>
  <c r="A535" i="2"/>
  <c r="A535" i="3" s="1"/>
  <c r="S534" i="2"/>
  <c r="G534" i="2"/>
  <c r="G534" i="3" s="1"/>
  <c r="F534" i="2"/>
  <c r="E534" i="2"/>
  <c r="D534" i="2"/>
  <c r="D534" i="3" s="1"/>
  <c r="C534" i="2"/>
  <c r="C534" i="3" s="1"/>
  <c r="B534" i="2"/>
  <c r="B534" i="3" s="1"/>
  <c r="A534" i="2"/>
  <c r="A534" i="3" s="1"/>
  <c r="R533" i="2"/>
  <c r="G533" i="2"/>
  <c r="G533" i="3" s="1"/>
  <c r="F533" i="2"/>
  <c r="F533" i="3" s="1"/>
  <c r="E533" i="2"/>
  <c r="D533" i="2"/>
  <c r="C533" i="2"/>
  <c r="B533" i="2"/>
  <c r="B533" i="3" s="1"/>
  <c r="A533" i="2"/>
  <c r="A533" i="3" s="1"/>
  <c r="T532" i="2"/>
  <c r="S532" i="2"/>
  <c r="R532" i="2"/>
  <c r="G532" i="2"/>
  <c r="G532" i="3" s="1"/>
  <c r="F532" i="2"/>
  <c r="E532" i="2"/>
  <c r="E532" i="3" s="1"/>
  <c r="D532" i="2"/>
  <c r="D532" i="3" s="1"/>
  <c r="C532" i="2"/>
  <c r="B532" i="2"/>
  <c r="B532" i="3" s="1"/>
  <c r="A532" i="2"/>
  <c r="A532" i="3" s="1"/>
  <c r="U531" i="2"/>
  <c r="S531" i="2"/>
  <c r="R531" i="2"/>
  <c r="G531" i="2"/>
  <c r="G531" i="3" s="1"/>
  <c r="F531" i="2"/>
  <c r="F531" i="3" s="1"/>
  <c r="E531" i="2"/>
  <c r="E531" i="3" s="1"/>
  <c r="K531" i="3" s="1"/>
  <c r="D531" i="2"/>
  <c r="D531" i="3" s="1"/>
  <c r="C531" i="2"/>
  <c r="C531" i="3" s="1"/>
  <c r="B531" i="2"/>
  <c r="B531" i="3" s="1"/>
  <c r="A531" i="2"/>
  <c r="A531" i="3" s="1"/>
  <c r="S530" i="2"/>
  <c r="G530" i="2"/>
  <c r="F530" i="2"/>
  <c r="E530" i="2"/>
  <c r="D530" i="2"/>
  <c r="D530" i="3" s="1"/>
  <c r="C530" i="2"/>
  <c r="C530" i="3" s="1"/>
  <c r="B530" i="2"/>
  <c r="B530" i="3" s="1"/>
  <c r="A530" i="2"/>
  <c r="A530" i="3" s="1"/>
  <c r="U529" i="2"/>
  <c r="T529" i="2"/>
  <c r="R529" i="2"/>
  <c r="G529" i="2"/>
  <c r="G529" i="3" s="1"/>
  <c r="F529" i="2"/>
  <c r="F529" i="3" s="1"/>
  <c r="E529" i="2"/>
  <c r="E529" i="3" s="1"/>
  <c r="K529" i="3" s="1"/>
  <c r="D529" i="2"/>
  <c r="C529" i="2"/>
  <c r="B529" i="2"/>
  <c r="B529" i="3" s="1"/>
  <c r="A529" i="2"/>
  <c r="A529" i="3" s="1"/>
  <c r="U528" i="2"/>
  <c r="T528" i="2"/>
  <c r="R528" i="2"/>
  <c r="G528" i="2"/>
  <c r="G528" i="3" s="1"/>
  <c r="F528" i="2"/>
  <c r="E528" i="2"/>
  <c r="E528" i="3" s="1"/>
  <c r="D528" i="2"/>
  <c r="D528" i="3" s="1"/>
  <c r="C528" i="2"/>
  <c r="B528" i="2"/>
  <c r="B528" i="3" s="1"/>
  <c r="A528" i="2"/>
  <c r="A528" i="3" s="1"/>
  <c r="U527" i="2"/>
  <c r="R527" i="2"/>
  <c r="G527" i="2"/>
  <c r="G527" i="3" s="1"/>
  <c r="F527" i="2"/>
  <c r="F527" i="3" s="1"/>
  <c r="E527" i="2"/>
  <c r="E527" i="3" s="1"/>
  <c r="K527" i="3" s="1"/>
  <c r="D527" i="2"/>
  <c r="D527" i="3" s="1"/>
  <c r="C527" i="2"/>
  <c r="C527" i="3" s="1"/>
  <c r="B527" i="2"/>
  <c r="B527" i="3" s="1"/>
  <c r="A527" i="2"/>
  <c r="A527" i="3" s="1"/>
  <c r="S526" i="2"/>
  <c r="G526" i="2"/>
  <c r="F526" i="2"/>
  <c r="E526" i="2"/>
  <c r="D526" i="2"/>
  <c r="D526" i="3" s="1"/>
  <c r="C526" i="2"/>
  <c r="C526" i="3" s="1"/>
  <c r="B526" i="2"/>
  <c r="B526" i="3" s="1"/>
  <c r="A526" i="2"/>
  <c r="A526" i="3" s="1"/>
  <c r="T525" i="2"/>
  <c r="R525" i="2"/>
  <c r="G525" i="2"/>
  <c r="G525" i="3" s="1"/>
  <c r="F525" i="2"/>
  <c r="F525" i="3" s="1"/>
  <c r="E525" i="2"/>
  <c r="E525" i="3" s="1"/>
  <c r="D525" i="2"/>
  <c r="C525" i="2"/>
  <c r="B525" i="2"/>
  <c r="B525" i="3" s="1"/>
  <c r="A525" i="2"/>
  <c r="A525" i="3" s="1"/>
  <c r="U524" i="2"/>
  <c r="T524" i="2"/>
  <c r="R524" i="2"/>
  <c r="G524" i="2"/>
  <c r="G524" i="3" s="1"/>
  <c r="F524" i="2"/>
  <c r="E524" i="2"/>
  <c r="E524" i="3" s="1"/>
  <c r="D524" i="2"/>
  <c r="C524" i="2"/>
  <c r="B524" i="2"/>
  <c r="B524" i="3" s="1"/>
  <c r="A524" i="2"/>
  <c r="A524" i="3" s="1"/>
  <c r="U523" i="2"/>
  <c r="G523" i="2"/>
  <c r="G523" i="3" s="1"/>
  <c r="F523" i="2"/>
  <c r="F523" i="3" s="1"/>
  <c r="E523" i="2"/>
  <c r="E523" i="3" s="1"/>
  <c r="K523" i="3" s="1"/>
  <c r="D523" i="2"/>
  <c r="C523" i="2"/>
  <c r="C523" i="3" s="1"/>
  <c r="B523" i="2"/>
  <c r="B523" i="3" s="1"/>
  <c r="A523" i="2"/>
  <c r="A523" i="3" s="1"/>
  <c r="S522" i="2"/>
  <c r="G522" i="2"/>
  <c r="F522" i="2"/>
  <c r="E522" i="2"/>
  <c r="D522" i="2"/>
  <c r="D522" i="3" s="1"/>
  <c r="C522" i="2"/>
  <c r="C522" i="3" s="1"/>
  <c r="B522" i="2"/>
  <c r="B522" i="3" s="1"/>
  <c r="A522" i="2"/>
  <c r="A522" i="3" s="1"/>
  <c r="T521" i="2"/>
  <c r="R521" i="2"/>
  <c r="G521" i="2"/>
  <c r="G521" i="3" s="1"/>
  <c r="F521" i="2"/>
  <c r="E521" i="2"/>
  <c r="E521" i="3" s="1"/>
  <c r="D521" i="2"/>
  <c r="C521" i="2"/>
  <c r="B521" i="2"/>
  <c r="B521" i="3" s="1"/>
  <c r="A521" i="2"/>
  <c r="A521" i="3" s="1"/>
  <c r="U520" i="2"/>
  <c r="T520" i="2"/>
  <c r="S520" i="2"/>
  <c r="R520" i="2"/>
  <c r="G520" i="2"/>
  <c r="G520" i="3" s="1"/>
  <c r="F520" i="2"/>
  <c r="E520" i="2"/>
  <c r="E520" i="3" s="1"/>
  <c r="D520" i="2"/>
  <c r="D520" i="3" s="1"/>
  <c r="C520" i="2"/>
  <c r="B520" i="2"/>
  <c r="B520" i="3" s="1"/>
  <c r="A520" i="2"/>
  <c r="A520" i="3" s="1"/>
  <c r="U519" i="2"/>
  <c r="S519" i="2"/>
  <c r="G519" i="2"/>
  <c r="F519" i="2"/>
  <c r="F519" i="3" s="1"/>
  <c r="E519" i="2"/>
  <c r="E519" i="3" s="1"/>
  <c r="K519" i="3" s="1"/>
  <c r="D519" i="2"/>
  <c r="D519" i="3" s="1"/>
  <c r="C519" i="2"/>
  <c r="C519" i="3" s="1"/>
  <c r="B519" i="2"/>
  <c r="B519" i="3" s="1"/>
  <c r="A519" i="2"/>
  <c r="A519" i="3" s="1"/>
  <c r="S518" i="2"/>
  <c r="G518" i="2"/>
  <c r="F518" i="2"/>
  <c r="E518" i="2"/>
  <c r="D518" i="2"/>
  <c r="D518" i="3" s="1"/>
  <c r="C518" i="2"/>
  <c r="C518" i="3" s="1"/>
  <c r="B518" i="2"/>
  <c r="B518" i="3" s="1"/>
  <c r="A518" i="2"/>
  <c r="A518" i="3" s="1"/>
  <c r="U517" i="2"/>
  <c r="R517" i="2"/>
  <c r="G517" i="2"/>
  <c r="G517" i="3" s="1"/>
  <c r="F517" i="2"/>
  <c r="F517" i="3" s="1"/>
  <c r="E517" i="2"/>
  <c r="E517" i="3" s="1"/>
  <c r="K517" i="3" s="1"/>
  <c r="D517" i="2"/>
  <c r="C517" i="2"/>
  <c r="B517" i="2"/>
  <c r="B517" i="3" s="1"/>
  <c r="A517" i="2"/>
  <c r="A517" i="3" s="1"/>
  <c r="T516" i="2"/>
  <c r="S516" i="2"/>
  <c r="R516" i="2"/>
  <c r="G516" i="2"/>
  <c r="G516" i="3" s="1"/>
  <c r="F516" i="2"/>
  <c r="E516" i="2"/>
  <c r="E516" i="3" s="1"/>
  <c r="D516" i="2"/>
  <c r="D516" i="3" s="1"/>
  <c r="C516" i="2"/>
  <c r="B516" i="2"/>
  <c r="B516" i="3" s="1"/>
  <c r="A516" i="2"/>
  <c r="A516" i="3" s="1"/>
  <c r="U515" i="2"/>
  <c r="R515" i="2"/>
  <c r="G515" i="2"/>
  <c r="G515" i="3" s="1"/>
  <c r="F515" i="2"/>
  <c r="F515" i="3" s="1"/>
  <c r="E515" i="2"/>
  <c r="E515" i="3" s="1"/>
  <c r="K515" i="3" s="1"/>
  <c r="D515" i="2"/>
  <c r="D515" i="3" s="1"/>
  <c r="C515" i="2"/>
  <c r="C515" i="3" s="1"/>
  <c r="B515" i="2"/>
  <c r="B515" i="3" s="1"/>
  <c r="A515" i="2"/>
  <c r="A515" i="3" s="1"/>
  <c r="S514" i="2"/>
  <c r="G514" i="2"/>
  <c r="F514" i="2"/>
  <c r="E514" i="2"/>
  <c r="E514" i="3" s="1"/>
  <c r="D514" i="2"/>
  <c r="D514" i="3" s="1"/>
  <c r="C514" i="2"/>
  <c r="C514" i="3" s="1"/>
  <c r="B514" i="2"/>
  <c r="B514" i="3" s="1"/>
  <c r="A514" i="2"/>
  <c r="A514" i="3" s="1"/>
  <c r="U513" i="2"/>
  <c r="T513" i="2"/>
  <c r="R513" i="2"/>
  <c r="G513" i="2"/>
  <c r="G513" i="3" s="1"/>
  <c r="F513" i="2"/>
  <c r="F513" i="3" s="1"/>
  <c r="E513" i="2"/>
  <c r="E513" i="3" s="1"/>
  <c r="D513" i="2"/>
  <c r="C513" i="2"/>
  <c r="B513" i="2"/>
  <c r="B513" i="3" s="1"/>
  <c r="A513" i="2"/>
  <c r="A513" i="3" s="1"/>
  <c r="U512" i="2"/>
  <c r="T512" i="2"/>
  <c r="R512" i="2"/>
  <c r="G512" i="2"/>
  <c r="G512" i="3" s="1"/>
  <c r="F512" i="2"/>
  <c r="E512" i="2"/>
  <c r="E512" i="3" s="1"/>
  <c r="D512" i="2"/>
  <c r="D512" i="3" s="1"/>
  <c r="C512" i="2"/>
  <c r="B512" i="2"/>
  <c r="B512" i="3" s="1"/>
  <c r="A512" i="2"/>
  <c r="A512" i="3" s="1"/>
  <c r="U511" i="2"/>
  <c r="G511" i="2"/>
  <c r="G511" i="3" s="1"/>
  <c r="F511" i="2"/>
  <c r="F511" i="3" s="1"/>
  <c r="E511" i="2"/>
  <c r="D511" i="2"/>
  <c r="D511" i="3" s="1"/>
  <c r="C511" i="2"/>
  <c r="C511" i="3" s="1"/>
  <c r="B511" i="2"/>
  <c r="B511" i="3" s="1"/>
  <c r="A511" i="2"/>
  <c r="A511" i="3" s="1"/>
  <c r="S510" i="2"/>
  <c r="G510" i="2"/>
  <c r="F510" i="2"/>
  <c r="E510" i="2"/>
  <c r="D510" i="2"/>
  <c r="D510" i="3" s="1"/>
  <c r="C510" i="2"/>
  <c r="C510" i="3" s="1"/>
  <c r="B510" i="2"/>
  <c r="B510" i="3" s="1"/>
  <c r="A510" i="2"/>
  <c r="A510" i="3" s="1"/>
  <c r="U509" i="2"/>
  <c r="T509" i="2"/>
  <c r="R509" i="2"/>
  <c r="G509" i="2"/>
  <c r="G509" i="3" s="1"/>
  <c r="F509" i="2"/>
  <c r="F509" i="3" s="1"/>
  <c r="E509" i="2"/>
  <c r="E509" i="3" s="1"/>
  <c r="K509" i="3" s="1"/>
  <c r="D509" i="2"/>
  <c r="C509" i="2"/>
  <c r="B509" i="2"/>
  <c r="B509" i="3" s="1"/>
  <c r="A509" i="2"/>
  <c r="A509" i="3" s="1"/>
  <c r="T508" i="2"/>
  <c r="R508" i="2"/>
  <c r="G508" i="2"/>
  <c r="G508" i="3" s="1"/>
  <c r="F508" i="2"/>
  <c r="U508" i="2" s="1"/>
  <c r="E508" i="2"/>
  <c r="E508" i="3" s="1"/>
  <c r="D508" i="2"/>
  <c r="D508" i="3" s="1"/>
  <c r="C508" i="2"/>
  <c r="B508" i="2"/>
  <c r="B508" i="3" s="1"/>
  <c r="A508" i="2"/>
  <c r="A508" i="3" s="1"/>
  <c r="U507" i="2"/>
  <c r="G507" i="2"/>
  <c r="G507" i="3" s="1"/>
  <c r="F507" i="2"/>
  <c r="F507" i="3" s="1"/>
  <c r="E507" i="2"/>
  <c r="D507" i="2"/>
  <c r="C507" i="2"/>
  <c r="C507" i="3" s="1"/>
  <c r="B507" i="2"/>
  <c r="B507" i="3" s="1"/>
  <c r="A507" i="2"/>
  <c r="A507" i="3" s="1"/>
  <c r="T506" i="2"/>
  <c r="S506" i="2"/>
  <c r="G506" i="2"/>
  <c r="F506" i="2"/>
  <c r="E506" i="2"/>
  <c r="E506" i="3" s="1"/>
  <c r="D506" i="2"/>
  <c r="D506" i="3" s="1"/>
  <c r="C506" i="2"/>
  <c r="C506" i="3" s="1"/>
  <c r="B506" i="2"/>
  <c r="B506" i="3" s="1"/>
  <c r="A506" i="2"/>
  <c r="A506" i="3" s="1"/>
  <c r="U505" i="2"/>
  <c r="R505" i="2"/>
  <c r="G505" i="2"/>
  <c r="G505" i="3" s="1"/>
  <c r="F505" i="2"/>
  <c r="F505" i="3" s="1"/>
  <c r="E505" i="2"/>
  <c r="E505" i="3" s="1"/>
  <c r="K505" i="3" s="1"/>
  <c r="D505" i="2"/>
  <c r="C505" i="2"/>
  <c r="B505" i="2"/>
  <c r="B505" i="3" s="1"/>
  <c r="A505" i="2"/>
  <c r="A505" i="3" s="1"/>
  <c r="T504" i="2"/>
  <c r="R504" i="2"/>
  <c r="G504" i="2"/>
  <c r="G504" i="3" s="1"/>
  <c r="F504" i="2"/>
  <c r="E504" i="2"/>
  <c r="E504" i="3" s="1"/>
  <c r="D504" i="2"/>
  <c r="D504" i="3" s="1"/>
  <c r="C504" i="2"/>
  <c r="B504" i="2"/>
  <c r="B504" i="3" s="1"/>
  <c r="A504" i="2"/>
  <c r="A504" i="3" s="1"/>
  <c r="U503" i="2"/>
  <c r="S503" i="2"/>
  <c r="G503" i="2"/>
  <c r="G503" i="3" s="1"/>
  <c r="F503" i="2"/>
  <c r="F503" i="3" s="1"/>
  <c r="E503" i="2"/>
  <c r="D503" i="2"/>
  <c r="D503" i="3" s="1"/>
  <c r="C503" i="2"/>
  <c r="B503" i="2"/>
  <c r="B503" i="3" s="1"/>
  <c r="A503" i="2"/>
  <c r="A503" i="3" s="1"/>
  <c r="T502" i="2"/>
  <c r="S502" i="2"/>
  <c r="R502" i="2"/>
  <c r="G502" i="2"/>
  <c r="G502" i="3" s="1"/>
  <c r="F502" i="2"/>
  <c r="E502" i="2"/>
  <c r="E502" i="3" s="1"/>
  <c r="D502" i="2"/>
  <c r="D502" i="3" s="1"/>
  <c r="C502" i="2"/>
  <c r="C502" i="3" s="1"/>
  <c r="B502" i="2"/>
  <c r="B502" i="3" s="1"/>
  <c r="A502" i="2"/>
  <c r="A502" i="3" s="1"/>
  <c r="R501" i="2"/>
  <c r="G501" i="2"/>
  <c r="G501" i="3" s="1"/>
  <c r="F501" i="2"/>
  <c r="F501" i="3" s="1"/>
  <c r="E501" i="2"/>
  <c r="D501" i="2"/>
  <c r="C501" i="2"/>
  <c r="C501" i="3" s="1"/>
  <c r="B501" i="2"/>
  <c r="B501" i="3" s="1"/>
  <c r="A501" i="2"/>
  <c r="A501" i="3" s="1"/>
  <c r="U500" i="2"/>
  <c r="T500" i="2"/>
  <c r="G500" i="2"/>
  <c r="G500" i="3" s="1"/>
  <c r="F500" i="2"/>
  <c r="E500" i="2"/>
  <c r="E500" i="3" s="1"/>
  <c r="D500" i="2"/>
  <c r="D500" i="3" s="1"/>
  <c r="C500" i="2"/>
  <c r="B500" i="2"/>
  <c r="B500" i="3" s="1"/>
  <c r="A500" i="2"/>
  <c r="A500" i="3" s="1"/>
  <c r="U499" i="2"/>
  <c r="S499" i="2"/>
  <c r="R499" i="2"/>
  <c r="G499" i="2"/>
  <c r="G499" i="3" s="1"/>
  <c r="F499" i="2"/>
  <c r="F499" i="3" s="1"/>
  <c r="E499" i="2"/>
  <c r="D499" i="2"/>
  <c r="D499" i="3" s="1"/>
  <c r="C499" i="2"/>
  <c r="C499" i="3" s="1"/>
  <c r="B499" i="2"/>
  <c r="B499" i="3" s="1"/>
  <c r="A499" i="2"/>
  <c r="A499" i="3" s="1"/>
  <c r="T498" i="2"/>
  <c r="S498" i="2"/>
  <c r="R498" i="2"/>
  <c r="G498" i="2"/>
  <c r="G498" i="3" s="1"/>
  <c r="F498" i="2"/>
  <c r="E498" i="2"/>
  <c r="E498" i="3" s="1"/>
  <c r="D498" i="2"/>
  <c r="D498" i="3" s="1"/>
  <c r="C498" i="2"/>
  <c r="C498" i="3" s="1"/>
  <c r="B498" i="2"/>
  <c r="B498" i="3" s="1"/>
  <c r="A498" i="2"/>
  <c r="A498" i="3" s="1"/>
  <c r="R497" i="2"/>
  <c r="G497" i="2"/>
  <c r="G497" i="3" s="1"/>
  <c r="F497" i="2"/>
  <c r="F497" i="3" s="1"/>
  <c r="E497" i="2"/>
  <c r="D497" i="2"/>
  <c r="C497" i="2"/>
  <c r="C497" i="3" s="1"/>
  <c r="B497" i="2"/>
  <c r="B497" i="3" s="1"/>
  <c r="A497" i="2"/>
  <c r="A497" i="3" s="1"/>
  <c r="U496" i="2"/>
  <c r="T496" i="2"/>
  <c r="G496" i="2"/>
  <c r="G496" i="3" s="1"/>
  <c r="F496" i="2"/>
  <c r="E496" i="2"/>
  <c r="E496" i="3" s="1"/>
  <c r="D496" i="2"/>
  <c r="D496" i="3" s="1"/>
  <c r="C496" i="2"/>
  <c r="B496" i="2"/>
  <c r="B496" i="3" s="1"/>
  <c r="A496" i="2"/>
  <c r="A496" i="3" s="1"/>
  <c r="U495" i="2"/>
  <c r="S495" i="2"/>
  <c r="R495" i="2"/>
  <c r="G495" i="2"/>
  <c r="G495" i="3" s="1"/>
  <c r="F495" i="2"/>
  <c r="F495" i="3" s="1"/>
  <c r="E495" i="2"/>
  <c r="D495" i="2"/>
  <c r="D495" i="3" s="1"/>
  <c r="C495" i="2"/>
  <c r="C495" i="3" s="1"/>
  <c r="B495" i="2"/>
  <c r="B495" i="3" s="1"/>
  <c r="A495" i="2"/>
  <c r="A495" i="3" s="1"/>
  <c r="T494" i="2"/>
  <c r="S494" i="2"/>
  <c r="G494" i="2"/>
  <c r="G494" i="3" s="1"/>
  <c r="F494" i="2"/>
  <c r="E494" i="2"/>
  <c r="E494" i="3" s="1"/>
  <c r="D494" i="2"/>
  <c r="D494" i="3" s="1"/>
  <c r="C494" i="2"/>
  <c r="C494" i="3" s="1"/>
  <c r="B494" i="2"/>
  <c r="B494" i="3" s="1"/>
  <c r="A494" i="2"/>
  <c r="A494" i="3" s="1"/>
  <c r="R493" i="2"/>
  <c r="G493" i="2"/>
  <c r="G493" i="3" s="1"/>
  <c r="F493" i="2"/>
  <c r="F493" i="3" s="1"/>
  <c r="E493" i="2"/>
  <c r="D493" i="2"/>
  <c r="C493" i="2"/>
  <c r="C493" i="3" s="1"/>
  <c r="B493" i="2"/>
  <c r="B493" i="3" s="1"/>
  <c r="A493" i="2"/>
  <c r="A493" i="3" s="1"/>
  <c r="U492" i="2"/>
  <c r="T492" i="2"/>
  <c r="G492" i="2"/>
  <c r="G492" i="3" s="1"/>
  <c r="F492" i="2"/>
  <c r="E492" i="2"/>
  <c r="E492" i="3" s="1"/>
  <c r="D492" i="2"/>
  <c r="D492" i="3" s="1"/>
  <c r="C492" i="2"/>
  <c r="B492" i="2"/>
  <c r="B492" i="3" s="1"/>
  <c r="A492" i="2"/>
  <c r="A492" i="3" s="1"/>
  <c r="U491" i="2"/>
  <c r="S491" i="2"/>
  <c r="R491" i="2"/>
  <c r="G491" i="2"/>
  <c r="G491" i="3" s="1"/>
  <c r="F491" i="2"/>
  <c r="F491" i="3" s="1"/>
  <c r="E491" i="2"/>
  <c r="D491" i="2"/>
  <c r="D491" i="3" s="1"/>
  <c r="C491" i="2"/>
  <c r="C491" i="3" s="1"/>
  <c r="B491" i="2"/>
  <c r="B491" i="3" s="1"/>
  <c r="A491" i="2"/>
  <c r="A491" i="3" s="1"/>
  <c r="T490" i="2"/>
  <c r="S490" i="2"/>
  <c r="G490" i="2"/>
  <c r="G490" i="3" s="1"/>
  <c r="F490" i="2"/>
  <c r="E490" i="2"/>
  <c r="E490" i="3" s="1"/>
  <c r="D490" i="2"/>
  <c r="D490" i="3" s="1"/>
  <c r="C490" i="2"/>
  <c r="C490" i="3" s="1"/>
  <c r="B490" i="2"/>
  <c r="B490" i="3" s="1"/>
  <c r="A490" i="2"/>
  <c r="A490" i="3" s="1"/>
  <c r="R489" i="2"/>
  <c r="G489" i="2"/>
  <c r="G489" i="3" s="1"/>
  <c r="F489" i="2"/>
  <c r="F489" i="3" s="1"/>
  <c r="E489" i="2"/>
  <c r="D489" i="2"/>
  <c r="C489" i="2"/>
  <c r="C489" i="3" s="1"/>
  <c r="B489" i="2"/>
  <c r="B489" i="3" s="1"/>
  <c r="A489" i="2"/>
  <c r="A489" i="3" s="1"/>
  <c r="U488" i="2"/>
  <c r="T488" i="2"/>
  <c r="G488" i="2"/>
  <c r="G488" i="3" s="1"/>
  <c r="F488" i="2"/>
  <c r="E488" i="2"/>
  <c r="E488" i="3" s="1"/>
  <c r="D488" i="2"/>
  <c r="D488" i="3" s="1"/>
  <c r="C488" i="2"/>
  <c r="B488" i="2"/>
  <c r="B488" i="3" s="1"/>
  <c r="A488" i="2"/>
  <c r="A488" i="3" s="1"/>
  <c r="U487" i="2"/>
  <c r="S487" i="2"/>
  <c r="R487" i="2"/>
  <c r="G487" i="2"/>
  <c r="G487" i="3" s="1"/>
  <c r="F487" i="2"/>
  <c r="F487" i="3" s="1"/>
  <c r="E487" i="2"/>
  <c r="D487" i="2"/>
  <c r="D487" i="3" s="1"/>
  <c r="C487" i="2"/>
  <c r="C487" i="3" s="1"/>
  <c r="B487" i="2"/>
  <c r="B487" i="3" s="1"/>
  <c r="A487" i="2"/>
  <c r="A487" i="3" s="1"/>
  <c r="T486" i="2"/>
  <c r="S486" i="2"/>
  <c r="G486" i="2"/>
  <c r="G486" i="3" s="1"/>
  <c r="F486" i="2"/>
  <c r="E486" i="2"/>
  <c r="E486" i="3" s="1"/>
  <c r="D486" i="2"/>
  <c r="D486" i="3" s="1"/>
  <c r="C486" i="2"/>
  <c r="C486" i="3" s="1"/>
  <c r="B486" i="2"/>
  <c r="B486" i="3" s="1"/>
  <c r="A486" i="2"/>
  <c r="A486" i="3" s="1"/>
  <c r="R485" i="2"/>
  <c r="G485" i="2"/>
  <c r="G485" i="3" s="1"/>
  <c r="F485" i="2"/>
  <c r="F485" i="3" s="1"/>
  <c r="E485" i="2"/>
  <c r="D485" i="2"/>
  <c r="C485" i="2"/>
  <c r="C485" i="3" s="1"/>
  <c r="B485" i="2"/>
  <c r="B485" i="3" s="1"/>
  <c r="A485" i="2"/>
  <c r="A485" i="3" s="1"/>
  <c r="U484" i="2"/>
  <c r="T484" i="2"/>
  <c r="G484" i="2"/>
  <c r="G484" i="3" s="1"/>
  <c r="F484" i="2"/>
  <c r="E484" i="2"/>
  <c r="E484" i="3" s="1"/>
  <c r="D484" i="2"/>
  <c r="D484" i="3" s="1"/>
  <c r="C484" i="2"/>
  <c r="B484" i="2"/>
  <c r="B484" i="3" s="1"/>
  <c r="A484" i="2"/>
  <c r="A484" i="3" s="1"/>
  <c r="U483" i="2"/>
  <c r="S483" i="2"/>
  <c r="R483" i="2"/>
  <c r="G483" i="2"/>
  <c r="G483" i="3" s="1"/>
  <c r="F483" i="2"/>
  <c r="F483" i="3" s="1"/>
  <c r="E483" i="2"/>
  <c r="D483" i="2"/>
  <c r="D483" i="3" s="1"/>
  <c r="C483" i="2"/>
  <c r="C483" i="3" s="1"/>
  <c r="B483" i="2"/>
  <c r="B483" i="3" s="1"/>
  <c r="A483" i="2"/>
  <c r="A483" i="3" s="1"/>
  <c r="T482" i="2"/>
  <c r="S482" i="2"/>
  <c r="G482" i="2"/>
  <c r="G482" i="3" s="1"/>
  <c r="F482" i="2"/>
  <c r="E482" i="2"/>
  <c r="E482" i="3" s="1"/>
  <c r="D482" i="2"/>
  <c r="D482" i="3" s="1"/>
  <c r="C482" i="2"/>
  <c r="C482" i="3" s="1"/>
  <c r="B482" i="2"/>
  <c r="B482" i="3" s="1"/>
  <c r="A482" i="2"/>
  <c r="A482" i="3" s="1"/>
  <c r="R481" i="2"/>
  <c r="G481" i="2"/>
  <c r="G481" i="3" s="1"/>
  <c r="F481" i="2"/>
  <c r="F481" i="3" s="1"/>
  <c r="E481" i="2"/>
  <c r="D481" i="2"/>
  <c r="C481" i="2"/>
  <c r="C481" i="3" s="1"/>
  <c r="B481" i="2"/>
  <c r="B481" i="3" s="1"/>
  <c r="A481" i="2"/>
  <c r="A481" i="3" s="1"/>
  <c r="U480" i="2"/>
  <c r="T480" i="2"/>
  <c r="G480" i="2"/>
  <c r="G480" i="3" s="1"/>
  <c r="F480" i="2"/>
  <c r="E480" i="2"/>
  <c r="E480" i="3" s="1"/>
  <c r="D480" i="2"/>
  <c r="D480" i="3" s="1"/>
  <c r="C480" i="2"/>
  <c r="B480" i="2"/>
  <c r="B480" i="3" s="1"/>
  <c r="A480" i="2"/>
  <c r="A480" i="3" s="1"/>
  <c r="U479" i="2"/>
  <c r="S479" i="2"/>
  <c r="R479" i="2"/>
  <c r="G479" i="2"/>
  <c r="G479" i="3" s="1"/>
  <c r="F479" i="2"/>
  <c r="F479" i="3" s="1"/>
  <c r="E479" i="2"/>
  <c r="D479" i="2"/>
  <c r="D479" i="3" s="1"/>
  <c r="C479" i="2"/>
  <c r="C479" i="3" s="1"/>
  <c r="B479" i="2"/>
  <c r="B479" i="3" s="1"/>
  <c r="A479" i="2"/>
  <c r="A479" i="3" s="1"/>
  <c r="T478" i="2"/>
  <c r="S478" i="2"/>
  <c r="G478" i="2"/>
  <c r="G478" i="3" s="1"/>
  <c r="F478" i="2"/>
  <c r="E478" i="2"/>
  <c r="E478" i="3" s="1"/>
  <c r="D478" i="2"/>
  <c r="D478" i="3" s="1"/>
  <c r="C478" i="2"/>
  <c r="C478" i="3" s="1"/>
  <c r="B478" i="2"/>
  <c r="B478" i="3" s="1"/>
  <c r="A478" i="2"/>
  <c r="A478" i="3" s="1"/>
  <c r="R477" i="2"/>
  <c r="G477" i="2"/>
  <c r="G477" i="3" s="1"/>
  <c r="F477" i="2"/>
  <c r="F477" i="3" s="1"/>
  <c r="E477" i="2"/>
  <c r="D477" i="2"/>
  <c r="C477" i="2"/>
  <c r="C477" i="3" s="1"/>
  <c r="B477" i="2"/>
  <c r="B477" i="3" s="1"/>
  <c r="A477" i="2"/>
  <c r="A477" i="3" s="1"/>
  <c r="U476" i="2"/>
  <c r="T476" i="2"/>
  <c r="G476" i="2"/>
  <c r="G476" i="3" s="1"/>
  <c r="F476" i="2"/>
  <c r="E476" i="2"/>
  <c r="E476" i="3" s="1"/>
  <c r="D476" i="2"/>
  <c r="D476" i="3" s="1"/>
  <c r="C476" i="2"/>
  <c r="B476" i="2"/>
  <c r="B476" i="3" s="1"/>
  <c r="A476" i="2"/>
  <c r="A476" i="3" s="1"/>
  <c r="U475" i="2"/>
  <c r="S475" i="2"/>
  <c r="R475" i="2"/>
  <c r="G475" i="2"/>
  <c r="G475" i="3" s="1"/>
  <c r="F475" i="2"/>
  <c r="F475" i="3" s="1"/>
  <c r="E475" i="2"/>
  <c r="D475" i="2"/>
  <c r="D475" i="3" s="1"/>
  <c r="C475" i="2"/>
  <c r="C475" i="3" s="1"/>
  <c r="B475" i="2"/>
  <c r="B475" i="3" s="1"/>
  <c r="A475" i="2"/>
  <c r="A475" i="3" s="1"/>
  <c r="T474" i="2"/>
  <c r="S474" i="2"/>
  <c r="G474" i="2"/>
  <c r="G474" i="3" s="1"/>
  <c r="F474" i="2"/>
  <c r="E474" i="2"/>
  <c r="E474" i="3" s="1"/>
  <c r="D474" i="2"/>
  <c r="D474" i="3" s="1"/>
  <c r="C474" i="2"/>
  <c r="C474" i="3" s="1"/>
  <c r="B474" i="2"/>
  <c r="B474" i="3" s="1"/>
  <c r="A474" i="2"/>
  <c r="A474" i="3" s="1"/>
  <c r="R473" i="2"/>
  <c r="G473" i="2"/>
  <c r="G473" i="3" s="1"/>
  <c r="F473" i="2"/>
  <c r="F473" i="3" s="1"/>
  <c r="E473" i="2"/>
  <c r="D473" i="2"/>
  <c r="C473" i="2"/>
  <c r="C473" i="3" s="1"/>
  <c r="B473" i="2"/>
  <c r="B473" i="3" s="1"/>
  <c r="A473" i="2"/>
  <c r="A473" i="3" s="1"/>
  <c r="U472" i="2"/>
  <c r="T472" i="2"/>
  <c r="G472" i="2"/>
  <c r="G472" i="3" s="1"/>
  <c r="F472" i="2"/>
  <c r="E472" i="2"/>
  <c r="E472" i="3" s="1"/>
  <c r="D472" i="2"/>
  <c r="D472" i="3" s="1"/>
  <c r="C472" i="2"/>
  <c r="B472" i="2"/>
  <c r="B472" i="3" s="1"/>
  <c r="A472" i="2"/>
  <c r="A472" i="3" s="1"/>
  <c r="U471" i="2"/>
  <c r="S471" i="2"/>
  <c r="R471" i="2"/>
  <c r="G471" i="2"/>
  <c r="G471" i="3" s="1"/>
  <c r="F471" i="2"/>
  <c r="F471" i="3" s="1"/>
  <c r="E471" i="2"/>
  <c r="D471" i="2"/>
  <c r="D471" i="3" s="1"/>
  <c r="C471" i="2"/>
  <c r="C471" i="3" s="1"/>
  <c r="B471" i="2"/>
  <c r="B471" i="3" s="1"/>
  <c r="A471" i="2"/>
  <c r="A471" i="3" s="1"/>
  <c r="T470" i="2"/>
  <c r="S470" i="2"/>
  <c r="G470" i="2"/>
  <c r="G470" i="3" s="1"/>
  <c r="F470" i="2"/>
  <c r="E470" i="2"/>
  <c r="E470" i="3" s="1"/>
  <c r="D470" i="2"/>
  <c r="D470" i="3" s="1"/>
  <c r="C470" i="2"/>
  <c r="C470" i="3" s="1"/>
  <c r="B470" i="2"/>
  <c r="B470" i="3" s="1"/>
  <c r="A470" i="2"/>
  <c r="A470" i="3" s="1"/>
  <c r="R469" i="2"/>
  <c r="G469" i="2"/>
  <c r="G469" i="3" s="1"/>
  <c r="F469" i="2"/>
  <c r="F469" i="3" s="1"/>
  <c r="E469" i="2"/>
  <c r="D469" i="2"/>
  <c r="C469" i="2"/>
  <c r="C469" i="3" s="1"/>
  <c r="B469" i="2"/>
  <c r="B469" i="3" s="1"/>
  <c r="A469" i="2"/>
  <c r="A469" i="3" s="1"/>
  <c r="U468" i="2"/>
  <c r="T468" i="2"/>
  <c r="G468" i="2"/>
  <c r="G468" i="3" s="1"/>
  <c r="F468" i="2"/>
  <c r="F468" i="3" s="1"/>
  <c r="E468" i="2"/>
  <c r="E468" i="3" s="1"/>
  <c r="D468" i="2"/>
  <c r="D468" i="3" s="1"/>
  <c r="C468" i="2"/>
  <c r="B468" i="2"/>
  <c r="B468" i="3" s="1"/>
  <c r="A468" i="2"/>
  <c r="A468" i="3" s="1"/>
  <c r="U467" i="2"/>
  <c r="T467" i="2"/>
  <c r="S467" i="2"/>
  <c r="R467" i="2"/>
  <c r="G467" i="2"/>
  <c r="G467" i="3" s="1"/>
  <c r="F467" i="2"/>
  <c r="F467" i="3" s="1"/>
  <c r="E467" i="2"/>
  <c r="E467" i="3" s="1"/>
  <c r="K467" i="3" s="1"/>
  <c r="D467" i="2"/>
  <c r="D467" i="3" s="1"/>
  <c r="C467" i="2"/>
  <c r="C467" i="3" s="1"/>
  <c r="B467" i="2"/>
  <c r="B467" i="3" s="1"/>
  <c r="A467" i="2"/>
  <c r="A467" i="3" s="1"/>
  <c r="U466" i="2"/>
  <c r="T466" i="2"/>
  <c r="S466" i="2"/>
  <c r="G466" i="2"/>
  <c r="F466" i="2"/>
  <c r="F466" i="3" s="1"/>
  <c r="E466" i="2"/>
  <c r="E466" i="3" s="1"/>
  <c r="K466" i="3" s="1"/>
  <c r="D466" i="2"/>
  <c r="D466" i="3" s="1"/>
  <c r="C466" i="2"/>
  <c r="C466" i="3" s="1"/>
  <c r="B466" i="2"/>
  <c r="B466" i="3" s="1"/>
  <c r="A466" i="2"/>
  <c r="A466" i="3" s="1"/>
  <c r="S465" i="2"/>
  <c r="G465" i="2"/>
  <c r="G465" i="3" s="1"/>
  <c r="F465" i="2"/>
  <c r="F465" i="3" s="1"/>
  <c r="E465" i="2"/>
  <c r="D465" i="2"/>
  <c r="D465" i="3" s="1"/>
  <c r="C465" i="2"/>
  <c r="C465" i="3" s="1"/>
  <c r="B465" i="2"/>
  <c r="B465" i="3" s="1"/>
  <c r="A465" i="2"/>
  <c r="A465" i="3" s="1"/>
  <c r="U464" i="2"/>
  <c r="T464" i="2"/>
  <c r="G464" i="2"/>
  <c r="G464" i="3" s="1"/>
  <c r="F464" i="2"/>
  <c r="F464" i="3" s="1"/>
  <c r="E464" i="2"/>
  <c r="E464" i="3" s="1"/>
  <c r="D464" i="2"/>
  <c r="D464" i="3" s="1"/>
  <c r="C464" i="2"/>
  <c r="B464" i="2"/>
  <c r="B464" i="3" s="1"/>
  <c r="A464" i="2"/>
  <c r="A464" i="3" s="1"/>
  <c r="U463" i="2"/>
  <c r="T463" i="2"/>
  <c r="S463" i="2"/>
  <c r="R463" i="2"/>
  <c r="G463" i="2"/>
  <c r="G463" i="3" s="1"/>
  <c r="F463" i="2"/>
  <c r="F463" i="3" s="1"/>
  <c r="E463" i="2"/>
  <c r="E463" i="3" s="1"/>
  <c r="K463" i="3" s="1"/>
  <c r="D463" i="2"/>
  <c r="D463" i="3" s="1"/>
  <c r="C463" i="2"/>
  <c r="C463" i="3" s="1"/>
  <c r="B463" i="2"/>
  <c r="B463" i="3" s="1"/>
  <c r="A463" i="2"/>
  <c r="A463" i="3" s="1"/>
  <c r="U462" i="2"/>
  <c r="T462" i="2"/>
  <c r="S462" i="2"/>
  <c r="G462" i="2"/>
  <c r="F462" i="2"/>
  <c r="F462" i="3" s="1"/>
  <c r="E462" i="2"/>
  <c r="E462" i="3" s="1"/>
  <c r="K462" i="3" s="1"/>
  <c r="D462" i="2"/>
  <c r="D462" i="3" s="1"/>
  <c r="C462" i="2"/>
  <c r="C462" i="3" s="1"/>
  <c r="B462" i="2"/>
  <c r="B462" i="3" s="1"/>
  <c r="A462" i="2"/>
  <c r="A462" i="3" s="1"/>
  <c r="S461" i="2"/>
  <c r="G461" i="2"/>
  <c r="G461" i="3" s="1"/>
  <c r="F461" i="2"/>
  <c r="F461" i="3" s="1"/>
  <c r="E461" i="2"/>
  <c r="D461" i="2"/>
  <c r="D461" i="3" s="1"/>
  <c r="C461" i="2"/>
  <c r="C461" i="3" s="1"/>
  <c r="B461" i="2"/>
  <c r="B461" i="3" s="1"/>
  <c r="A461" i="2"/>
  <c r="A461" i="3" s="1"/>
  <c r="U460" i="2"/>
  <c r="T460" i="2"/>
  <c r="G460" i="2"/>
  <c r="G460" i="3" s="1"/>
  <c r="F460" i="2"/>
  <c r="F460" i="3" s="1"/>
  <c r="E460" i="2"/>
  <c r="E460" i="3" s="1"/>
  <c r="D460" i="2"/>
  <c r="D460" i="3" s="1"/>
  <c r="C460" i="2"/>
  <c r="B460" i="2"/>
  <c r="B460" i="3" s="1"/>
  <c r="A460" i="2"/>
  <c r="A460" i="3" s="1"/>
  <c r="U459" i="2"/>
  <c r="T459" i="2"/>
  <c r="S459" i="2"/>
  <c r="R459" i="2"/>
  <c r="G459" i="2"/>
  <c r="G459" i="3" s="1"/>
  <c r="F459" i="2"/>
  <c r="F459" i="3" s="1"/>
  <c r="E459" i="2"/>
  <c r="E459" i="3" s="1"/>
  <c r="K459" i="3" s="1"/>
  <c r="D459" i="2"/>
  <c r="D459" i="3" s="1"/>
  <c r="C459" i="2"/>
  <c r="C459" i="3" s="1"/>
  <c r="B459" i="2"/>
  <c r="B459" i="3" s="1"/>
  <c r="A459" i="2"/>
  <c r="A459" i="3" s="1"/>
  <c r="U458" i="2"/>
  <c r="T458" i="2"/>
  <c r="S458" i="2"/>
  <c r="G458" i="2"/>
  <c r="F458" i="2"/>
  <c r="F458" i="3" s="1"/>
  <c r="E458" i="2"/>
  <c r="E458" i="3" s="1"/>
  <c r="K458" i="3" s="1"/>
  <c r="D458" i="2"/>
  <c r="D458" i="3" s="1"/>
  <c r="C458" i="2"/>
  <c r="C458" i="3" s="1"/>
  <c r="B458" i="2"/>
  <c r="B458" i="3" s="1"/>
  <c r="A458" i="2"/>
  <c r="A458" i="3" s="1"/>
  <c r="S457" i="2"/>
  <c r="G457" i="2"/>
  <c r="G457" i="3" s="1"/>
  <c r="F457" i="2"/>
  <c r="F457" i="3" s="1"/>
  <c r="E457" i="2"/>
  <c r="D457" i="2"/>
  <c r="D457" i="3" s="1"/>
  <c r="C457" i="2"/>
  <c r="C457" i="3" s="1"/>
  <c r="B457" i="2"/>
  <c r="B457" i="3" s="1"/>
  <c r="A457" i="2"/>
  <c r="A457" i="3" s="1"/>
  <c r="U456" i="2"/>
  <c r="T456" i="2"/>
  <c r="G456" i="2"/>
  <c r="G456" i="3" s="1"/>
  <c r="F456" i="2"/>
  <c r="F456" i="3" s="1"/>
  <c r="E456" i="2"/>
  <c r="E456" i="3" s="1"/>
  <c r="D456" i="2"/>
  <c r="D456" i="3" s="1"/>
  <c r="C456" i="2"/>
  <c r="B456" i="2"/>
  <c r="B456" i="3" s="1"/>
  <c r="A456" i="2"/>
  <c r="A456" i="3" s="1"/>
  <c r="U455" i="2"/>
  <c r="T455" i="2"/>
  <c r="S455" i="2"/>
  <c r="R455" i="2"/>
  <c r="G455" i="2"/>
  <c r="G455" i="3" s="1"/>
  <c r="F455" i="2"/>
  <c r="F455" i="3" s="1"/>
  <c r="E455" i="2"/>
  <c r="E455" i="3" s="1"/>
  <c r="K455" i="3" s="1"/>
  <c r="D455" i="2"/>
  <c r="D455" i="3" s="1"/>
  <c r="C455" i="2"/>
  <c r="C455" i="3" s="1"/>
  <c r="B455" i="2"/>
  <c r="B455" i="3" s="1"/>
  <c r="A455" i="2"/>
  <c r="A455" i="3" s="1"/>
  <c r="U454" i="2"/>
  <c r="T454" i="2"/>
  <c r="S454" i="2"/>
  <c r="G454" i="2"/>
  <c r="F454" i="2"/>
  <c r="F454" i="3" s="1"/>
  <c r="E454" i="2"/>
  <c r="E454" i="3" s="1"/>
  <c r="K454" i="3" s="1"/>
  <c r="D454" i="2"/>
  <c r="D454" i="3" s="1"/>
  <c r="C454" i="2"/>
  <c r="C454" i="3" s="1"/>
  <c r="B454" i="2"/>
  <c r="B454" i="3" s="1"/>
  <c r="A454" i="2"/>
  <c r="A454" i="3" s="1"/>
  <c r="S453" i="2"/>
  <c r="G453" i="2"/>
  <c r="G453" i="3" s="1"/>
  <c r="F453" i="2"/>
  <c r="F453" i="3" s="1"/>
  <c r="E453" i="2"/>
  <c r="D453" i="2"/>
  <c r="D453" i="3" s="1"/>
  <c r="C453" i="2"/>
  <c r="C453" i="3" s="1"/>
  <c r="B453" i="2"/>
  <c r="B453" i="3" s="1"/>
  <c r="A453" i="2"/>
  <c r="A453" i="3" s="1"/>
  <c r="U452" i="2"/>
  <c r="T452" i="2"/>
  <c r="G452" i="2"/>
  <c r="G452" i="3" s="1"/>
  <c r="F452" i="2"/>
  <c r="F452" i="3" s="1"/>
  <c r="E452" i="2"/>
  <c r="E452" i="3" s="1"/>
  <c r="D452" i="2"/>
  <c r="D452" i="3" s="1"/>
  <c r="C452" i="2"/>
  <c r="B452" i="2"/>
  <c r="B452" i="3" s="1"/>
  <c r="A452" i="2"/>
  <c r="A452" i="3" s="1"/>
  <c r="U451" i="2"/>
  <c r="T451" i="2"/>
  <c r="S451" i="2"/>
  <c r="R451" i="2"/>
  <c r="G451" i="2"/>
  <c r="G451" i="3" s="1"/>
  <c r="F451" i="2"/>
  <c r="F451" i="3" s="1"/>
  <c r="E451" i="2"/>
  <c r="E451" i="3" s="1"/>
  <c r="K451" i="3" s="1"/>
  <c r="D451" i="2"/>
  <c r="D451" i="3" s="1"/>
  <c r="C451" i="2"/>
  <c r="C451" i="3" s="1"/>
  <c r="B451" i="2"/>
  <c r="B451" i="3" s="1"/>
  <c r="A451" i="2"/>
  <c r="A451" i="3" s="1"/>
  <c r="U450" i="2"/>
  <c r="T450" i="2"/>
  <c r="S450" i="2"/>
  <c r="G450" i="2"/>
  <c r="F450" i="2"/>
  <c r="F450" i="3" s="1"/>
  <c r="E450" i="2"/>
  <c r="E450" i="3" s="1"/>
  <c r="K450" i="3" s="1"/>
  <c r="D450" i="2"/>
  <c r="D450" i="3" s="1"/>
  <c r="C450" i="2"/>
  <c r="C450" i="3" s="1"/>
  <c r="B450" i="2"/>
  <c r="B450" i="3" s="1"/>
  <c r="A450" i="2"/>
  <c r="A450" i="3" s="1"/>
  <c r="S449" i="2"/>
  <c r="G449" i="2"/>
  <c r="G449" i="3" s="1"/>
  <c r="F449" i="2"/>
  <c r="F449" i="3" s="1"/>
  <c r="E449" i="2"/>
  <c r="D449" i="2"/>
  <c r="D449" i="3" s="1"/>
  <c r="C449" i="2"/>
  <c r="C449" i="3" s="1"/>
  <c r="B449" i="2"/>
  <c r="B449" i="3" s="1"/>
  <c r="A449" i="2"/>
  <c r="A449" i="3" s="1"/>
  <c r="U448" i="2"/>
  <c r="T448" i="2"/>
  <c r="G448" i="2"/>
  <c r="G448" i="3" s="1"/>
  <c r="F448" i="2"/>
  <c r="F448" i="3" s="1"/>
  <c r="E448" i="2"/>
  <c r="E448" i="3" s="1"/>
  <c r="D448" i="2"/>
  <c r="D448" i="3" s="1"/>
  <c r="C448" i="2"/>
  <c r="B448" i="2"/>
  <c r="B448" i="3" s="1"/>
  <c r="A448" i="2"/>
  <c r="A448" i="3" s="1"/>
  <c r="U447" i="2"/>
  <c r="T447" i="2"/>
  <c r="S447" i="2"/>
  <c r="R447" i="2"/>
  <c r="G447" i="2"/>
  <c r="G447" i="3" s="1"/>
  <c r="F447" i="2"/>
  <c r="F447" i="3" s="1"/>
  <c r="E447" i="2"/>
  <c r="E447" i="3" s="1"/>
  <c r="K447" i="3" s="1"/>
  <c r="D447" i="2"/>
  <c r="D447" i="3" s="1"/>
  <c r="C447" i="2"/>
  <c r="C447" i="3" s="1"/>
  <c r="B447" i="2"/>
  <c r="B447" i="3" s="1"/>
  <c r="A447" i="2"/>
  <c r="A447" i="3" s="1"/>
  <c r="U446" i="2"/>
  <c r="T446" i="2"/>
  <c r="S446" i="2"/>
  <c r="G446" i="2"/>
  <c r="F446" i="2"/>
  <c r="F446" i="3" s="1"/>
  <c r="E446" i="2"/>
  <c r="E446" i="3" s="1"/>
  <c r="K446" i="3" s="1"/>
  <c r="D446" i="2"/>
  <c r="D446" i="3" s="1"/>
  <c r="C446" i="2"/>
  <c r="C446" i="3" s="1"/>
  <c r="B446" i="2"/>
  <c r="B446" i="3" s="1"/>
  <c r="A446" i="2"/>
  <c r="A446" i="3" s="1"/>
  <c r="S445" i="2"/>
  <c r="G445" i="2"/>
  <c r="G445" i="3" s="1"/>
  <c r="F445" i="2"/>
  <c r="F445" i="3" s="1"/>
  <c r="E445" i="2"/>
  <c r="D445" i="2"/>
  <c r="D445" i="3" s="1"/>
  <c r="C445" i="2"/>
  <c r="C445" i="3" s="1"/>
  <c r="B445" i="2"/>
  <c r="B445" i="3" s="1"/>
  <c r="A445" i="2"/>
  <c r="A445" i="3" s="1"/>
  <c r="U444" i="2"/>
  <c r="T444" i="2"/>
  <c r="G444" i="2"/>
  <c r="G444" i="3" s="1"/>
  <c r="F444" i="2"/>
  <c r="F444" i="3" s="1"/>
  <c r="E444" i="2"/>
  <c r="E444" i="3" s="1"/>
  <c r="D444" i="2"/>
  <c r="D444" i="3" s="1"/>
  <c r="C444" i="2"/>
  <c r="B444" i="2"/>
  <c r="B444" i="3" s="1"/>
  <c r="A444" i="2"/>
  <c r="A444" i="3" s="1"/>
  <c r="U443" i="2"/>
  <c r="T443" i="2"/>
  <c r="S443" i="2"/>
  <c r="R443" i="2"/>
  <c r="G443" i="2"/>
  <c r="G443" i="3" s="1"/>
  <c r="F443" i="2"/>
  <c r="F443" i="3" s="1"/>
  <c r="E443" i="2"/>
  <c r="E443" i="3" s="1"/>
  <c r="K443" i="3" s="1"/>
  <c r="D443" i="2"/>
  <c r="D443" i="3" s="1"/>
  <c r="C443" i="2"/>
  <c r="C443" i="3" s="1"/>
  <c r="B443" i="2"/>
  <c r="B443" i="3" s="1"/>
  <c r="A443" i="2"/>
  <c r="A443" i="3" s="1"/>
  <c r="U442" i="2"/>
  <c r="T442" i="2"/>
  <c r="S442" i="2"/>
  <c r="G442" i="2"/>
  <c r="F442" i="2"/>
  <c r="F442" i="3" s="1"/>
  <c r="E442" i="2"/>
  <c r="E442" i="3" s="1"/>
  <c r="K442" i="3" s="1"/>
  <c r="D442" i="2"/>
  <c r="D442" i="3" s="1"/>
  <c r="C442" i="2"/>
  <c r="C442" i="3" s="1"/>
  <c r="B442" i="2"/>
  <c r="B442" i="3" s="1"/>
  <c r="A442" i="2"/>
  <c r="A442" i="3" s="1"/>
  <c r="S441" i="2"/>
  <c r="G441" i="2"/>
  <c r="G441" i="3" s="1"/>
  <c r="F441" i="2"/>
  <c r="F441" i="3" s="1"/>
  <c r="E441" i="2"/>
  <c r="D441" i="2"/>
  <c r="D441" i="3" s="1"/>
  <c r="C441" i="2"/>
  <c r="C441" i="3" s="1"/>
  <c r="B441" i="2"/>
  <c r="B441" i="3" s="1"/>
  <c r="A441" i="2"/>
  <c r="A441" i="3" s="1"/>
  <c r="U440" i="2"/>
  <c r="T440" i="2"/>
  <c r="G440" i="2"/>
  <c r="G440" i="3" s="1"/>
  <c r="F440" i="2"/>
  <c r="F440" i="3" s="1"/>
  <c r="E440" i="2"/>
  <c r="E440" i="3" s="1"/>
  <c r="D440" i="2"/>
  <c r="D440" i="3" s="1"/>
  <c r="C440" i="2"/>
  <c r="B440" i="2"/>
  <c r="B440" i="3" s="1"/>
  <c r="A440" i="2"/>
  <c r="A440" i="3" s="1"/>
  <c r="U439" i="2"/>
  <c r="T439" i="2"/>
  <c r="S439" i="2"/>
  <c r="R439" i="2"/>
  <c r="G439" i="2"/>
  <c r="G439" i="3" s="1"/>
  <c r="F439" i="2"/>
  <c r="F439" i="3" s="1"/>
  <c r="E439" i="2"/>
  <c r="E439" i="3" s="1"/>
  <c r="K439" i="3" s="1"/>
  <c r="D439" i="2"/>
  <c r="D439" i="3" s="1"/>
  <c r="C439" i="2"/>
  <c r="C439" i="3" s="1"/>
  <c r="B439" i="2"/>
  <c r="B439" i="3" s="1"/>
  <c r="A439" i="2"/>
  <c r="A439" i="3" s="1"/>
  <c r="U438" i="2"/>
  <c r="T438" i="2"/>
  <c r="S438" i="2"/>
  <c r="G438" i="2"/>
  <c r="F438" i="2"/>
  <c r="F438" i="3" s="1"/>
  <c r="E438" i="2"/>
  <c r="E438" i="3" s="1"/>
  <c r="K438" i="3" s="1"/>
  <c r="D438" i="2"/>
  <c r="D438" i="3" s="1"/>
  <c r="C438" i="2"/>
  <c r="C438" i="3" s="1"/>
  <c r="B438" i="2"/>
  <c r="B438" i="3" s="1"/>
  <c r="A438" i="2"/>
  <c r="A438" i="3" s="1"/>
  <c r="S437" i="2"/>
  <c r="G437" i="2"/>
  <c r="G437" i="3" s="1"/>
  <c r="F437" i="2"/>
  <c r="F437" i="3" s="1"/>
  <c r="E437" i="2"/>
  <c r="D437" i="2"/>
  <c r="D437" i="3" s="1"/>
  <c r="C437" i="2"/>
  <c r="C437" i="3" s="1"/>
  <c r="B437" i="2"/>
  <c r="B437" i="3" s="1"/>
  <c r="A437" i="2"/>
  <c r="A437" i="3" s="1"/>
  <c r="U436" i="2"/>
  <c r="T436" i="2"/>
  <c r="G436" i="2"/>
  <c r="G436" i="3" s="1"/>
  <c r="F436" i="2"/>
  <c r="F436" i="3" s="1"/>
  <c r="E436" i="2"/>
  <c r="E436" i="3" s="1"/>
  <c r="D436" i="2"/>
  <c r="D436" i="3" s="1"/>
  <c r="C436" i="2"/>
  <c r="B436" i="2"/>
  <c r="B436" i="3" s="1"/>
  <c r="A436" i="2"/>
  <c r="A436" i="3" s="1"/>
  <c r="U435" i="2"/>
  <c r="T435" i="2"/>
  <c r="S435" i="2"/>
  <c r="R435" i="2"/>
  <c r="G435" i="2"/>
  <c r="G435" i="3" s="1"/>
  <c r="F435" i="2"/>
  <c r="F435" i="3" s="1"/>
  <c r="E435" i="2"/>
  <c r="E435" i="3" s="1"/>
  <c r="K435" i="3" s="1"/>
  <c r="D435" i="2"/>
  <c r="D435" i="3" s="1"/>
  <c r="C435" i="2"/>
  <c r="C435" i="3" s="1"/>
  <c r="B435" i="2"/>
  <c r="B435" i="3" s="1"/>
  <c r="A435" i="2"/>
  <c r="A435" i="3" s="1"/>
  <c r="U434" i="2"/>
  <c r="T434" i="2"/>
  <c r="S434" i="2"/>
  <c r="G434" i="2"/>
  <c r="F434" i="2"/>
  <c r="F434" i="3" s="1"/>
  <c r="E434" i="2"/>
  <c r="E434" i="3" s="1"/>
  <c r="K434" i="3" s="1"/>
  <c r="D434" i="2"/>
  <c r="D434" i="3" s="1"/>
  <c r="C434" i="2"/>
  <c r="C434" i="3" s="1"/>
  <c r="B434" i="2"/>
  <c r="B434" i="3" s="1"/>
  <c r="A434" i="2"/>
  <c r="A434" i="3" s="1"/>
  <c r="S433" i="2"/>
  <c r="G433" i="2"/>
  <c r="G433" i="3" s="1"/>
  <c r="F433" i="2"/>
  <c r="F433" i="3" s="1"/>
  <c r="E433" i="2"/>
  <c r="D433" i="2"/>
  <c r="D433" i="3" s="1"/>
  <c r="C433" i="2"/>
  <c r="C433" i="3" s="1"/>
  <c r="B433" i="2"/>
  <c r="B433" i="3" s="1"/>
  <c r="A433" i="2"/>
  <c r="A433" i="3" s="1"/>
  <c r="U432" i="2"/>
  <c r="T432" i="2"/>
  <c r="G432" i="2"/>
  <c r="G432" i="3" s="1"/>
  <c r="F432" i="2"/>
  <c r="F432" i="3" s="1"/>
  <c r="E432" i="2"/>
  <c r="E432" i="3" s="1"/>
  <c r="D432" i="2"/>
  <c r="D432" i="3" s="1"/>
  <c r="C432" i="2"/>
  <c r="B432" i="2"/>
  <c r="B432" i="3" s="1"/>
  <c r="A432" i="2"/>
  <c r="A432" i="3" s="1"/>
  <c r="U431" i="2"/>
  <c r="T431" i="2"/>
  <c r="S431" i="2"/>
  <c r="R431" i="2"/>
  <c r="G431" i="2"/>
  <c r="G431" i="3" s="1"/>
  <c r="F431" i="2"/>
  <c r="F431" i="3" s="1"/>
  <c r="E431" i="2"/>
  <c r="E431" i="3" s="1"/>
  <c r="K431" i="3" s="1"/>
  <c r="D431" i="2"/>
  <c r="D431" i="3" s="1"/>
  <c r="C431" i="2"/>
  <c r="C431" i="3" s="1"/>
  <c r="B431" i="2"/>
  <c r="B431" i="3" s="1"/>
  <c r="A431" i="2"/>
  <c r="A431" i="3" s="1"/>
  <c r="U430" i="2"/>
  <c r="T430" i="2"/>
  <c r="S430" i="2"/>
  <c r="G430" i="2"/>
  <c r="F430" i="2"/>
  <c r="F430" i="3" s="1"/>
  <c r="E430" i="2"/>
  <c r="E430" i="3" s="1"/>
  <c r="K430" i="3" s="1"/>
  <c r="D430" i="2"/>
  <c r="D430" i="3" s="1"/>
  <c r="C430" i="2"/>
  <c r="C430" i="3" s="1"/>
  <c r="B430" i="2"/>
  <c r="B430" i="3" s="1"/>
  <c r="A430" i="2"/>
  <c r="A430" i="3" s="1"/>
  <c r="S429" i="2"/>
  <c r="G429" i="2"/>
  <c r="G429" i="3" s="1"/>
  <c r="F429" i="2"/>
  <c r="F429" i="3" s="1"/>
  <c r="E429" i="2"/>
  <c r="D429" i="2"/>
  <c r="D429" i="3" s="1"/>
  <c r="C429" i="2"/>
  <c r="C429" i="3" s="1"/>
  <c r="B429" i="2"/>
  <c r="B429" i="3" s="1"/>
  <c r="A429" i="2"/>
  <c r="A429" i="3" s="1"/>
  <c r="U428" i="2"/>
  <c r="T428" i="2"/>
  <c r="G428" i="2"/>
  <c r="G428" i="3" s="1"/>
  <c r="F428" i="2"/>
  <c r="F428" i="3" s="1"/>
  <c r="E428" i="2"/>
  <c r="E428" i="3" s="1"/>
  <c r="D428" i="2"/>
  <c r="D428" i="3" s="1"/>
  <c r="C428" i="2"/>
  <c r="B428" i="2"/>
  <c r="B428" i="3" s="1"/>
  <c r="A428" i="2"/>
  <c r="A428" i="3" s="1"/>
  <c r="U427" i="2"/>
  <c r="T427" i="2"/>
  <c r="S427" i="2"/>
  <c r="R427" i="2"/>
  <c r="G427" i="2"/>
  <c r="G427" i="3" s="1"/>
  <c r="F427" i="2"/>
  <c r="F427" i="3" s="1"/>
  <c r="E427" i="2"/>
  <c r="E427" i="3" s="1"/>
  <c r="K427" i="3" s="1"/>
  <c r="D427" i="2"/>
  <c r="D427" i="3" s="1"/>
  <c r="C427" i="2"/>
  <c r="C427" i="3" s="1"/>
  <c r="B427" i="2"/>
  <c r="B427" i="3" s="1"/>
  <c r="A427" i="2"/>
  <c r="A427" i="3" s="1"/>
  <c r="U426" i="2"/>
  <c r="T426" i="2"/>
  <c r="S426" i="2"/>
  <c r="G426" i="2"/>
  <c r="F426" i="2"/>
  <c r="F426" i="3" s="1"/>
  <c r="E426" i="2"/>
  <c r="E426" i="3" s="1"/>
  <c r="K426" i="3" s="1"/>
  <c r="D426" i="2"/>
  <c r="D426" i="3" s="1"/>
  <c r="C426" i="2"/>
  <c r="C426" i="3" s="1"/>
  <c r="B426" i="2"/>
  <c r="B426" i="3" s="1"/>
  <c r="A426" i="2"/>
  <c r="A426" i="3" s="1"/>
  <c r="S425" i="2"/>
  <c r="G425" i="2"/>
  <c r="G425" i="3" s="1"/>
  <c r="F425" i="2"/>
  <c r="F425" i="3" s="1"/>
  <c r="E425" i="2"/>
  <c r="D425" i="2"/>
  <c r="D425" i="3" s="1"/>
  <c r="C425" i="2"/>
  <c r="C425" i="3" s="1"/>
  <c r="B425" i="2"/>
  <c r="B425" i="3" s="1"/>
  <c r="A425" i="2"/>
  <c r="A425" i="3" s="1"/>
  <c r="U424" i="2"/>
  <c r="T424" i="2"/>
  <c r="G424" i="2"/>
  <c r="G424" i="3" s="1"/>
  <c r="F424" i="2"/>
  <c r="F424" i="3" s="1"/>
  <c r="E424" i="2"/>
  <c r="E424" i="3" s="1"/>
  <c r="D424" i="2"/>
  <c r="D424" i="3" s="1"/>
  <c r="C424" i="2"/>
  <c r="B424" i="2"/>
  <c r="B424" i="3" s="1"/>
  <c r="A424" i="2"/>
  <c r="A424" i="3" s="1"/>
  <c r="U423" i="2"/>
  <c r="T423" i="2"/>
  <c r="S423" i="2"/>
  <c r="R423" i="2"/>
  <c r="G423" i="2"/>
  <c r="G423" i="3" s="1"/>
  <c r="F423" i="2"/>
  <c r="F423" i="3" s="1"/>
  <c r="E423" i="2"/>
  <c r="E423" i="3" s="1"/>
  <c r="K423" i="3" s="1"/>
  <c r="D423" i="2"/>
  <c r="D423" i="3" s="1"/>
  <c r="C423" i="2"/>
  <c r="C423" i="3" s="1"/>
  <c r="B423" i="2"/>
  <c r="B423" i="3" s="1"/>
  <c r="A423" i="2"/>
  <c r="A423" i="3" s="1"/>
  <c r="U422" i="2"/>
  <c r="T422" i="2"/>
  <c r="S422" i="2"/>
  <c r="G422" i="2"/>
  <c r="F422" i="2"/>
  <c r="F422" i="3" s="1"/>
  <c r="E422" i="2"/>
  <c r="E422" i="3" s="1"/>
  <c r="K422" i="3" s="1"/>
  <c r="D422" i="2"/>
  <c r="D422" i="3" s="1"/>
  <c r="C422" i="2"/>
  <c r="C422" i="3" s="1"/>
  <c r="B422" i="2"/>
  <c r="B422" i="3" s="1"/>
  <c r="A422" i="2"/>
  <c r="A422" i="3" s="1"/>
  <c r="S421" i="2"/>
  <c r="G421" i="2"/>
  <c r="G421" i="3" s="1"/>
  <c r="F421" i="2"/>
  <c r="F421" i="3" s="1"/>
  <c r="E421" i="2"/>
  <c r="D421" i="2"/>
  <c r="D421" i="3" s="1"/>
  <c r="C421" i="2"/>
  <c r="C421" i="3" s="1"/>
  <c r="B421" i="2"/>
  <c r="B421" i="3" s="1"/>
  <c r="A421" i="2"/>
  <c r="A421" i="3" s="1"/>
  <c r="U420" i="2"/>
  <c r="T420" i="2"/>
  <c r="G420" i="2"/>
  <c r="G420" i="3" s="1"/>
  <c r="F420" i="2"/>
  <c r="F420" i="3" s="1"/>
  <c r="E420" i="2"/>
  <c r="E420" i="3" s="1"/>
  <c r="D420" i="2"/>
  <c r="D420" i="3" s="1"/>
  <c r="C420" i="2"/>
  <c r="B420" i="2"/>
  <c r="B420" i="3" s="1"/>
  <c r="A420" i="2"/>
  <c r="A420" i="3" s="1"/>
  <c r="U419" i="2"/>
  <c r="T419" i="2"/>
  <c r="S419" i="2"/>
  <c r="R419" i="2"/>
  <c r="G419" i="2"/>
  <c r="G419" i="3" s="1"/>
  <c r="F419" i="2"/>
  <c r="F419" i="3" s="1"/>
  <c r="E419" i="2"/>
  <c r="E419" i="3" s="1"/>
  <c r="K419" i="3" s="1"/>
  <c r="D419" i="2"/>
  <c r="D419" i="3" s="1"/>
  <c r="C419" i="2"/>
  <c r="C419" i="3" s="1"/>
  <c r="B419" i="2"/>
  <c r="B419" i="3" s="1"/>
  <c r="A419" i="2"/>
  <c r="A419" i="3" s="1"/>
  <c r="U418" i="2"/>
  <c r="T418" i="2"/>
  <c r="S418" i="2"/>
  <c r="G418" i="2"/>
  <c r="F418" i="2"/>
  <c r="F418" i="3" s="1"/>
  <c r="E418" i="2"/>
  <c r="E418" i="3" s="1"/>
  <c r="K418" i="3" s="1"/>
  <c r="D418" i="2"/>
  <c r="D418" i="3" s="1"/>
  <c r="C418" i="2"/>
  <c r="C418" i="3" s="1"/>
  <c r="B418" i="2"/>
  <c r="B418" i="3" s="1"/>
  <c r="A418" i="2"/>
  <c r="A418" i="3" s="1"/>
  <c r="S417" i="2"/>
  <c r="G417" i="2"/>
  <c r="G417" i="3" s="1"/>
  <c r="F417" i="2"/>
  <c r="E417" i="2"/>
  <c r="D417" i="2"/>
  <c r="D417" i="3" s="1"/>
  <c r="C417" i="2"/>
  <c r="C417" i="3" s="1"/>
  <c r="B417" i="2"/>
  <c r="B417" i="3" s="1"/>
  <c r="A417" i="2"/>
  <c r="A417" i="3" s="1"/>
  <c r="U416" i="2"/>
  <c r="T416" i="2"/>
  <c r="G416" i="2"/>
  <c r="G416" i="3" s="1"/>
  <c r="F416" i="2"/>
  <c r="F416" i="3" s="1"/>
  <c r="E416" i="2"/>
  <c r="E416" i="3" s="1"/>
  <c r="D416" i="2"/>
  <c r="C416" i="2"/>
  <c r="B416" i="2"/>
  <c r="B416" i="3" s="1"/>
  <c r="A416" i="2"/>
  <c r="A416" i="3" s="1"/>
  <c r="U415" i="2"/>
  <c r="T415" i="2"/>
  <c r="S415" i="2"/>
  <c r="R415" i="2"/>
  <c r="G415" i="2"/>
  <c r="G415" i="3" s="1"/>
  <c r="F415" i="2"/>
  <c r="F415" i="3" s="1"/>
  <c r="E415" i="2"/>
  <c r="E415" i="3" s="1"/>
  <c r="K415" i="3" s="1"/>
  <c r="D415" i="2"/>
  <c r="D415" i="3" s="1"/>
  <c r="C415" i="2"/>
  <c r="C415" i="3" s="1"/>
  <c r="B415" i="2"/>
  <c r="B415" i="3" s="1"/>
  <c r="A415" i="2"/>
  <c r="A415" i="3" s="1"/>
  <c r="U414" i="2"/>
  <c r="T414" i="2"/>
  <c r="S414" i="2"/>
  <c r="G414" i="2"/>
  <c r="F414" i="2"/>
  <c r="F414" i="3" s="1"/>
  <c r="E414" i="2"/>
  <c r="E414" i="3" s="1"/>
  <c r="K414" i="3" s="1"/>
  <c r="D414" i="2"/>
  <c r="D414" i="3" s="1"/>
  <c r="C414" i="2"/>
  <c r="C414" i="3" s="1"/>
  <c r="B414" i="2"/>
  <c r="B414" i="3" s="1"/>
  <c r="A414" i="2"/>
  <c r="A414" i="3" s="1"/>
  <c r="S413" i="2"/>
  <c r="G413" i="2"/>
  <c r="G413" i="3" s="1"/>
  <c r="F413" i="2"/>
  <c r="E413" i="2"/>
  <c r="D413" i="2"/>
  <c r="D413" i="3" s="1"/>
  <c r="C413" i="2"/>
  <c r="C413" i="3" s="1"/>
  <c r="B413" i="2"/>
  <c r="B413" i="3" s="1"/>
  <c r="A413" i="2"/>
  <c r="A413" i="3" s="1"/>
  <c r="U412" i="2"/>
  <c r="T412" i="2"/>
  <c r="G412" i="2"/>
  <c r="G412" i="3" s="1"/>
  <c r="F412" i="2"/>
  <c r="F412" i="3" s="1"/>
  <c r="E412" i="2"/>
  <c r="E412" i="3" s="1"/>
  <c r="K412" i="3" s="1"/>
  <c r="D412" i="2"/>
  <c r="C412" i="2"/>
  <c r="B412" i="2"/>
  <c r="B412" i="3" s="1"/>
  <c r="A412" i="2"/>
  <c r="A412" i="3" s="1"/>
  <c r="U411" i="2"/>
  <c r="T411" i="2"/>
  <c r="S411" i="2"/>
  <c r="R411" i="2"/>
  <c r="G411" i="2"/>
  <c r="G411" i="3" s="1"/>
  <c r="F411" i="2"/>
  <c r="F411" i="3" s="1"/>
  <c r="E411" i="2"/>
  <c r="E411" i="3" s="1"/>
  <c r="K411" i="3" s="1"/>
  <c r="D411" i="2"/>
  <c r="D411" i="3" s="1"/>
  <c r="C411" i="2"/>
  <c r="C411" i="3" s="1"/>
  <c r="B411" i="2"/>
  <c r="B411" i="3" s="1"/>
  <c r="A411" i="2"/>
  <c r="A411" i="3" s="1"/>
  <c r="U410" i="2"/>
  <c r="T410" i="2"/>
  <c r="S410" i="2"/>
  <c r="G410" i="2"/>
  <c r="F410" i="2"/>
  <c r="F410" i="3" s="1"/>
  <c r="E410" i="2"/>
  <c r="E410" i="3" s="1"/>
  <c r="K410" i="3" s="1"/>
  <c r="D410" i="2"/>
  <c r="D410" i="3" s="1"/>
  <c r="C410" i="2"/>
  <c r="C410" i="3" s="1"/>
  <c r="B410" i="2"/>
  <c r="B410" i="3" s="1"/>
  <c r="A410" i="2"/>
  <c r="A410" i="3" s="1"/>
  <c r="S409" i="2"/>
  <c r="G409" i="2"/>
  <c r="F409" i="2"/>
  <c r="E409" i="2"/>
  <c r="D409" i="2"/>
  <c r="D409" i="3" s="1"/>
  <c r="C409" i="2"/>
  <c r="C409" i="3" s="1"/>
  <c r="B409" i="2"/>
  <c r="B409" i="3" s="1"/>
  <c r="A409" i="2"/>
  <c r="A409" i="3" s="1"/>
  <c r="U408" i="2"/>
  <c r="T408" i="2"/>
  <c r="G408" i="2"/>
  <c r="G408" i="3" s="1"/>
  <c r="F408" i="2"/>
  <c r="F408" i="3" s="1"/>
  <c r="E408" i="2"/>
  <c r="D408" i="2"/>
  <c r="C408" i="2"/>
  <c r="B408" i="2"/>
  <c r="B408" i="3" s="1"/>
  <c r="A408" i="2"/>
  <c r="A408" i="3" s="1"/>
  <c r="U407" i="2"/>
  <c r="T407" i="2"/>
  <c r="S407" i="2"/>
  <c r="R407" i="2"/>
  <c r="G407" i="2"/>
  <c r="G407" i="3" s="1"/>
  <c r="F407" i="2"/>
  <c r="F407" i="3" s="1"/>
  <c r="E407" i="2"/>
  <c r="E407" i="3" s="1"/>
  <c r="K407" i="3" s="1"/>
  <c r="D407" i="2"/>
  <c r="D407" i="3" s="1"/>
  <c r="C407" i="2"/>
  <c r="B407" i="2"/>
  <c r="B407" i="3" s="1"/>
  <c r="A407" i="2"/>
  <c r="A407" i="3" s="1"/>
  <c r="U406" i="2"/>
  <c r="T406" i="2"/>
  <c r="S406" i="2"/>
  <c r="G406" i="2"/>
  <c r="G406" i="3" s="1"/>
  <c r="F406" i="2"/>
  <c r="F406" i="3" s="1"/>
  <c r="E406" i="2"/>
  <c r="E406" i="3" s="1"/>
  <c r="K406" i="3" s="1"/>
  <c r="D406" i="2"/>
  <c r="D406" i="3" s="1"/>
  <c r="C406" i="2"/>
  <c r="C406" i="3" s="1"/>
  <c r="B406" i="2"/>
  <c r="B406" i="3" s="1"/>
  <c r="A406" i="2"/>
  <c r="A406" i="3" s="1"/>
  <c r="S405" i="2"/>
  <c r="G405" i="2"/>
  <c r="F405" i="2"/>
  <c r="E405" i="2"/>
  <c r="D405" i="2"/>
  <c r="D405" i="3" s="1"/>
  <c r="C405" i="2"/>
  <c r="C405" i="3" s="1"/>
  <c r="B405" i="2"/>
  <c r="B405" i="3" s="1"/>
  <c r="A405" i="2"/>
  <c r="A405" i="3" s="1"/>
  <c r="G404" i="2"/>
  <c r="G404" i="3" s="1"/>
  <c r="F404" i="2"/>
  <c r="U404" i="2" s="1"/>
  <c r="E404" i="2"/>
  <c r="E404" i="3" s="1"/>
  <c r="D404" i="2"/>
  <c r="C404" i="2"/>
  <c r="B404" i="2"/>
  <c r="B404" i="3" s="1"/>
  <c r="A404" i="2"/>
  <c r="A404" i="3" s="1"/>
  <c r="U403" i="2"/>
  <c r="T403" i="2"/>
  <c r="S403" i="2"/>
  <c r="R403" i="2"/>
  <c r="G403" i="2"/>
  <c r="G403" i="3" s="1"/>
  <c r="F403" i="2"/>
  <c r="F403" i="3" s="1"/>
  <c r="E403" i="2"/>
  <c r="E403" i="3" s="1"/>
  <c r="K403" i="3" s="1"/>
  <c r="D403" i="2"/>
  <c r="D403" i="3" s="1"/>
  <c r="C403" i="2"/>
  <c r="B403" i="2"/>
  <c r="B403" i="3" s="1"/>
  <c r="A403" i="2"/>
  <c r="A403" i="3" s="1"/>
  <c r="U402" i="2"/>
  <c r="T402" i="2"/>
  <c r="S402" i="2"/>
  <c r="R402" i="2"/>
  <c r="G402" i="2"/>
  <c r="G402" i="3" s="1"/>
  <c r="F402" i="2"/>
  <c r="F402" i="3" s="1"/>
  <c r="E402" i="2"/>
  <c r="E402" i="3" s="1"/>
  <c r="K402" i="3" s="1"/>
  <c r="D402" i="2"/>
  <c r="D402" i="3" s="1"/>
  <c r="C402" i="2"/>
  <c r="C402" i="3" s="1"/>
  <c r="B402" i="2"/>
  <c r="B402" i="3" s="1"/>
  <c r="A402" i="2"/>
  <c r="A402" i="3" s="1"/>
  <c r="S401" i="2"/>
  <c r="G401" i="2"/>
  <c r="F401" i="2"/>
  <c r="E401" i="2"/>
  <c r="D401" i="2"/>
  <c r="D401" i="3" s="1"/>
  <c r="C401" i="2"/>
  <c r="C401" i="3" s="1"/>
  <c r="B401" i="2"/>
  <c r="B401" i="3" s="1"/>
  <c r="A401" i="2"/>
  <c r="A401" i="3" s="1"/>
  <c r="U400" i="2"/>
  <c r="T400" i="2"/>
  <c r="G400" i="2"/>
  <c r="G400" i="3" s="1"/>
  <c r="F400" i="2"/>
  <c r="E400" i="2"/>
  <c r="E400" i="3" s="1"/>
  <c r="D400" i="2"/>
  <c r="C400" i="2"/>
  <c r="B400" i="2"/>
  <c r="B400" i="3" s="1"/>
  <c r="A400" i="2"/>
  <c r="A400" i="3" s="1"/>
  <c r="U399" i="2"/>
  <c r="R399" i="2"/>
  <c r="G399" i="2"/>
  <c r="G399" i="3" s="1"/>
  <c r="F399" i="2"/>
  <c r="F399" i="3" s="1"/>
  <c r="E399" i="2"/>
  <c r="T399" i="2" s="1"/>
  <c r="D399" i="2"/>
  <c r="D399" i="3" s="1"/>
  <c r="C399" i="2"/>
  <c r="B399" i="2"/>
  <c r="B399" i="3" s="1"/>
  <c r="A399" i="2"/>
  <c r="A399" i="3" s="1"/>
  <c r="U398" i="2"/>
  <c r="T398" i="2"/>
  <c r="S398" i="2"/>
  <c r="R398" i="2"/>
  <c r="G398" i="2"/>
  <c r="G398" i="3" s="1"/>
  <c r="F398" i="2"/>
  <c r="F398" i="3" s="1"/>
  <c r="E398" i="2"/>
  <c r="E398" i="3" s="1"/>
  <c r="K398" i="3" s="1"/>
  <c r="D398" i="2"/>
  <c r="D398" i="3" s="1"/>
  <c r="C398" i="2"/>
  <c r="B398" i="2"/>
  <c r="B398" i="3" s="1"/>
  <c r="A398" i="2"/>
  <c r="A398" i="3" s="1"/>
  <c r="S397" i="2"/>
  <c r="R397" i="2"/>
  <c r="G397" i="2"/>
  <c r="G397" i="3" s="1"/>
  <c r="F397" i="2"/>
  <c r="E397" i="2"/>
  <c r="D397" i="2"/>
  <c r="D397" i="3" s="1"/>
  <c r="C397" i="2"/>
  <c r="C397" i="3" s="1"/>
  <c r="B397" i="2"/>
  <c r="B397" i="3" s="1"/>
  <c r="A397" i="2"/>
  <c r="A397" i="3" s="1"/>
  <c r="G396" i="2"/>
  <c r="F396" i="2"/>
  <c r="E396" i="2"/>
  <c r="E396" i="3" s="1"/>
  <c r="D396" i="2"/>
  <c r="C396" i="2"/>
  <c r="B396" i="2"/>
  <c r="B396" i="3" s="1"/>
  <c r="A396" i="2"/>
  <c r="A396" i="3" s="1"/>
  <c r="U395" i="2"/>
  <c r="T395" i="2"/>
  <c r="R395" i="2"/>
  <c r="G395" i="2"/>
  <c r="G395" i="3" s="1"/>
  <c r="F395" i="2"/>
  <c r="F395" i="3" s="1"/>
  <c r="E395" i="2"/>
  <c r="D395" i="2"/>
  <c r="D395" i="3" s="1"/>
  <c r="C395" i="2"/>
  <c r="B395" i="2"/>
  <c r="B395" i="3" s="1"/>
  <c r="A395" i="2"/>
  <c r="A395" i="3" s="1"/>
  <c r="U394" i="2"/>
  <c r="T394" i="2"/>
  <c r="S394" i="2"/>
  <c r="G394" i="2"/>
  <c r="G394" i="3" s="1"/>
  <c r="F394" i="2"/>
  <c r="F394" i="3" s="1"/>
  <c r="E394" i="2"/>
  <c r="E394" i="3" s="1"/>
  <c r="K394" i="3" s="1"/>
  <c r="D394" i="2"/>
  <c r="D394" i="3" s="1"/>
  <c r="C394" i="2"/>
  <c r="B394" i="2"/>
  <c r="B394" i="3" s="1"/>
  <c r="A394" i="2"/>
  <c r="A394" i="3" s="1"/>
  <c r="S393" i="2"/>
  <c r="R393" i="2"/>
  <c r="G393" i="2"/>
  <c r="G393" i="3" s="1"/>
  <c r="F393" i="2"/>
  <c r="E393" i="2"/>
  <c r="D393" i="2"/>
  <c r="D393" i="3" s="1"/>
  <c r="C393" i="2"/>
  <c r="C393" i="3" s="1"/>
  <c r="B393" i="2"/>
  <c r="B393" i="3" s="1"/>
  <c r="A393" i="2"/>
  <c r="A393" i="3" s="1"/>
  <c r="G392" i="2"/>
  <c r="F392" i="2"/>
  <c r="E392" i="2"/>
  <c r="E392" i="3" s="1"/>
  <c r="D392" i="2"/>
  <c r="C392" i="2"/>
  <c r="B392" i="2"/>
  <c r="B392" i="3" s="1"/>
  <c r="A392" i="2"/>
  <c r="A392" i="3" s="1"/>
  <c r="U391" i="2"/>
  <c r="T391" i="2"/>
  <c r="R391" i="2"/>
  <c r="G391" i="2"/>
  <c r="G391" i="3" s="1"/>
  <c r="F391" i="2"/>
  <c r="F391" i="3" s="1"/>
  <c r="E391" i="2"/>
  <c r="D391" i="2"/>
  <c r="D391" i="3" s="1"/>
  <c r="C391" i="2"/>
  <c r="B391" i="2"/>
  <c r="B391" i="3" s="1"/>
  <c r="A391" i="2"/>
  <c r="A391" i="3" s="1"/>
  <c r="U390" i="2"/>
  <c r="T390" i="2"/>
  <c r="S390" i="2"/>
  <c r="G390" i="2"/>
  <c r="G390" i="3" s="1"/>
  <c r="F390" i="2"/>
  <c r="F390" i="3" s="1"/>
  <c r="E390" i="2"/>
  <c r="E390" i="3" s="1"/>
  <c r="K390" i="3" s="1"/>
  <c r="D390" i="2"/>
  <c r="D390" i="3" s="1"/>
  <c r="C390" i="2"/>
  <c r="B390" i="2"/>
  <c r="B390" i="3" s="1"/>
  <c r="A390" i="2"/>
  <c r="A390" i="3" s="1"/>
  <c r="S389" i="2"/>
  <c r="R389" i="2"/>
  <c r="G389" i="2"/>
  <c r="G389" i="3" s="1"/>
  <c r="F389" i="2"/>
  <c r="E389" i="2"/>
  <c r="D389" i="2"/>
  <c r="D389" i="3" s="1"/>
  <c r="C389" i="2"/>
  <c r="C389" i="3" s="1"/>
  <c r="B389" i="2"/>
  <c r="B389" i="3" s="1"/>
  <c r="A389" i="2"/>
  <c r="A389" i="3" s="1"/>
  <c r="G388" i="2"/>
  <c r="F388" i="2"/>
  <c r="E388" i="2"/>
  <c r="E388" i="3" s="1"/>
  <c r="D388" i="2"/>
  <c r="C388" i="2"/>
  <c r="B388" i="2"/>
  <c r="B388" i="3" s="1"/>
  <c r="A388" i="2"/>
  <c r="A388" i="3" s="1"/>
  <c r="U387" i="2"/>
  <c r="S387" i="2"/>
  <c r="R387" i="2"/>
  <c r="G387" i="2"/>
  <c r="G387" i="3" s="1"/>
  <c r="F387" i="2"/>
  <c r="F387" i="3" s="1"/>
  <c r="E387" i="2"/>
  <c r="D387" i="2"/>
  <c r="D387" i="3" s="1"/>
  <c r="C387" i="2"/>
  <c r="B387" i="2"/>
  <c r="B387" i="3" s="1"/>
  <c r="A387" i="2"/>
  <c r="A387" i="3" s="1"/>
  <c r="U386" i="2"/>
  <c r="T386" i="2"/>
  <c r="S386" i="2"/>
  <c r="R386" i="2"/>
  <c r="G386" i="2"/>
  <c r="G386" i="3" s="1"/>
  <c r="F386" i="2"/>
  <c r="F386" i="3" s="1"/>
  <c r="E386" i="2"/>
  <c r="E386" i="3" s="1"/>
  <c r="K386" i="3" s="1"/>
  <c r="D386" i="2"/>
  <c r="D386" i="3" s="1"/>
  <c r="C386" i="2"/>
  <c r="B386" i="2"/>
  <c r="B386" i="3" s="1"/>
  <c r="A386" i="2"/>
  <c r="A386" i="3" s="1"/>
  <c r="S385" i="2"/>
  <c r="G385" i="2"/>
  <c r="G385" i="3" s="1"/>
  <c r="F385" i="2"/>
  <c r="E385" i="2"/>
  <c r="D385" i="2"/>
  <c r="D385" i="3" s="1"/>
  <c r="C385" i="2"/>
  <c r="C385" i="3" s="1"/>
  <c r="B385" i="2"/>
  <c r="B385" i="3" s="1"/>
  <c r="A385" i="2"/>
  <c r="A385" i="3" s="1"/>
  <c r="G384" i="2"/>
  <c r="F384" i="2"/>
  <c r="E384" i="2"/>
  <c r="E384" i="3" s="1"/>
  <c r="D384" i="2"/>
  <c r="C384" i="2"/>
  <c r="B384" i="2"/>
  <c r="B384" i="3" s="1"/>
  <c r="A384" i="2"/>
  <c r="A384" i="3" s="1"/>
  <c r="U383" i="2"/>
  <c r="R383" i="2"/>
  <c r="G383" i="2"/>
  <c r="G383" i="3" s="1"/>
  <c r="F383" i="2"/>
  <c r="F383" i="3" s="1"/>
  <c r="E383" i="2"/>
  <c r="D383" i="2"/>
  <c r="D383" i="3" s="1"/>
  <c r="C383" i="2"/>
  <c r="B383" i="2"/>
  <c r="B383" i="3" s="1"/>
  <c r="A383" i="2"/>
  <c r="A383" i="3" s="1"/>
  <c r="U382" i="2"/>
  <c r="T382" i="2"/>
  <c r="S382" i="2"/>
  <c r="R382" i="2"/>
  <c r="G382" i="2"/>
  <c r="G382" i="3" s="1"/>
  <c r="F382" i="2"/>
  <c r="F382" i="3" s="1"/>
  <c r="E382" i="2"/>
  <c r="E382" i="3" s="1"/>
  <c r="K382" i="3" s="1"/>
  <c r="D382" i="2"/>
  <c r="D382" i="3" s="1"/>
  <c r="C382" i="2"/>
  <c r="B382" i="2"/>
  <c r="B382" i="3" s="1"/>
  <c r="A382" i="2"/>
  <c r="A382" i="3" s="1"/>
  <c r="S381" i="2"/>
  <c r="G381" i="2"/>
  <c r="G381" i="3" s="1"/>
  <c r="F381" i="2"/>
  <c r="E381" i="2"/>
  <c r="D381" i="2"/>
  <c r="D381" i="3" s="1"/>
  <c r="C381" i="2"/>
  <c r="C381" i="3" s="1"/>
  <c r="B381" i="2"/>
  <c r="B381" i="3" s="1"/>
  <c r="A381" i="2"/>
  <c r="A381" i="3" s="1"/>
  <c r="G380" i="2"/>
  <c r="F380" i="2"/>
  <c r="E380" i="2"/>
  <c r="E380" i="3" s="1"/>
  <c r="D380" i="2"/>
  <c r="C380" i="2"/>
  <c r="B380" i="2"/>
  <c r="B380" i="3" s="1"/>
  <c r="A380" i="2"/>
  <c r="A380" i="3" s="1"/>
  <c r="U379" i="2"/>
  <c r="R379" i="2"/>
  <c r="G379" i="2"/>
  <c r="G379" i="3" s="1"/>
  <c r="F379" i="2"/>
  <c r="F379" i="3" s="1"/>
  <c r="E379" i="2"/>
  <c r="T379" i="2" s="1"/>
  <c r="D379" i="2"/>
  <c r="D379" i="3" s="1"/>
  <c r="C379" i="2"/>
  <c r="B379" i="2"/>
  <c r="B379" i="3" s="1"/>
  <c r="A379" i="2"/>
  <c r="A379" i="3" s="1"/>
  <c r="U378" i="2"/>
  <c r="S378" i="2"/>
  <c r="G378" i="2"/>
  <c r="G378" i="3" s="1"/>
  <c r="F378" i="2"/>
  <c r="F378" i="3" s="1"/>
  <c r="E378" i="2"/>
  <c r="T378" i="2" s="1"/>
  <c r="D378" i="2"/>
  <c r="D378" i="3" s="1"/>
  <c r="C378" i="2"/>
  <c r="C378" i="3" s="1"/>
  <c r="B378" i="2"/>
  <c r="B378" i="3" s="1"/>
  <c r="A378" i="2"/>
  <c r="A378" i="3" s="1"/>
  <c r="T377" i="2"/>
  <c r="S377" i="2"/>
  <c r="G377" i="2"/>
  <c r="G377" i="3" s="1"/>
  <c r="F377" i="2"/>
  <c r="E377" i="2"/>
  <c r="E377" i="3" s="1"/>
  <c r="D377" i="2"/>
  <c r="D377" i="3" s="1"/>
  <c r="C377" i="2"/>
  <c r="C377" i="3" s="1"/>
  <c r="B377" i="2"/>
  <c r="B377" i="3" s="1"/>
  <c r="A377" i="2"/>
  <c r="A377" i="3" s="1"/>
  <c r="U376" i="2"/>
  <c r="G376" i="2"/>
  <c r="G376" i="3" s="1"/>
  <c r="F376" i="2"/>
  <c r="E376" i="2"/>
  <c r="E376" i="3" s="1"/>
  <c r="D376" i="2"/>
  <c r="C376" i="2"/>
  <c r="B376" i="2"/>
  <c r="B376" i="3" s="1"/>
  <c r="A376" i="2"/>
  <c r="A376" i="3" s="1"/>
  <c r="U375" i="2"/>
  <c r="S375" i="2"/>
  <c r="R375" i="2"/>
  <c r="G375" i="2"/>
  <c r="G375" i="3" s="1"/>
  <c r="F375" i="2"/>
  <c r="F375" i="3" s="1"/>
  <c r="E375" i="2"/>
  <c r="T375" i="2" s="1"/>
  <c r="D375" i="2"/>
  <c r="D375" i="3" s="1"/>
  <c r="C375" i="2"/>
  <c r="B375" i="2"/>
  <c r="B375" i="3" s="1"/>
  <c r="A375" i="2"/>
  <c r="A375" i="3" s="1"/>
  <c r="U374" i="2"/>
  <c r="S374" i="2"/>
  <c r="G374" i="2"/>
  <c r="G374" i="3" s="1"/>
  <c r="F374" i="2"/>
  <c r="F374" i="3" s="1"/>
  <c r="E374" i="2"/>
  <c r="D374" i="2"/>
  <c r="D374" i="3" s="1"/>
  <c r="C374" i="2"/>
  <c r="C374" i="3" s="1"/>
  <c r="B374" i="2"/>
  <c r="B374" i="3" s="1"/>
  <c r="A374" i="2"/>
  <c r="A374" i="3" s="1"/>
  <c r="S373" i="2"/>
  <c r="G373" i="2"/>
  <c r="G373" i="3" s="1"/>
  <c r="F373" i="2"/>
  <c r="E373" i="2"/>
  <c r="E373" i="3" s="1"/>
  <c r="D373" i="2"/>
  <c r="D373" i="3" s="1"/>
  <c r="C373" i="2"/>
  <c r="C373" i="3" s="1"/>
  <c r="B373" i="2"/>
  <c r="B373" i="3" s="1"/>
  <c r="A373" i="2"/>
  <c r="A373" i="3" s="1"/>
  <c r="R372" i="2"/>
  <c r="G372" i="2"/>
  <c r="G372" i="3" s="1"/>
  <c r="F372" i="2"/>
  <c r="U372" i="2" s="1"/>
  <c r="E372" i="2"/>
  <c r="E372" i="3" s="1"/>
  <c r="D372" i="2"/>
  <c r="C372" i="2"/>
  <c r="B372" i="2"/>
  <c r="B372" i="3" s="1"/>
  <c r="A372" i="2"/>
  <c r="A372" i="3" s="1"/>
  <c r="U371" i="2"/>
  <c r="T371" i="2"/>
  <c r="G371" i="2"/>
  <c r="G371" i="3" s="1"/>
  <c r="F371" i="2"/>
  <c r="F371" i="3" s="1"/>
  <c r="E371" i="2"/>
  <c r="D371" i="2"/>
  <c r="D371" i="3" s="1"/>
  <c r="C371" i="2"/>
  <c r="B371" i="2"/>
  <c r="B371" i="3" s="1"/>
  <c r="A371" i="2"/>
  <c r="A371" i="3" s="1"/>
  <c r="U370" i="2"/>
  <c r="T370" i="2"/>
  <c r="S370" i="2"/>
  <c r="G370" i="2"/>
  <c r="G370" i="3" s="1"/>
  <c r="F370" i="2"/>
  <c r="F370" i="3" s="1"/>
  <c r="E370" i="2"/>
  <c r="D370" i="2"/>
  <c r="D370" i="3" s="1"/>
  <c r="C370" i="2"/>
  <c r="C370" i="3" s="1"/>
  <c r="B370" i="2"/>
  <c r="B370" i="3" s="1"/>
  <c r="A370" i="2"/>
  <c r="A370" i="3" s="1"/>
  <c r="S369" i="2"/>
  <c r="G369" i="2"/>
  <c r="G369" i="3" s="1"/>
  <c r="F369" i="2"/>
  <c r="E369" i="2"/>
  <c r="E369" i="3" s="1"/>
  <c r="D369" i="2"/>
  <c r="D369" i="3" s="1"/>
  <c r="C369" i="2"/>
  <c r="C369" i="3" s="1"/>
  <c r="B369" i="2"/>
  <c r="B369" i="3" s="1"/>
  <c r="A369" i="2"/>
  <c r="A369" i="3" s="1"/>
  <c r="U368" i="2"/>
  <c r="T368" i="2"/>
  <c r="G368" i="2"/>
  <c r="G368" i="3" s="1"/>
  <c r="F368" i="2"/>
  <c r="E368" i="2"/>
  <c r="E368" i="3" s="1"/>
  <c r="D368" i="2"/>
  <c r="C368" i="2"/>
  <c r="B368" i="2"/>
  <c r="B368" i="3" s="1"/>
  <c r="A368" i="2"/>
  <c r="A368" i="3" s="1"/>
  <c r="U367" i="2"/>
  <c r="S367" i="2"/>
  <c r="R367" i="2"/>
  <c r="G367" i="2"/>
  <c r="G367" i="3" s="1"/>
  <c r="F367" i="2"/>
  <c r="F367" i="3" s="1"/>
  <c r="E367" i="2"/>
  <c r="D367" i="2"/>
  <c r="D367" i="3" s="1"/>
  <c r="C367" i="2"/>
  <c r="B367" i="2"/>
  <c r="B367" i="3" s="1"/>
  <c r="A367" i="2"/>
  <c r="A367" i="3" s="1"/>
  <c r="U366" i="2"/>
  <c r="T366" i="2"/>
  <c r="S366" i="2"/>
  <c r="G366" i="2"/>
  <c r="G366" i="3" s="1"/>
  <c r="F366" i="2"/>
  <c r="F366" i="3" s="1"/>
  <c r="E366" i="2"/>
  <c r="D366" i="2"/>
  <c r="D366" i="3" s="1"/>
  <c r="C366" i="2"/>
  <c r="C366" i="3" s="1"/>
  <c r="B366" i="2"/>
  <c r="B366" i="3" s="1"/>
  <c r="A366" i="2"/>
  <c r="A366" i="3" s="1"/>
  <c r="T365" i="2"/>
  <c r="S365" i="2"/>
  <c r="G365" i="2"/>
  <c r="G365" i="3" s="1"/>
  <c r="F365" i="2"/>
  <c r="E365" i="2"/>
  <c r="E365" i="3" s="1"/>
  <c r="D365" i="2"/>
  <c r="D365" i="3" s="1"/>
  <c r="C365" i="2"/>
  <c r="C365" i="3" s="1"/>
  <c r="B365" i="2"/>
  <c r="B365" i="3" s="1"/>
  <c r="A365" i="2"/>
  <c r="A365" i="3" s="1"/>
  <c r="R364" i="2"/>
  <c r="G364" i="2"/>
  <c r="G364" i="3" s="1"/>
  <c r="F364" i="2"/>
  <c r="E364" i="2"/>
  <c r="E364" i="3" s="1"/>
  <c r="D364" i="2"/>
  <c r="C364" i="2"/>
  <c r="B364" i="2"/>
  <c r="B364" i="3" s="1"/>
  <c r="A364" i="2"/>
  <c r="A364" i="3" s="1"/>
  <c r="U363" i="2"/>
  <c r="T363" i="2"/>
  <c r="G363" i="2"/>
  <c r="G363" i="3" s="1"/>
  <c r="F363" i="2"/>
  <c r="F363" i="3" s="1"/>
  <c r="E363" i="2"/>
  <c r="D363" i="2"/>
  <c r="D363" i="3" s="1"/>
  <c r="C363" i="2"/>
  <c r="B363" i="2"/>
  <c r="B363" i="3" s="1"/>
  <c r="A363" i="2"/>
  <c r="A363" i="3" s="1"/>
  <c r="U362" i="2"/>
  <c r="S362" i="2"/>
  <c r="G362" i="2"/>
  <c r="G362" i="3" s="1"/>
  <c r="F362" i="2"/>
  <c r="F362" i="3" s="1"/>
  <c r="E362" i="2"/>
  <c r="T362" i="2" s="1"/>
  <c r="D362" i="2"/>
  <c r="D362" i="3" s="1"/>
  <c r="C362" i="2"/>
  <c r="C362" i="3" s="1"/>
  <c r="B362" i="2"/>
  <c r="B362" i="3" s="1"/>
  <c r="A362" i="2"/>
  <c r="A362" i="3" s="1"/>
  <c r="T361" i="2"/>
  <c r="S361" i="2"/>
  <c r="G361" i="2"/>
  <c r="G361" i="3" s="1"/>
  <c r="F361" i="2"/>
  <c r="E361" i="2"/>
  <c r="E361" i="3" s="1"/>
  <c r="D361" i="2"/>
  <c r="D361" i="3" s="1"/>
  <c r="C361" i="2"/>
  <c r="C361" i="3" s="1"/>
  <c r="B361" i="2"/>
  <c r="B361" i="3" s="1"/>
  <c r="A361" i="2"/>
  <c r="A361" i="3" s="1"/>
  <c r="U360" i="2"/>
  <c r="T360" i="2"/>
  <c r="G360" i="2"/>
  <c r="G360" i="3" s="1"/>
  <c r="F360" i="2"/>
  <c r="E360" i="2"/>
  <c r="E360" i="3" s="1"/>
  <c r="D360" i="2"/>
  <c r="C360" i="2"/>
  <c r="B360" i="2"/>
  <c r="B360" i="3" s="1"/>
  <c r="A360" i="2"/>
  <c r="A360" i="3" s="1"/>
  <c r="U359" i="2"/>
  <c r="S359" i="2"/>
  <c r="R359" i="2"/>
  <c r="G359" i="2"/>
  <c r="G359" i="3" s="1"/>
  <c r="F359" i="2"/>
  <c r="F359" i="3" s="1"/>
  <c r="E359" i="2"/>
  <c r="T359" i="2" s="1"/>
  <c r="D359" i="2"/>
  <c r="D359" i="3" s="1"/>
  <c r="C359" i="2"/>
  <c r="B359" i="2"/>
  <c r="B359" i="3" s="1"/>
  <c r="A359" i="2"/>
  <c r="A359" i="3" s="1"/>
  <c r="U358" i="2"/>
  <c r="S358" i="2"/>
  <c r="G358" i="2"/>
  <c r="G358" i="3" s="1"/>
  <c r="F358" i="2"/>
  <c r="F358" i="3" s="1"/>
  <c r="E358" i="2"/>
  <c r="D358" i="2"/>
  <c r="D358" i="3" s="1"/>
  <c r="C358" i="2"/>
  <c r="C358" i="3" s="1"/>
  <c r="B358" i="2"/>
  <c r="B358" i="3" s="1"/>
  <c r="A358" i="2"/>
  <c r="A358" i="3" s="1"/>
  <c r="S357" i="2"/>
  <c r="G357" i="2"/>
  <c r="G357" i="3" s="1"/>
  <c r="F357" i="2"/>
  <c r="E357" i="2"/>
  <c r="E357" i="3" s="1"/>
  <c r="D357" i="2"/>
  <c r="D357" i="3" s="1"/>
  <c r="C357" i="2"/>
  <c r="C357" i="3" s="1"/>
  <c r="B357" i="2"/>
  <c r="B357" i="3" s="1"/>
  <c r="A357" i="2"/>
  <c r="A357" i="3" s="1"/>
  <c r="R356" i="2"/>
  <c r="G356" i="2"/>
  <c r="G356" i="3" s="1"/>
  <c r="F356" i="2"/>
  <c r="U356" i="2" s="1"/>
  <c r="E356" i="2"/>
  <c r="E356" i="3" s="1"/>
  <c r="D356" i="2"/>
  <c r="C356" i="2"/>
  <c r="B356" i="2"/>
  <c r="B356" i="3" s="1"/>
  <c r="A356" i="2"/>
  <c r="A356" i="3" s="1"/>
  <c r="U355" i="2"/>
  <c r="T355" i="2"/>
  <c r="S355" i="2"/>
  <c r="G355" i="2"/>
  <c r="G355" i="3" s="1"/>
  <c r="F355" i="2"/>
  <c r="F355" i="3" s="1"/>
  <c r="E355" i="2"/>
  <c r="D355" i="2"/>
  <c r="D355" i="3" s="1"/>
  <c r="C355" i="2"/>
  <c r="B355" i="2"/>
  <c r="B355" i="3" s="1"/>
  <c r="A355" i="2"/>
  <c r="A355" i="3" s="1"/>
  <c r="U354" i="2"/>
  <c r="T354" i="2"/>
  <c r="S354" i="2"/>
  <c r="G354" i="2"/>
  <c r="G354" i="3" s="1"/>
  <c r="F354" i="2"/>
  <c r="F354" i="3" s="1"/>
  <c r="E354" i="2"/>
  <c r="D354" i="2"/>
  <c r="D354" i="3" s="1"/>
  <c r="C354" i="2"/>
  <c r="C354" i="3" s="1"/>
  <c r="B354" i="2"/>
  <c r="B354" i="3" s="1"/>
  <c r="A354" i="2"/>
  <c r="A354" i="3" s="1"/>
  <c r="S353" i="2"/>
  <c r="G353" i="2"/>
  <c r="G353" i="3" s="1"/>
  <c r="F353" i="2"/>
  <c r="E353" i="2"/>
  <c r="E353" i="3" s="1"/>
  <c r="D353" i="2"/>
  <c r="D353" i="3" s="1"/>
  <c r="C353" i="2"/>
  <c r="C353" i="3" s="1"/>
  <c r="B353" i="2"/>
  <c r="B353" i="3" s="1"/>
  <c r="A353" i="2"/>
  <c r="A353" i="3" s="1"/>
  <c r="U352" i="2"/>
  <c r="T352" i="2"/>
  <c r="G352" i="2"/>
  <c r="G352" i="3" s="1"/>
  <c r="F352" i="2"/>
  <c r="E352" i="2"/>
  <c r="E352" i="3" s="1"/>
  <c r="D352" i="2"/>
  <c r="C352" i="2"/>
  <c r="B352" i="2"/>
  <c r="B352" i="3" s="1"/>
  <c r="A352" i="2"/>
  <c r="A352" i="3" s="1"/>
  <c r="U351" i="2"/>
  <c r="S351" i="2"/>
  <c r="R351" i="2"/>
  <c r="G351" i="2"/>
  <c r="G351" i="3" s="1"/>
  <c r="F351" i="2"/>
  <c r="F351" i="3" s="1"/>
  <c r="E351" i="2"/>
  <c r="D351" i="2"/>
  <c r="D351" i="3" s="1"/>
  <c r="C351" i="2"/>
  <c r="B351" i="2"/>
  <c r="B351" i="3" s="1"/>
  <c r="A351" i="2"/>
  <c r="A351" i="3" s="1"/>
  <c r="U350" i="2"/>
  <c r="T350" i="2"/>
  <c r="S350" i="2"/>
  <c r="G350" i="2"/>
  <c r="G350" i="3" s="1"/>
  <c r="F350" i="2"/>
  <c r="F350" i="3" s="1"/>
  <c r="E350" i="2"/>
  <c r="D350" i="2"/>
  <c r="D350" i="3" s="1"/>
  <c r="C350" i="2"/>
  <c r="C350" i="3" s="1"/>
  <c r="B350" i="2"/>
  <c r="B350" i="3" s="1"/>
  <c r="A350" i="2"/>
  <c r="A350" i="3" s="1"/>
  <c r="T349" i="2"/>
  <c r="S349" i="2"/>
  <c r="G349" i="2"/>
  <c r="G349" i="3" s="1"/>
  <c r="F349" i="2"/>
  <c r="E349" i="2"/>
  <c r="E349" i="3" s="1"/>
  <c r="D349" i="2"/>
  <c r="D349" i="3" s="1"/>
  <c r="C349" i="2"/>
  <c r="C349" i="3" s="1"/>
  <c r="B349" i="2"/>
  <c r="B349" i="3" s="1"/>
  <c r="A349" i="2"/>
  <c r="A349" i="3" s="1"/>
  <c r="R348" i="2"/>
  <c r="G348" i="2"/>
  <c r="G348" i="3" s="1"/>
  <c r="F348" i="2"/>
  <c r="E348" i="2"/>
  <c r="E348" i="3" s="1"/>
  <c r="D348" i="2"/>
  <c r="C348" i="2"/>
  <c r="B348" i="2"/>
  <c r="B348" i="3" s="1"/>
  <c r="A348" i="2"/>
  <c r="A348" i="3" s="1"/>
  <c r="U347" i="2"/>
  <c r="T347" i="2"/>
  <c r="S347" i="2"/>
  <c r="G347" i="2"/>
  <c r="G347" i="3" s="1"/>
  <c r="F347" i="2"/>
  <c r="F347" i="3" s="1"/>
  <c r="E347" i="2"/>
  <c r="D347" i="2"/>
  <c r="D347" i="3" s="1"/>
  <c r="C347" i="2"/>
  <c r="B347" i="2"/>
  <c r="B347" i="3" s="1"/>
  <c r="A347" i="2"/>
  <c r="A347" i="3" s="1"/>
  <c r="U346" i="2"/>
  <c r="S346" i="2"/>
  <c r="G346" i="2"/>
  <c r="G346" i="3" s="1"/>
  <c r="F346" i="2"/>
  <c r="F346" i="3" s="1"/>
  <c r="E346" i="2"/>
  <c r="T346" i="2" s="1"/>
  <c r="D346" i="2"/>
  <c r="D346" i="3" s="1"/>
  <c r="C346" i="2"/>
  <c r="C346" i="3" s="1"/>
  <c r="B346" i="2"/>
  <c r="B346" i="3" s="1"/>
  <c r="A346" i="2"/>
  <c r="A346" i="3" s="1"/>
  <c r="T345" i="2"/>
  <c r="S345" i="2"/>
  <c r="G345" i="2"/>
  <c r="G345" i="3" s="1"/>
  <c r="F345" i="2"/>
  <c r="E345" i="2"/>
  <c r="E345" i="3" s="1"/>
  <c r="D345" i="2"/>
  <c r="D345" i="3" s="1"/>
  <c r="C345" i="2"/>
  <c r="C345" i="3" s="1"/>
  <c r="B345" i="2"/>
  <c r="B345" i="3" s="1"/>
  <c r="A345" i="2"/>
  <c r="A345" i="3" s="1"/>
  <c r="U344" i="2"/>
  <c r="T344" i="2"/>
  <c r="G344" i="2"/>
  <c r="G344" i="3" s="1"/>
  <c r="F344" i="2"/>
  <c r="E344" i="2"/>
  <c r="E344" i="3" s="1"/>
  <c r="D344" i="2"/>
  <c r="C344" i="2"/>
  <c r="B344" i="2"/>
  <c r="B344" i="3" s="1"/>
  <c r="A344" i="2"/>
  <c r="A344" i="3" s="1"/>
  <c r="T343" i="2"/>
  <c r="G343" i="2"/>
  <c r="G343" i="3" s="1"/>
  <c r="F343" i="2"/>
  <c r="U343" i="2" s="1"/>
  <c r="E343" i="2"/>
  <c r="E343" i="3" s="1"/>
  <c r="D343" i="2"/>
  <c r="D343" i="3" s="1"/>
  <c r="C343" i="2"/>
  <c r="B343" i="2"/>
  <c r="B343" i="3" s="1"/>
  <c r="A343" i="2"/>
  <c r="A343" i="3" s="1"/>
  <c r="S342" i="2"/>
  <c r="R342" i="2"/>
  <c r="G342" i="2"/>
  <c r="G342" i="3" s="1"/>
  <c r="F342" i="2"/>
  <c r="F342" i="3" s="1"/>
  <c r="E342" i="2"/>
  <c r="E342" i="3" s="1"/>
  <c r="K342" i="3" s="1"/>
  <c r="D342" i="2"/>
  <c r="D342" i="3" s="1"/>
  <c r="C342" i="2"/>
  <c r="C342" i="3" s="1"/>
  <c r="B342" i="2"/>
  <c r="B342" i="3" s="1"/>
  <c r="A342" i="2"/>
  <c r="A342" i="3" s="1"/>
  <c r="U341" i="2"/>
  <c r="T341" i="2"/>
  <c r="G341" i="2"/>
  <c r="G341" i="3" s="1"/>
  <c r="F341" i="2"/>
  <c r="F341" i="3" s="1"/>
  <c r="E341" i="2"/>
  <c r="E341" i="3" s="1"/>
  <c r="K341" i="3" s="1"/>
  <c r="D341" i="2"/>
  <c r="D341" i="3" s="1"/>
  <c r="C341" i="2"/>
  <c r="C341" i="3" s="1"/>
  <c r="B341" i="2"/>
  <c r="B341" i="3" s="1"/>
  <c r="A341" i="2"/>
  <c r="A341" i="3" s="1"/>
  <c r="S340" i="2"/>
  <c r="R340" i="2"/>
  <c r="G340" i="2"/>
  <c r="G340" i="3" s="1"/>
  <c r="F340" i="2"/>
  <c r="F340" i="3" s="1"/>
  <c r="E340" i="2"/>
  <c r="E340" i="3" s="1"/>
  <c r="K340" i="3" s="1"/>
  <c r="D340" i="2"/>
  <c r="D340" i="3" s="1"/>
  <c r="C340" i="2"/>
  <c r="C340" i="3" s="1"/>
  <c r="B340" i="2"/>
  <c r="B340" i="3" s="1"/>
  <c r="A340" i="2"/>
  <c r="A340" i="3" s="1"/>
  <c r="U339" i="2"/>
  <c r="T339" i="2"/>
  <c r="G339" i="2"/>
  <c r="G339" i="3" s="1"/>
  <c r="F339" i="2"/>
  <c r="F339" i="3" s="1"/>
  <c r="E339" i="2"/>
  <c r="E339" i="3" s="1"/>
  <c r="K339" i="3" s="1"/>
  <c r="D339" i="2"/>
  <c r="D339" i="3" s="1"/>
  <c r="C339" i="2"/>
  <c r="C339" i="3" s="1"/>
  <c r="B339" i="2"/>
  <c r="B339" i="3" s="1"/>
  <c r="A339" i="2"/>
  <c r="A339" i="3" s="1"/>
  <c r="S338" i="2"/>
  <c r="R338" i="2"/>
  <c r="G338" i="2"/>
  <c r="G338" i="3" s="1"/>
  <c r="F338" i="2"/>
  <c r="F338" i="3" s="1"/>
  <c r="E338" i="2"/>
  <c r="E338" i="3" s="1"/>
  <c r="K338" i="3" s="1"/>
  <c r="D338" i="2"/>
  <c r="D338" i="3" s="1"/>
  <c r="C338" i="2"/>
  <c r="C338" i="3" s="1"/>
  <c r="B338" i="2"/>
  <c r="B338" i="3" s="1"/>
  <c r="A338" i="2"/>
  <c r="A338" i="3" s="1"/>
  <c r="U337" i="2"/>
  <c r="T337" i="2"/>
  <c r="G337" i="2"/>
  <c r="G337" i="3" s="1"/>
  <c r="F337" i="2"/>
  <c r="F337" i="3" s="1"/>
  <c r="E337" i="2"/>
  <c r="E337" i="3" s="1"/>
  <c r="K337" i="3" s="1"/>
  <c r="D337" i="2"/>
  <c r="D337" i="3" s="1"/>
  <c r="C337" i="2"/>
  <c r="C337" i="3" s="1"/>
  <c r="B337" i="2"/>
  <c r="B337" i="3" s="1"/>
  <c r="A337" i="2"/>
  <c r="A337" i="3" s="1"/>
  <c r="S336" i="2"/>
  <c r="R336" i="2"/>
  <c r="G336" i="2"/>
  <c r="G336" i="3" s="1"/>
  <c r="F336" i="2"/>
  <c r="F336" i="3" s="1"/>
  <c r="E336" i="2"/>
  <c r="E336" i="3" s="1"/>
  <c r="K336" i="3" s="1"/>
  <c r="D336" i="2"/>
  <c r="D336" i="3" s="1"/>
  <c r="C336" i="2"/>
  <c r="C336" i="3" s="1"/>
  <c r="B336" i="2"/>
  <c r="B336" i="3" s="1"/>
  <c r="A336" i="2"/>
  <c r="A336" i="3" s="1"/>
  <c r="U335" i="2"/>
  <c r="T335" i="2"/>
  <c r="G335" i="2"/>
  <c r="G335" i="3" s="1"/>
  <c r="F335" i="2"/>
  <c r="F335" i="3" s="1"/>
  <c r="E335" i="2"/>
  <c r="E335" i="3" s="1"/>
  <c r="K335" i="3" s="1"/>
  <c r="D335" i="2"/>
  <c r="D335" i="3" s="1"/>
  <c r="C335" i="2"/>
  <c r="C335" i="3" s="1"/>
  <c r="B335" i="2"/>
  <c r="B335" i="3" s="1"/>
  <c r="A335" i="2"/>
  <c r="A335" i="3" s="1"/>
  <c r="S334" i="2"/>
  <c r="R334" i="2"/>
  <c r="G334" i="2"/>
  <c r="G334" i="3" s="1"/>
  <c r="F334" i="2"/>
  <c r="F334" i="3" s="1"/>
  <c r="E334" i="2"/>
  <c r="E334" i="3" s="1"/>
  <c r="K334" i="3" s="1"/>
  <c r="D334" i="2"/>
  <c r="D334" i="3" s="1"/>
  <c r="C334" i="2"/>
  <c r="C334" i="3" s="1"/>
  <c r="B334" i="2"/>
  <c r="B334" i="3" s="1"/>
  <c r="A334" i="2"/>
  <c r="A334" i="3" s="1"/>
  <c r="U333" i="2"/>
  <c r="T333" i="2"/>
  <c r="G333" i="2"/>
  <c r="G333" i="3" s="1"/>
  <c r="F333" i="2"/>
  <c r="F333" i="3" s="1"/>
  <c r="E333" i="2"/>
  <c r="E333" i="3" s="1"/>
  <c r="K333" i="3" s="1"/>
  <c r="D333" i="2"/>
  <c r="D333" i="3" s="1"/>
  <c r="C333" i="2"/>
  <c r="C333" i="3" s="1"/>
  <c r="B333" i="2"/>
  <c r="B333" i="3" s="1"/>
  <c r="A333" i="2"/>
  <c r="A333" i="3" s="1"/>
  <c r="S332" i="2"/>
  <c r="R332" i="2"/>
  <c r="G332" i="2"/>
  <c r="G332" i="3" s="1"/>
  <c r="F332" i="2"/>
  <c r="F332" i="3" s="1"/>
  <c r="E332" i="2"/>
  <c r="E332" i="3" s="1"/>
  <c r="K332" i="3" s="1"/>
  <c r="D332" i="2"/>
  <c r="D332" i="3" s="1"/>
  <c r="C332" i="2"/>
  <c r="C332" i="3" s="1"/>
  <c r="B332" i="2"/>
  <c r="B332" i="3" s="1"/>
  <c r="A332" i="2"/>
  <c r="A332" i="3" s="1"/>
  <c r="U331" i="2"/>
  <c r="T331" i="2"/>
  <c r="G331" i="2"/>
  <c r="G331" i="3" s="1"/>
  <c r="F331" i="2"/>
  <c r="F331" i="3" s="1"/>
  <c r="E331" i="2"/>
  <c r="E331" i="3" s="1"/>
  <c r="K331" i="3" s="1"/>
  <c r="D331" i="2"/>
  <c r="D331" i="3" s="1"/>
  <c r="C331" i="2"/>
  <c r="C331" i="3" s="1"/>
  <c r="B331" i="2"/>
  <c r="B331" i="3" s="1"/>
  <c r="A331" i="2"/>
  <c r="A331" i="3" s="1"/>
  <c r="S330" i="2"/>
  <c r="R330" i="2"/>
  <c r="G330" i="2"/>
  <c r="G330" i="3" s="1"/>
  <c r="F330" i="2"/>
  <c r="F330" i="3" s="1"/>
  <c r="E330" i="2"/>
  <c r="E330" i="3" s="1"/>
  <c r="K330" i="3" s="1"/>
  <c r="D330" i="2"/>
  <c r="D330" i="3" s="1"/>
  <c r="C330" i="2"/>
  <c r="C330" i="3" s="1"/>
  <c r="B330" i="2"/>
  <c r="B330" i="3" s="1"/>
  <c r="A330" i="2"/>
  <c r="A330" i="3" s="1"/>
  <c r="U329" i="2"/>
  <c r="T329" i="2"/>
  <c r="G329" i="2"/>
  <c r="G329" i="3" s="1"/>
  <c r="F329" i="2"/>
  <c r="F329" i="3" s="1"/>
  <c r="E329" i="2"/>
  <c r="E329" i="3" s="1"/>
  <c r="K329" i="3" s="1"/>
  <c r="D329" i="2"/>
  <c r="D329" i="3" s="1"/>
  <c r="C329" i="2"/>
  <c r="C329" i="3" s="1"/>
  <c r="B329" i="2"/>
  <c r="B329" i="3" s="1"/>
  <c r="A329" i="2"/>
  <c r="A329" i="3" s="1"/>
  <c r="S328" i="2"/>
  <c r="R328" i="2"/>
  <c r="G328" i="2"/>
  <c r="G328" i="3" s="1"/>
  <c r="F328" i="2"/>
  <c r="F328" i="3" s="1"/>
  <c r="E328" i="2"/>
  <c r="E328" i="3" s="1"/>
  <c r="K328" i="3" s="1"/>
  <c r="D328" i="2"/>
  <c r="D328" i="3" s="1"/>
  <c r="C328" i="2"/>
  <c r="C328" i="3" s="1"/>
  <c r="B328" i="2"/>
  <c r="B328" i="3" s="1"/>
  <c r="A328" i="2"/>
  <c r="A328" i="3" s="1"/>
  <c r="U327" i="2"/>
  <c r="T327" i="2"/>
  <c r="G327" i="2"/>
  <c r="G327" i="3" s="1"/>
  <c r="F327" i="2"/>
  <c r="F327" i="3" s="1"/>
  <c r="E327" i="2"/>
  <c r="E327" i="3" s="1"/>
  <c r="K327" i="3" s="1"/>
  <c r="D327" i="2"/>
  <c r="D327" i="3" s="1"/>
  <c r="C327" i="2"/>
  <c r="C327" i="3" s="1"/>
  <c r="B327" i="2"/>
  <c r="B327" i="3" s="1"/>
  <c r="A327" i="2"/>
  <c r="A327" i="3" s="1"/>
  <c r="S326" i="2"/>
  <c r="R326" i="2"/>
  <c r="G326" i="2"/>
  <c r="G326" i="3" s="1"/>
  <c r="F326" i="2"/>
  <c r="F326" i="3" s="1"/>
  <c r="E326" i="2"/>
  <c r="E326" i="3" s="1"/>
  <c r="K326" i="3" s="1"/>
  <c r="D326" i="2"/>
  <c r="D326" i="3" s="1"/>
  <c r="C326" i="2"/>
  <c r="C326" i="3" s="1"/>
  <c r="B326" i="2"/>
  <c r="B326" i="3" s="1"/>
  <c r="A326" i="2"/>
  <c r="A326" i="3" s="1"/>
  <c r="U325" i="2"/>
  <c r="T325" i="2"/>
  <c r="G325" i="2"/>
  <c r="G325" i="3" s="1"/>
  <c r="F325" i="2"/>
  <c r="F325" i="3" s="1"/>
  <c r="E325" i="2"/>
  <c r="E325" i="3" s="1"/>
  <c r="K325" i="3" s="1"/>
  <c r="D325" i="2"/>
  <c r="D325" i="3" s="1"/>
  <c r="C325" i="2"/>
  <c r="C325" i="3" s="1"/>
  <c r="B325" i="2"/>
  <c r="B325" i="3" s="1"/>
  <c r="A325" i="2"/>
  <c r="A325" i="3" s="1"/>
  <c r="S324" i="2"/>
  <c r="R324" i="2"/>
  <c r="G324" i="2"/>
  <c r="G324" i="3" s="1"/>
  <c r="F324" i="2"/>
  <c r="F324" i="3" s="1"/>
  <c r="E324" i="2"/>
  <c r="E324" i="3" s="1"/>
  <c r="K324" i="3" s="1"/>
  <c r="D324" i="2"/>
  <c r="D324" i="3" s="1"/>
  <c r="C324" i="2"/>
  <c r="C324" i="3" s="1"/>
  <c r="B324" i="2"/>
  <c r="B324" i="3" s="1"/>
  <c r="A324" i="2"/>
  <c r="A324" i="3" s="1"/>
  <c r="U323" i="2"/>
  <c r="T323" i="2"/>
  <c r="G323" i="2"/>
  <c r="G323" i="3" s="1"/>
  <c r="F323" i="2"/>
  <c r="F323" i="3" s="1"/>
  <c r="E323" i="2"/>
  <c r="E323" i="3" s="1"/>
  <c r="K323" i="3" s="1"/>
  <c r="D323" i="2"/>
  <c r="D323" i="3" s="1"/>
  <c r="C323" i="2"/>
  <c r="C323" i="3" s="1"/>
  <c r="B323" i="2"/>
  <c r="B323" i="3" s="1"/>
  <c r="A323" i="2"/>
  <c r="A323" i="3" s="1"/>
  <c r="S322" i="2"/>
  <c r="R322" i="2"/>
  <c r="G322" i="2"/>
  <c r="G322" i="3" s="1"/>
  <c r="F322" i="2"/>
  <c r="F322" i="3" s="1"/>
  <c r="E322" i="2"/>
  <c r="E322" i="3" s="1"/>
  <c r="K322" i="3" s="1"/>
  <c r="D322" i="2"/>
  <c r="D322" i="3" s="1"/>
  <c r="C322" i="2"/>
  <c r="C322" i="3" s="1"/>
  <c r="B322" i="2"/>
  <c r="B322" i="3" s="1"/>
  <c r="A322" i="2"/>
  <c r="A322" i="3" s="1"/>
  <c r="U321" i="2"/>
  <c r="T321" i="2"/>
  <c r="G321" i="2"/>
  <c r="G321" i="3" s="1"/>
  <c r="F321" i="2"/>
  <c r="F321" i="3" s="1"/>
  <c r="E321" i="2"/>
  <c r="E321" i="3" s="1"/>
  <c r="K321" i="3" s="1"/>
  <c r="D321" i="2"/>
  <c r="D321" i="3" s="1"/>
  <c r="C321" i="2"/>
  <c r="C321" i="3" s="1"/>
  <c r="B321" i="2"/>
  <c r="B321" i="3" s="1"/>
  <c r="A321" i="2"/>
  <c r="A321" i="3" s="1"/>
  <c r="S320" i="2"/>
  <c r="R320" i="2"/>
  <c r="G320" i="2"/>
  <c r="G320" i="3" s="1"/>
  <c r="F320" i="2"/>
  <c r="F320" i="3" s="1"/>
  <c r="E320" i="2"/>
  <c r="E320" i="3" s="1"/>
  <c r="K320" i="3" s="1"/>
  <c r="D320" i="2"/>
  <c r="D320" i="3" s="1"/>
  <c r="C320" i="2"/>
  <c r="C320" i="3" s="1"/>
  <c r="B320" i="2"/>
  <c r="B320" i="3" s="1"/>
  <c r="A320" i="2"/>
  <c r="A320" i="3" s="1"/>
  <c r="U319" i="2"/>
  <c r="T319" i="2"/>
  <c r="G319" i="2"/>
  <c r="G319" i="3" s="1"/>
  <c r="F319" i="2"/>
  <c r="F319" i="3" s="1"/>
  <c r="E319" i="2"/>
  <c r="E319" i="3" s="1"/>
  <c r="K319" i="3" s="1"/>
  <c r="D319" i="2"/>
  <c r="D319" i="3" s="1"/>
  <c r="C319" i="2"/>
  <c r="C319" i="3" s="1"/>
  <c r="B319" i="2"/>
  <c r="B319" i="3" s="1"/>
  <c r="A319" i="2"/>
  <c r="A319" i="3" s="1"/>
  <c r="S318" i="2"/>
  <c r="R318" i="2"/>
  <c r="G318" i="2"/>
  <c r="G318" i="3" s="1"/>
  <c r="F318" i="2"/>
  <c r="F318" i="3" s="1"/>
  <c r="E318" i="2"/>
  <c r="E318" i="3" s="1"/>
  <c r="K318" i="3" s="1"/>
  <c r="D318" i="2"/>
  <c r="D318" i="3" s="1"/>
  <c r="C318" i="2"/>
  <c r="C318" i="3" s="1"/>
  <c r="B318" i="2"/>
  <c r="B318" i="3" s="1"/>
  <c r="A318" i="2"/>
  <c r="A318" i="3" s="1"/>
  <c r="U317" i="2"/>
  <c r="T317" i="2"/>
  <c r="G317" i="2"/>
  <c r="G317" i="3" s="1"/>
  <c r="F317" i="2"/>
  <c r="F317" i="3" s="1"/>
  <c r="E317" i="2"/>
  <c r="E317" i="3" s="1"/>
  <c r="K317" i="3" s="1"/>
  <c r="D317" i="2"/>
  <c r="D317" i="3" s="1"/>
  <c r="C317" i="2"/>
  <c r="C317" i="3" s="1"/>
  <c r="B317" i="2"/>
  <c r="B317" i="3" s="1"/>
  <c r="A317" i="2"/>
  <c r="A317" i="3" s="1"/>
  <c r="S316" i="2"/>
  <c r="R316" i="2"/>
  <c r="G316" i="2"/>
  <c r="G316" i="3" s="1"/>
  <c r="F316" i="2"/>
  <c r="F316" i="3" s="1"/>
  <c r="E316" i="2"/>
  <c r="E316" i="3" s="1"/>
  <c r="K316" i="3" s="1"/>
  <c r="D316" i="2"/>
  <c r="D316" i="3" s="1"/>
  <c r="C316" i="2"/>
  <c r="C316" i="3" s="1"/>
  <c r="B316" i="2"/>
  <c r="B316" i="3" s="1"/>
  <c r="A316" i="2"/>
  <c r="A316" i="3" s="1"/>
  <c r="U315" i="2"/>
  <c r="T315" i="2"/>
  <c r="G315" i="2"/>
  <c r="G315" i="3" s="1"/>
  <c r="F315" i="2"/>
  <c r="F315" i="3" s="1"/>
  <c r="E315" i="2"/>
  <c r="E315" i="3" s="1"/>
  <c r="K315" i="3" s="1"/>
  <c r="D315" i="2"/>
  <c r="D315" i="3" s="1"/>
  <c r="C315" i="2"/>
  <c r="C315" i="3" s="1"/>
  <c r="B315" i="2"/>
  <c r="B315" i="3" s="1"/>
  <c r="A315" i="2"/>
  <c r="A315" i="3" s="1"/>
  <c r="S314" i="2"/>
  <c r="R314" i="2"/>
  <c r="G314" i="2"/>
  <c r="G314" i="3" s="1"/>
  <c r="F314" i="2"/>
  <c r="F314" i="3" s="1"/>
  <c r="E314" i="2"/>
  <c r="E314" i="3" s="1"/>
  <c r="K314" i="3" s="1"/>
  <c r="D314" i="2"/>
  <c r="D314" i="3" s="1"/>
  <c r="C314" i="2"/>
  <c r="C314" i="3" s="1"/>
  <c r="B314" i="2"/>
  <c r="B314" i="3" s="1"/>
  <c r="A314" i="2"/>
  <c r="A314" i="3" s="1"/>
  <c r="U313" i="2"/>
  <c r="T313" i="2"/>
  <c r="G313" i="2"/>
  <c r="G313" i="3" s="1"/>
  <c r="F313" i="2"/>
  <c r="F313" i="3" s="1"/>
  <c r="E313" i="2"/>
  <c r="E313" i="3" s="1"/>
  <c r="K313" i="3" s="1"/>
  <c r="D313" i="2"/>
  <c r="D313" i="3" s="1"/>
  <c r="C313" i="2"/>
  <c r="C313" i="3" s="1"/>
  <c r="B313" i="2"/>
  <c r="B313" i="3" s="1"/>
  <c r="A313" i="2"/>
  <c r="A313" i="3" s="1"/>
  <c r="S312" i="2"/>
  <c r="R312" i="2"/>
  <c r="G312" i="2"/>
  <c r="G312" i="3" s="1"/>
  <c r="F312" i="2"/>
  <c r="F312" i="3" s="1"/>
  <c r="E312" i="2"/>
  <c r="E312" i="3" s="1"/>
  <c r="K312" i="3" s="1"/>
  <c r="D312" i="2"/>
  <c r="D312" i="3" s="1"/>
  <c r="C312" i="2"/>
  <c r="C312" i="3" s="1"/>
  <c r="B312" i="2"/>
  <c r="B312" i="3" s="1"/>
  <c r="A312" i="2"/>
  <c r="A312" i="3" s="1"/>
  <c r="U311" i="2"/>
  <c r="T311" i="2"/>
  <c r="G311" i="2"/>
  <c r="G311" i="3" s="1"/>
  <c r="F311" i="2"/>
  <c r="F311" i="3" s="1"/>
  <c r="E311" i="2"/>
  <c r="E311" i="3" s="1"/>
  <c r="K311" i="3" s="1"/>
  <c r="D311" i="2"/>
  <c r="D311" i="3" s="1"/>
  <c r="C311" i="2"/>
  <c r="C311" i="3" s="1"/>
  <c r="B311" i="2"/>
  <c r="B311" i="3" s="1"/>
  <c r="A311" i="2"/>
  <c r="A311" i="3" s="1"/>
  <c r="S310" i="2"/>
  <c r="R310" i="2"/>
  <c r="G310" i="2"/>
  <c r="G310" i="3" s="1"/>
  <c r="F310" i="2"/>
  <c r="F310" i="3" s="1"/>
  <c r="E310" i="2"/>
  <c r="E310" i="3" s="1"/>
  <c r="K310" i="3" s="1"/>
  <c r="D310" i="2"/>
  <c r="D310" i="3" s="1"/>
  <c r="C310" i="2"/>
  <c r="C310" i="3" s="1"/>
  <c r="B310" i="2"/>
  <c r="B310" i="3" s="1"/>
  <c r="A310" i="2"/>
  <c r="A310" i="3" s="1"/>
  <c r="U309" i="2"/>
  <c r="T309" i="2"/>
  <c r="G309" i="2"/>
  <c r="G309" i="3" s="1"/>
  <c r="F309" i="2"/>
  <c r="F309" i="3" s="1"/>
  <c r="E309" i="2"/>
  <c r="E309" i="3" s="1"/>
  <c r="K309" i="3" s="1"/>
  <c r="D309" i="2"/>
  <c r="D309" i="3" s="1"/>
  <c r="C309" i="2"/>
  <c r="C309" i="3" s="1"/>
  <c r="B309" i="2"/>
  <c r="B309" i="3" s="1"/>
  <c r="A309" i="2"/>
  <c r="A309" i="3" s="1"/>
  <c r="S308" i="2"/>
  <c r="R308" i="2"/>
  <c r="G308" i="2"/>
  <c r="G308" i="3" s="1"/>
  <c r="F308" i="2"/>
  <c r="E308" i="2"/>
  <c r="E308" i="3" s="1"/>
  <c r="D308" i="2"/>
  <c r="D308" i="3" s="1"/>
  <c r="C308" i="2"/>
  <c r="C308" i="3" s="1"/>
  <c r="B308" i="2"/>
  <c r="B308" i="3" s="1"/>
  <c r="A308" i="2"/>
  <c r="A308" i="3" s="1"/>
  <c r="U307" i="2"/>
  <c r="T307" i="2"/>
  <c r="G307" i="2"/>
  <c r="G307" i="3" s="1"/>
  <c r="F307" i="2"/>
  <c r="F307" i="3" s="1"/>
  <c r="E307" i="2"/>
  <c r="E307" i="3" s="1"/>
  <c r="K307" i="3" s="1"/>
  <c r="D307" i="2"/>
  <c r="C307" i="2"/>
  <c r="C307" i="3" s="1"/>
  <c r="B307" i="2"/>
  <c r="B307" i="3" s="1"/>
  <c r="A307" i="2"/>
  <c r="A307" i="3" s="1"/>
  <c r="S306" i="2"/>
  <c r="R306" i="2"/>
  <c r="G306" i="2"/>
  <c r="G306" i="3" s="1"/>
  <c r="F306" i="2"/>
  <c r="F306" i="3" s="1"/>
  <c r="E306" i="2"/>
  <c r="D306" i="2"/>
  <c r="D306" i="3" s="1"/>
  <c r="C306" i="2"/>
  <c r="C306" i="3" s="1"/>
  <c r="B306" i="2"/>
  <c r="B306" i="3" s="1"/>
  <c r="A306" i="2"/>
  <c r="A306" i="3" s="1"/>
  <c r="U305" i="2"/>
  <c r="T305" i="2"/>
  <c r="G305" i="2"/>
  <c r="G305" i="3" s="1"/>
  <c r="F305" i="2"/>
  <c r="F305" i="3" s="1"/>
  <c r="E305" i="2"/>
  <c r="E305" i="3" s="1"/>
  <c r="K305" i="3" s="1"/>
  <c r="D305" i="2"/>
  <c r="D305" i="3" s="1"/>
  <c r="C305" i="2"/>
  <c r="B305" i="2"/>
  <c r="B305" i="3" s="1"/>
  <c r="A305" i="2"/>
  <c r="A305" i="3" s="1"/>
  <c r="S304" i="2"/>
  <c r="R304" i="2"/>
  <c r="G304" i="2"/>
  <c r="G304" i="3" s="1"/>
  <c r="F304" i="2"/>
  <c r="E304" i="2"/>
  <c r="E304" i="3" s="1"/>
  <c r="D304" i="2"/>
  <c r="D304" i="3" s="1"/>
  <c r="C304" i="2"/>
  <c r="C304" i="3" s="1"/>
  <c r="B304" i="2"/>
  <c r="B304" i="3" s="1"/>
  <c r="A304" i="2"/>
  <c r="A304" i="3" s="1"/>
  <c r="U303" i="2"/>
  <c r="T303" i="2"/>
  <c r="G303" i="2"/>
  <c r="F303" i="2"/>
  <c r="F303" i="3" s="1"/>
  <c r="E303" i="2"/>
  <c r="E303" i="3" s="1"/>
  <c r="K303" i="3" s="1"/>
  <c r="D303" i="2"/>
  <c r="C303" i="2"/>
  <c r="C303" i="3" s="1"/>
  <c r="B303" i="2"/>
  <c r="B303" i="3" s="1"/>
  <c r="A303" i="2"/>
  <c r="A303" i="3" s="1"/>
  <c r="S302" i="2"/>
  <c r="R302" i="2"/>
  <c r="G302" i="2"/>
  <c r="G302" i="3" s="1"/>
  <c r="F302" i="2"/>
  <c r="F302" i="3" s="1"/>
  <c r="E302" i="2"/>
  <c r="D302" i="2"/>
  <c r="D302" i="3" s="1"/>
  <c r="C302" i="2"/>
  <c r="C302" i="3" s="1"/>
  <c r="B302" i="2"/>
  <c r="B302" i="3" s="1"/>
  <c r="A302" i="2"/>
  <c r="A302" i="3" s="1"/>
  <c r="U301" i="2"/>
  <c r="T301" i="2"/>
  <c r="G301" i="2"/>
  <c r="G301" i="3" s="1"/>
  <c r="F301" i="2"/>
  <c r="F301" i="3" s="1"/>
  <c r="E301" i="2"/>
  <c r="E301" i="3" s="1"/>
  <c r="K301" i="3" s="1"/>
  <c r="D301" i="2"/>
  <c r="D301" i="3" s="1"/>
  <c r="C301" i="2"/>
  <c r="B301" i="2"/>
  <c r="B301" i="3" s="1"/>
  <c r="A301" i="2"/>
  <c r="A301" i="3" s="1"/>
  <c r="S300" i="2"/>
  <c r="R300" i="2"/>
  <c r="G300" i="2"/>
  <c r="G300" i="3" s="1"/>
  <c r="F300" i="2"/>
  <c r="E300" i="2"/>
  <c r="E300" i="3" s="1"/>
  <c r="D300" i="2"/>
  <c r="D300" i="3" s="1"/>
  <c r="C300" i="2"/>
  <c r="C300" i="3" s="1"/>
  <c r="B300" i="2"/>
  <c r="B300" i="3" s="1"/>
  <c r="A300" i="2"/>
  <c r="A300" i="3" s="1"/>
  <c r="U299" i="2"/>
  <c r="T299" i="2"/>
  <c r="G299" i="2"/>
  <c r="F299" i="2"/>
  <c r="F299" i="3" s="1"/>
  <c r="E299" i="2"/>
  <c r="E299" i="3" s="1"/>
  <c r="K299" i="3" s="1"/>
  <c r="D299" i="2"/>
  <c r="C299" i="2"/>
  <c r="C299" i="3" s="1"/>
  <c r="B299" i="2"/>
  <c r="B299" i="3" s="1"/>
  <c r="A299" i="2"/>
  <c r="A299" i="3" s="1"/>
  <c r="S298" i="2"/>
  <c r="R298" i="2"/>
  <c r="G298" i="2"/>
  <c r="G298" i="3" s="1"/>
  <c r="F298" i="2"/>
  <c r="F298" i="3" s="1"/>
  <c r="E298" i="2"/>
  <c r="D298" i="2"/>
  <c r="D298" i="3" s="1"/>
  <c r="C298" i="2"/>
  <c r="C298" i="3" s="1"/>
  <c r="B298" i="2"/>
  <c r="B298" i="3" s="1"/>
  <c r="A298" i="2"/>
  <c r="A298" i="3" s="1"/>
  <c r="U297" i="2"/>
  <c r="T297" i="2"/>
  <c r="G297" i="2"/>
  <c r="G297" i="3" s="1"/>
  <c r="F297" i="2"/>
  <c r="F297" i="3" s="1"/>
  <c r="E297" i="2"/>
  <c r="E297" i="3" s="1"/>
  <c r="K297" i="3" s="1"/>
  <c r="D297" i="2"/>
  <c r="D297" i="3" s="1"/>
  <c r="C297" i="2"/>
  <c r="B297" i="2"/>
  <c r="B297" i="3" s="1"/>
  <c r="A297" i="2"/>
  <c r="A297" i="3" s="1"/>
  <c r="S296" i="2"/>
  <c r="R296" i="2"/>
  <c r="G296" i="2"/>
  <c r="G296" i="3" s="1"/>
  <c r="F296" i="2"/>
  <c r="E296" i="2"/>
  <c r="E296" i="3" s="1"/>
  <c r="D296" i="2"/>
  <c r="D296" i="3" s="1"/>
  <c r="C296" i="2"/>
  <c r="C296" i="3" s="1"/>
  <c r="B296" i="2"/>
  <c r="B296" i="3" s="1"/>
  <c r="A296" i="2"/>
  <c r="A296" i="3" s="1"/>
  <c r="U295" i="2"/>
  <c r="T295" i="2"/>
  <c r="G295" i="2"/>
  <c r="F295" i="2"/>
  <c r="F295" i="3" s="1"/>
  <c r="E295" i="2"/>
  <c r="E295" i="3" s="1"/>
  <c r="K295" i="3" s="1"/>
  <c r="D295" i="2"/>
  <c r="C295" i="2"/>
  <c r="C295" i="3" s="1"/>
  <c r="B295" i="2"/>
  <c r="B295" i="3" s="1"/>
  <c r="A295" i="2"/>
  <c r="A295" i="3" s="1"/>
  <c r="S294" i="2"/>
  <c r="R294" i="2"/>
  <c r="G294" i="2"/>
  <c r="G294" i="3" s="1"/>
  <c r="F294" i="2"/>
  <c r="F294" i="3" s="1"/>
  <c r="E294" i="2"/>
  <c r="D294" i="2"/>
  <c r="D294" i="3" s="1"/>
  <c r="C294" i="2"/>
  <c r="C294" i="3" s="1"/>
  <c r="B294" i="2"/>
  <c r="B294" i="3" s="1"/>
  <c r="A294" i="2"/>
  <c r="A294" i="3" s="1"/>
  <c r="U293" i="2"/>
  <c r="T293" i="2"/>
  <c r="G293" i="2"/>
  <c r="F293" i="2"/>
  <c r="F293" i="3" s="1"/>
  <c r="E293" i="2"/>
  <c r="E293" i="3" s="1"/>
  <c r="K293" i="3" s="1"/>
  <c r="D293" i="2"/>
  <c r="D293" i="3" s="1"/>
  <c r="C293" i="2"/>
  <c r="B293" i="2"/>
  <c r="B293" i="3" s="1"/>
  <c r="A293" i="2"/>
  <c r="A293" i="3" s="1"/>
  <c r="S292" i="2"/>
  <c r="R292" i="2"/>
  <c r="G292" i="2"/>
  <c r="G292" i="3" s="1"/>
  <c r="F292" i="2"/>
  <c r="E292" i="2"/>
  <c r="D292" i="2"/>
  <c r="D292" i="3" s="1"/>
  <c r="C292" i="2"/>
  <c r="C292" i="3" s="1"/>
  <c r="B292" i="2"/>
  <c r="B292" i="3" s="1"/>
  <c r="A292" i="2"/>
  <c r="A292" i="3" s="1"/>
  <c r="U291" i="2"/>
  <c r="T291" i="2"/>
  <c r="G291" i="2"/>
  <c r="F291" i="2"/>
  <c r="F291" i="3" s="1"/>
  <c r="E291" i="2"/>
  <c r="E291" i="3" s="1"/>
  <c r="K291" i="3" s="1"/>
  <c r="D291" i="2"/>
  <c r="C291" i="2"/>
  <c r="B291" i="2"/>
  <c r="B291" i="3" s="1"/>
  <c r="A291" i="2"/>
  <c r="A291" i="3" s="1"/>
  <c r="S290" i="2"/>
  <c r="R290" i="2"/>
  <c r="G290" i="2"/>
  <c r="G290" i="3" s="1"/>
  <c r="F290" i="2"/>
  <c r="F290" i="3" s="1"/>
  <c r="E290" i="2"/>
  <c r="D290" i="2"/>
  <c r="D290" i="3" s="1"/>
  <c r="C290" i="2"/>
  <c r="C290" i="3" s="1"/>
  <c r="B290" i="2"/>
  <c r="B290" i="3" s="1"/>
  <c r="A290" i="2"/>
  <c r="A290" i="3" s="1"/>
  <c r="U289" i="2"/>
  <c r="T289" i="2"/>
  <c r="G289" i="2"/>
  <c r="F289" i="2"/>
  <c r="F289" i="3" s="1"/>
  <c r="E289" i="2"/>
  <c r="E289" i="3" s="1"/>
  <c r="K289" i="3" s="1"/>
  <c r="D289" i="2"/>
  <c r="D289" i="3" s="1"/>
  <c r="C289" i="2"/>
  <c r="B289" i="2"/>
  <c r="B289" i="3" s="1"/>
  <c r="A289" i="2"/>
  <c r="A289" i="3" s="1"/>
  <c r="S288" i="2"/>
  <c r="R288" i="2"/>
  <c r="G288" i="2"/>
  <c r="G288" i="3" s="1"/>
  <c r="F288" i="2"/>
  <c r="E288" i="2"/>
  <c r="D288" i="2"/>
  <c r="D288" i="3" s="1"/>
  <c r="C288" i="2"/>
  <c r="C288" i="3" s="1"/>
  <c r="B288" i="2"/>
  <c r="B288" i="3" s="1"/>
  <c r="A288" i="2"/>
  <c r="A288" i="3" s="1"/>
  <c r="U287" i="2"/>
  <c r="T287" i="2"/>
  <c r="G287" i="2"/>
  <c r="F287" i="2"/>
  <c r="F287" i="3" s="1"/>
  <c r="E287" i="2"/>
  <c r="E287" i="3" s="1"/>
  <c r="K287" i="3" s="1"/>
  <c r="D287" i="2"/>
  <c r="C287" i="2"/>
  <c r="B287" i="2"/>
  <c r="B287" i="3" s="1"/>
  <c r="A287" i="2"/>
  <c r="A287" i="3" s="1"/>
  <c r="S286" i="2"/>
  <c r="R286" i="2"/>
  <c r="G286" i="2"/>
  <c r="G286" i="3" s="1"/>
  <c r="F286" i="2"/>
  <c r="F286" i="3" s="1"/>
  <c r="E286" i="2"/>
  <c r="D286" i="2"/>
  <c r="D286" i="3" s="1"/>
  <c r="C286" i="2"/>
  <c r="C286" i="3" s="1"/>
  <c r="B286" i="2"/>
  <c r="B286" i="3" s="1"/>
  <c r="A286" i="2"/>
  <c r="A286" i="3" s="1"/>
  <c r="U285" i="2"/>
  <c r="T285" i="2"/>
  <c r="G285" i="2"/>
  <c r="F285" i="2"/>
  <c r="F285" i="3" s="1"/>
  <c r="E285" i="2"/>
  <c r="E285" i="3" s="1"/>
  <c r="K285" i="3" s="1"/>
  <c r="D285" i="2"/>
  <c r="D285" i="3" s="1"/>
  <c r="C285" i="2"/>
  <c r="B285" i="2"/>
  <c r="B285" i="3" s="1"/>
  <c r="A285" i="2"/>
  <c r="A285" i="3" s="1"/>
  <c r="S284" i="2"/>
  <c r="R284" i="2"/>
  <c r="G284" i="2"/>
  <c r="G284" i="3" s="1"/>
  <c r="F284" i="2"/>
  <c r="E284" i="2"/>
  <c r="D284" i="2"/>
  <c r="D284" i="3" s="1"/>
  <c r="C284" i="2"/>
  <c r="C284" i="3" s="1"/>
  <c r="B284" i="2"/>
  <c r="B284" i="3" s="1"/>
  <c r="A284" i="2"/>
  <c r="A284" i="3" s="1"/>
  <c r="U283" i="2"/>
  <c r="T283" i="2"/>
  <c r="G283" i="2"/>
  <c r="F283" i="2"/>
  <c r="F283" i="3" s="1"/>
  <c r="E283" i="2"/>
  <c r="E283" i="3" s="1"/>
  <c r="K283" i="3" s="1"/>
  <c r="D283" i="2"/>
  <c r="C283" i="2"/>
  <c r="B283" i="2"/>
  <c r="B283" i="3" s="1"/>
  <c r="A283" i="2"/>
  <c r="A283" i="3" s="1"/>
  <c r="S282" i="2"/>
  <c r="G282" i="2"/>
  <c r="F282" i="2"/>
  <c r="F282" i="3" s="1"/>
  <c r="E282" i="2"/>
  <c r="D282" i="2"/>
  <c r="D282" i="3" s="1"/>
  <c r="C282" i="2"/>
  <c r="C282" i="3" s="1"/>
  <c r="B282" i="2"/>
  <c r="B282" i="3" s="1"/>
  <c r="A282" i="2"/>
  <c r="A282" i="3" s="1"/>
  <c r="U281" i="2"/>
  <c r="G281" i="2"/>
  <c r="F281" i="2"/>
  <c r="F281" i="3" s="1"/>
  <c r="E281" i="2"/>
  <c r="D281" i="2"/>
  <c r="D281" i="3" s="1"/>
  <c r="C281" i="2"/>
  <c r="C281" i="3" s="1"/>
  <c r="B281" i="2"/>
  <c r="B281" i="3" s="1"/>
  <c r="A281" i="2"/>
  <c r="A281" i="3" s="1"/>
  <c r="T280" i="2"/>
  <c r="S280" i="2"/>
  <c r="R280" i="2"/>
  <c r="G280" i="2"/>
  <c r="G280" i="3" s="1"/>
  <c r="F280" i="2"/>
  <c r="E280" i="2"/>
  <c r="E280" i="3" s="1"/>
  <c r="D280" i="2"/>
  <c r="D280" i="3" s="1"/>
  <c r="C280" i="2"/>
  <c r="B280" i="2"/>
  <c r="B280" i="3" s="1"/>
  <c r="A280" i="2"/>
  <c r="A280" i="3" s="1"/>
  <c r="U279" i="2"/>
  <c r="T279" i="2"/>
  <c r="R279" i="2"/>
  <c r="G279" i="2"/>
  <c r="G279" i="3" s="1"/>
  <c r="F279" i="2"/>
  <c r="F279" i="3" s="1"/>
  <c r="E279" i="2"/>
  <c r="E279" i="3" s="1"/>
  <c r="K279" i="3" s="1"/>
  <c r="D279" i="2"/>
  <c r="C279" i="2"/>
  <c r="B279" i="2"/>
  <c r="B279" i="3" s="1"/>
  <c r="A279" i="2"/>
  <c r="A279" i="3" s="1"/>
  <c r="S278" i="2"/>
  <c r="R278" i="2"/>
  <c r="G278" i="2"/>
  <c r="G278" i="3" s="1"/>
  <c r="F278" i="2"/>
  <c r="F278" i="3" s="1"/>
  <c r="E278" i="2"/>
  <c r="D278" i="2"/>
  <c r="D278" i="3" s="1"/>
  <c r="C278" i="2"/>
  <c r="C278" i="3" s="1"/>
  <c r="B278" i="2"/>
  <c r="B278" i="3" s="1"/>
  <c r="A278" i="2"/>
  <c r="A278" i="3" s="1"/>
  <c r="U277" i="2"/>
  <c r="G277" i="2"/>
  <c r="F277" i="2"/>
  <c r="F277" i="3" s="1"/>
  <c r="E277" i="2"/>
  <c r="D277" i="2"/>
  <c r="D277" i="3" s="1"/>
  <c r="C277" i="2"/>
  <c r="C277" i="3" s="1"/>
  <c r="B277" i="2"/>
  <c r="B277" i="3" s="1"/>
  <c r="A277" i="2"/>
  <c r="A277" i="3" s="1"/>
  <c r="T276" i="2"/>
  <c r="S276" i="2"/>
  <c r="R276" i="2"/>
  <c r="G276" i="2"/>
  <c r="G276" i="3" s="1"/>
  <c r="F276" i="2"/>
  <c r="E276" i="2"/>
  <c r="E276" i="3" s="1"/>
  <c r="D276" i="2"/>
  <c r="D276" i="3" s="1"/>
  <c r="C276" i="2"/>
  <c r="B276" i="2"/>
  <c r="B276" i="3" s="1"/>
  <c r="A276" i="2"/>
  <c r="A276" i="3" s="1"/>
  <c r="U275" i="2"/>
  <c r="T275" i="2"/>
  <c r="G275" i="2"/>
  <c r="F275" i="2"/>
  <c r="F275" i="3" s="1"/>
  <c r="E275" i="2"/>
  <c r="E275" i="3" s="1"/>
  <c r="K275" i="3" s="1"/>
  <c r="D275" i="2"/>
  <c r="C275" i="2"/>
  <c r="B275" i="2"/>
  <c r="B275" i="3" s="1"/>
  <c r="A275" i="2"/>
  <c r="A275" i="3" s="1"/>
  <c r="S274" i="2"/>
  <c r="R274" i="2"/>
  <c r="G274" i="2"/>
  <c r="G274" i="3" s="1"/>
  <c r="F274" i="2"/>
  <c r="F274" i="3" s="1"/>
  <c r="E274" i="2"/>
  <c r="D274" i="2"/>
  <c r="D274" i="3" s="1"/>
  <c r="C274" i="2"/>
  <c r="C274" i="3" s="1"/>
  <c r="B274" i="2"/>
  <c r="B274" i="3" s="1"/>
  <c r="A274" i="2"/>
  <c r="A274" i="3" s="1"/>
  <c r="U273" i="2"/>
  <c r="R273" i="2"/>
  <c r="G273" i="2"/>
  <c r="G273" i="3" s="1"/>
  <c r="F273" i="2"/>
  <c r="F273" i="3" s="1"/>
  <c r="E273" i="2"/>
  <c r="D273" i="2"/>
  <c r="D273" i="3" s="1"/>
  <c r="C273" i="2"/>
  <c r="C273" i="3" s="1"/>
  <c r="B273" i="2"/>
  <c r="B273" i="3" s="1"/>
  <c r="A273" i="2"/>
  <c r="A273" i="3" s="1"/>
  <c r="T272" i="2"/>
  <c r="S272" i="2"/>
  <c r="G272" i="2"/>
  <c r="F272" i="2"/>
  <c r="E272" i="2"/>
  <c r="E272" i="3" s="1"/>
  <c r="D272" i="2"/>
  <c r="D272" i="3" s="1"/>
  <c r="C272" i="2"/>
  <c r="B272" i="2"/>
  <c r="B272" i="3" s="1"/>
  <c r="A272" i="2"/>
  <c r="A272" i="3" s="1"/>
  <c r="U271" i="2"/>
  <c r="T271" i="2"/>
  <c r="G271" i="2"/>
  <c r="F271" i="2"/>
  <c r="F271" i="3" s="1"/>
  <c r="E271" i="2"/>
  <c r="D271" i="2"/>
  <c r="C271" i="2"/>
  <c r="B271" i="2"/>
  <c r="B271" i="3" s="1"/>
  <c r="A271" i="2"/>
  <c r="A271" i="3" s="1"/>
  <c r="T270" i="2"/>
  <c r="S270" i="2"/>
  <c r="G270" i="2"/>
  <c r="F270" i="2"/>
  <c r="F270" i="3" s="1"/>
  <c r="E270" i="2"/>
  <c r="D270" i="2"/>
  <c r="D270" i="3" s="1"/>
  <c r="C270" i="2"/>
  <c r="B270" i="2"/>
  <c r="B270" i="3" s="1"/>
  <c r="A270" i="2"/>
  <c r="A270" i="3" s="1"/>
  <c r="U269" i="2"/>
  <c r="T269" i="2"/>
  <c r="G269" i="2"/>
  <c r="G269" i="3" s="1"/>
  <c r="F269" i="2"/>
  <c r="F269" i="3" s="1"/>
  <c r="E269" i="2"/>
  <c r="D269" i="2"/>
  <c r="D269" i="3" s="1"/>
  <c r="C269" i="2"/>
  <c r="C269" i="3" s="1"/>
  <c r="B269" i="2"/>
  <c r="B269" i="3" s="1"/>
  <c r="A269" i="2"/>
  <c r="A269" i="3" s="1"/>
  <c r="S268" i="2"/>
  <c r="R268" i="2"/>
  <c r="G268" i="2"/>
  <c r="G268" i="3" s="1"/>
  <c r="F268" i="2"/>
  <c r="E268" i="2"/>
  <c r="E268" i="3" s="1"/>
  <c r="D268" i="2"/>
  <c r="D268" i="3" s="1"/>
  <c r="C268" i="2"/>
  <c r="B268" i="2"/>
  <c r="B268" i="3" s="1"/>
  <c r="A268" i="2"/>
  <c r="A268" i="3" s="1"/>
  <c r="U267" i="2"/>
  <c r="T267" i="2"/>
  <c r="R267" i="2"/>
  <c r="G267" i="2"/>
  <c r="G267" i="3" s="1"/>
  <c r="F267" i="2"/>
  <c r="F267" i="3" s="1"/>
  <c r="E267" i="2"/>
  <c r="D267" i="2"/>
  <c r="C267" i="2"/>
  <c r="B267" i="2"/>
  <c r="B267" i="3" s="1"/>
  <c r="A267" i="2"/>
  <c r="A267" i="3" s="1"/>
  <c r="S266" i="2"/>
  <c r="R266" i="2"/>
  <c r="G266" i="2"/>
  <c r="G266" i="3" s="1"/>
  <c r="F266" i="2"/>
  <c r="F266" i="3" s="1"/>
  <c r="E266" i="2"/>
  <c r="D266" i="2"/>
  <c r="D266" i="3" s="1"/>
  <c r="C266" i="2"/>
  <c r="B266" i="2"/>
  <c r="B266" i="3" s="1"/>
  <c r="A266" i="2"/>
  <c r="A266" i="3" s="1"/>
  <c r="U265" i="2"/>
  <c r="G265" i="2"/>
  <c r="G265" i="3" s="1"/>
  <c r="F265" i="2"/>
  <c r="F265" i="3" s="1"/>
  <c r="E265" i="2"/>
  <c r="D265" i="2"/>
  <c r="D265" i="3" s="1"/>
  <c r="C265" i="2"/>
  <c r="C265" i="3" s="1"/>
  <c r="B265" i="2"/>
  <c r="B265" i="3" s="1"/>
  <c r="A265" i="2"/>
  <c r="A265" i="3" s="1"/>
  <c r="S264" i="2"/>
  <c r="R264" i="2"/>
  <c r="G264" i="2"/>
  <c r="G264" i="3" s="1"/>
  <c r="F264" i="2"/>
  <c r="E264" i="2"/>
  <c r="E264" i="3" s="1"/>
  <c r="D264" i="2"/>
  <c r="D264" i="3" s="1"/>
  <c r="C264" i="2"/>
  <c r="B264" i="2"/>
  <c r="B264" i="3" s="1"/>
  <c r="A264" i="2"/>
  <c r="A264" i="3" s="1"/>
  <c r="U263" i="2"/>
  <c r="T263" i="2"/>
  <c r="R263" i="2"/>
  <c r="G263" i="2"/>
  <c r="G263" i="3" s="1"/>
  <c r="F263" i="2"/>
  <c r="F263" i="3" s="1"/>
  <c r="E263" i="2"/>
  <c r="D263" i="2"/>
  <c r="C263" i="2"/>
  <c r="B263" i="2"/>
  <c r="B263" i="3" s="1"/>
  <c r="A263" i="2"/>
  <c r="A263" i="3" s="1"/>
  <c r="S262" i="2"/>
  <c r="R262" i="2"/>
  <c r="G262" i="2"/>
  <c r="G262" i="3" s="1"/>
  <c r="F262" i="2"/>
  <c r="F262" i="3" s="1"/>
  <c r="E262" i="2"/>
  <c r="D262" i="2"/>
  <c r="D262" i="3" s="1"/>
  <c r="C262" i="2"/>
  <c r="B262" i="2"/>
  <c r="B262" i="3" s="1"/>
  <c r="A262" i="2"/>
  <c r="A262" i="3" s="1"/>
  <c r="U261" i="2"/>
  <c r="T261" i="2"/>
  <c r="G261" i="2"/>
  <c r="G261" i="3" s="1"/>
  <c r="F261" i="2"/>
  <c r="F261" i="3" s="1"/>
  <c r="E261" i="2"/>
  <c r="D261" i="2"/>
  <c r="D261" i="3" s="1"/>
  <c r="C261" i="2"/>
  <c r="C261" i="3" s="1"/>
  <c r="B261" i="2"/>
  <c r="B261" i="3" s="1"/>
  <c r="A261" i="2"/>
  <c r="A261" i="3" s="1"/>
  <c r="S260" i="2"/>
  <c r="R260" i="2"/>
  <c r="G260" i="2"/>
  <c r="G260" i="3" s="1"/>
  <c r="F260" i="2"/>
  <c r="E260" i="2"/>
  <c r="D260" i="2"/>
  <c r="D260" i="3" s="1"/>
  <c r="C260" i="2"/>
  <c r="B260" i="2"/>
  <c r="B260" i="3" s="1"/>
  <c r="A260" i="2"/>
  <c r="A260" i="3" s="1"/>
  <c r="U259" i="2"/>
  <c r="R259" i="2"/>
  <c r="G259" i="2"/>
  <c r="G259" i="3" s="1"/>
  <c r="F259" i="2"/>
  <c r="F259" i="3" s="1"/>
  <c r="E259" i="2"/>
  <c r="D259" i="2"/>
  <c r="C259" i="2"/>
  <c r="B259" i="2"/>
  <c r="B259" i="3" s="1"/>
  <c r="A259" i="2"/>
  <c r="A259" i="3" s="1"/>
  <c r="T258" i="2"/>
  <c r="S258" i="2"/>
  <c r="R258" i="2"/>
  <c r="G258" i="2"/>
  <c r="G258" i="3" s="1"/>
  <c r="F258" i="2"/>
  <c r="E258" i="2"/>
  <c r="E258" i="3" s="1"/>
  <c r="D258" i="2"/>
  <c r="D258" i="3" s="1"/>
  <c r="C258" i="2"/>
  <c r="B258" i="2"/>
  <c r="B258" i="3" s="1"/>
  <c r="A258" i="2"/>
  <c r="A258" i="3" s="1"/>
  <c r="U257" i="2"/>
  <c r="T257" i="2"/>
  <c r="G257" i="2"/>
  <c r="G257" i="3" s="1"/>
  <c r="F257" i="2"/>
  <c r="F257" i="3" s="1"/>
  <c r="E257" i="2"/>
  <c r="D257" i="2"/>
  <c r="C257" i="2"/>
  <c r="C257" i="3" s="1"/>
  <c r="B257" i="2"/>
  <c r="B257" i="3" s="1"/>
  <c r="A257" i="2"/>
  <c r="A257" i="3" s="1"/>
  <c r="S256" i="2"/>
  <c r="R256" i="2"/>
  <c r="G256" i="2"/>
  <c r="G256" i="3" s="1"/>
  <c r="F256" i="2"/>
  <c r="E256" i="2"/>
  <c r="E256" i="3" s="1"/>
  <c r="D256" i="2"/>
  <c r="D256" i="3" s="1"/>
  <c r="C256" i="2"/>
  <c r="B256" i="2"/>
  <c r="B256" i="3" s="1"/>
  <c r="A256" i="2"/>
  <c r="A256" i="3" s="1"/>
  <c r="U255" i="2"/>
  <c r="T255" i="2"/>
  <c r="G255" i="2"/>
  <c r="G255" i="3" s="1"/>
  <c r="F255" i="2"/>
  <c r="F255" i="3" s="1"/>
  <c r="E255" i="2"/>
  <c r="D255" i="2"/>
  <c r="C255" i="2"/>
  <c r="C255" i="3" s="1"/>
  <c r="B255" i="2"/>
  <c r="B255" i="3" s="1"/>
  <c r="A255" i="2"/>
  <c r="A255" i="3" s="1"/>
  <c r="S254" i="2"/>
  <c r="R254" i="2"/>
  <c r="G254" i="2"/>
  <c r="G254" i="3" s="1"/>
  <c r="F254" i="2"/>
  <c r="E254" i="2"/>
  <c r="E254" i="3" s="1"/>
  <c r="D254" i="2"/>
  <c r="D254" i="3" s="1"/>
  <c r="C254" i="2"/>
  <c r="B254" i="2"/>
  <c r="B254" i="3" s="1"/>
  <c r="A254" i="2"/>
  <c r="A254" i="3" s="1"/>
  <c r="U253" i="2"/>
  <c r="T253" i="2"/>
  <c r="G253" i="2"/>
  <c r="G253" i="3" s="1"/>
  <c r="F253" i="2"/>
  <c r="F253" i="3" s="1"/>
  <c r="E253" i="2"/>
  <c r="D253" i="2"/>
  <c r="C253" i="2"/>
  <c r="C253" i="3" s="1"/>
  <c r="B253" i="2"/>
  <c r="B253" i="3" s="1"/>
  <c r="A253" i="2"/>
  <c r="A253" i="3" s="1"/>
  <c r="S252" i="2"/>
  <c r="R252" i="2"/>
  <c r="G252" i="2"/>
  <c r="G252" i="3" s="1"/>
  <c r="F252" i="2"/>
  <c r="E252" i="2"/>
  <c r="E252" i="3" s="1"/>
  <c r="D252" i="2"/>
  <c r="D252" i="3" s="1"/>
  <c r="C252" i="2"/>
  <c r="B252" i="2"/>
  <c r="B252" i="3" s="1"/>
  <c r="A252" i="2"/>
  <c r="A252" i="3" s="1"/>
  <c r="U251" i="2"/>
  <c r="T251" i="2"/>
  <c r="G251" i="2"/>
  <c r="G251" i="3" s="1"/>
  <c r="F251" i="2"/>
  <c r="F251" i="3" s="1"/>
  <c r="E251" i="2"/>
  <c r="D251" i="2"/>
  <c r="C251" i="2"/>
  <c r="C251" i="3" s="1"/>
  <c r="B251" i="2"/>
  <c r="B251" i="3" s="1"/>
  <c r="A251" i="2"/>
  <c r="A251" i="3" s="1"/>
  <c r="S250" i="2"/>
  <c r="R250" i="2"/>
  <c r="G250" i="2"/>
  <c r="G250" i="3" s="1"/>
  <c r="F250" i="2"/>
  <c r="E250" i="2"/>
  <c r="E250" i="3" s="1"/>
  <c r="D250" i="2"/>
  <c r="D250" i="3" s="1"/>
  <c r="C250" i="2"/>
  <c r="B250" i="2"/>
  <c r="B250" i="3" s="1"/>
  <c r="A250" i="2"/>
  <c r="A250" i="3" s="1"/>
  <c r="U249" i="2"/>
  <c r="T249" i="2"/>
  <c r="G249" i="2"/>
  <c r="G249" i="3" s="1"/>
  <c r="F249" i="2"/>
  <c r="F249" i="3" s="1"/>
  <c r="E249" i="2"/>
  <c r="D249" i="2"/>
  <c r="C249" i="2"/>
  <c r="C249" i="3" s="1"/>
  <c r="B249" i="2"/>
  <c r="B249" i="3" s="1"/>
  <c r="A249" i="2"/>
  <c r="A249" i="3" s="1"/>
  <c r="S248" i="2"/>
  <c r="R248" i="2"/>
  <c r="G248" i="2"/>
  <c r="G248" i="3" s="1"/>
  <c r="F248" i="2"/>
  <c r="E248" i="2"/>
  <c r="E248" i="3" s="1"/>
  <c r="D248" i="2"/>
  <c r="D248" i="3" s="1"/>
  <c r="C248" i="2"/>
  <c r="B248" i="2"/>
  <c r="B248" i="3" s="1"/>
  <c r="A248" i="2"/>
  <c r="A248" i="3" s="1"/>
  <c r="U247" i="2"/>
  <c r="T247" i="2"/>
  <c r="G247" i="2"/>
  <c r="G247" i="3" s="1"/>
  <c r="F247" i="2"/>
  <c r="F247" i="3" s="1"/>
  <c r="E247" i="2"/>
  <c r="D247" i="2"/>
  <c r="C247" i="2"/>
  <c r="C247" i="3" s="1"/>
  <c r="B247" i="2"/>
  <c r="B247" i="3" s="1"/>
  <c r="A247" i="2"/>
  <c r="A247" i="3" s="1"/>
  <c r="S246" i="2"/>
  <c r="R246" i="2"/>
  <c r="G246" i="2"/>
  <c r="G246" i="3" s="1"/>
  <c r="F246" i="2"/>
  <c r="E246" i="2"/>
  <c r="E246" i="3" s="1"/>
  <c r="D246" i="2"/>
  <c r="D246" i="3" s="1"/>
  <c r="C246" i="2"/>
  <c r="B246" i="2"/>
  <c r="B246" i="3" s="1"/>
  <c r="A246" i="2"/>
  <c r="A246" i="3" s="1"/>
  <c r="U245" i="2"/>
  <c r="T245" i="2"/>
  <c r="G245" i="2"/>
  <c r="G245" i="3" s="1"/>
  <c r="F245" i="2"/>
  <c r="F245" i="3" s="1"/>
  <c r="E245" i="2"/>
  <c r="D245" i="2"/>
  <c r="C245" i="2"/>
  <c r="C245" i="3" s="1"/>
  <c r="B245" i="2"/>
  <c r="B245" i="3" s="1"/>
  <c r="A245" i="2"/>
  <c r="A245" i="3" s="1"/>
  <c r="S244" i="2"/>
  <c r="R244" i="2"/>
  <c r="G244" i="2"/>
  <c r="G244" i="3" s="1"/>
  <c r="F244" i="2"/>
  <c r="E244" i="2"/>
  <c r="E244" i="3" s="1"/>
  <c r="D244" i="2"/>
  <c r="D244" i="3" s="1"/>
  <c r="C244" i="2"/>
  <c r="B244" i="2"/>
  <c r="B244" i="3" s="1"/>
  <c r="A244" i="2"/>
  <c r="A244" i="3" s="1"/>
  <c r="U243" i="2"/>
  <c r="T243" i="2"/>
  <c r="G243" i="2"/>
  <c r="G243" i="3" s="1"/>
  <c r="F243" i="2"/>
  <c r="F243" i="3" s="1"/>
  <c r="E243" i="2"/>
  <c r="D243" i="2"/>
  <c r="C243" i="2"/>
  <c r="C243" i="3" s="1"/>
  <c r="B243" i="2"/>
  <c r="B243" i="3" s="1"/>
  <c r="A243" i="2"/>
  <c r="A243" i="3" s="1"/>
  <c r="S242" i="2"/>
  <c r="R242" i="2"/>
  <c r="G242" i="2"/>
  <c r="G242" i="3" s="1"/>
  <c r="F242" i="2"/>
  <c r="E242" i="2"/>
  <c r="E242" i="3" s="1"/>
  <c r="D242" i="2"/>
  <c r="C242" i="2"/>
  <c r="B242" i="2"/>
  <c r="B242" i="3" s="1"/>
  <c r="A242" i="2"/>
  <c r="A242" i="3" s="1"/>
  <c r="U241" i="2"/>
  <c r="T241" i="2"/>
  <c r="S241" i="2"/>
  <c r="G241" i="2"/>
  <c r="G241" i="3" s="1"/>
  <c r="F241" i="2"/>
  <c r="F241" i="3" s="1"/>
  <c r="E241" i="2"/>
  <c r="D241" i="2"/>
  <c r="D241" i="3" s="1"/>
  <c r="C241" i="2"/>
  <c r="C241" i="3" s="1"/>
  <c r="B241" i="2"/>
  <c r="B241" i="3" s="1"/>
  <c r="A241" i="2"/>
  <c r="A241" i="3" s="1"/>
  <c r="S240" i="2"/>
  <c r="G240" i="2"/>
  <c r="G240" i="3" s="1"/>
  <c r="F240" i="2"/>
  <c r="E240" i="2"/>
  <c r="E240" i="3" s="1"/>
  <c r="D240" i="2"/>
  <c r="D240" i="3" s="1"/>
  <c r="C240" i="2"/>
  <c r="C240" i="3" s="1"/>
  <c r="B240" i="2"/>
  <c r="B240" i="3" s="1"/>
  <c r="A240" i="2"/>
  <c r="A240" i="3" s="1"/>
  <c r="U239" i="2"/>
  <c r="G239" i="2"/>
  <c r="G239" i="3" s="1"/>
  <c r="F239" i="2"/>
  <c r="F239" i="3" s="1"/>
  <c r="E239" i="2"/>
  <c r="E239" i="3" s="1"/>
  <c r="K239" i="3" s="1"/>
  <c r="D239" i="2"/>
  <c r="C239" i="2"/>
  <c r="C239" i="3" s="1"/>
  <c r="B239" i="2"/>
  <c r="B239" i="3" s="1"/>
  <c r="A239" i="2"/>
  <c r="A239" i="3" s="1"/>
  <c r="T238" i="2"/>
  <c r="S238" i="2"/>
  <c r="G238" i="2"/>
  <c r="G238" i="3" s="1"/>
  <c r="F238" i="2"/>
  <c r="E238" i="2"/>
  <c r="E238" i="3" s="1"/>
  <c r="D238" i="2"/>
  <c r="D238" i="3" s="1"/>
  <c r="C238" i="2"/>
  <c r="B238" i="2"/>
  <c r="B238" i="3" s="1"/>
  <c r="A238" i="2"/>
  <c r="A238" i="3" s="1"/>
  <c r="U237" i="2"/>
  <c r="T237" i="2"/>
  <c r="S237" i="2"/>
  <c r="G237" i="2"/>
  <c r="G237" i="3" s="1"/>
  <c r="F237" i="2"/>
  <c r="F237" i="3" s="1"/>
  <c r="E237" i="2"/>
  <c r="D237" i="2"/>
  <c r="D237" i="3" s="1"/>
  <c r="C237" i="2"/>
  <c r="C237" i="3" s="1"/>
  <c r="B237" i="2"/>
  <c r="B237" i="3" s="1"/>
  <c r="A237" i="2"/>
  <c r="A237" i="3" s="1"/>
  <c r="S236" i="2"/>
  <c r="G236" i="2"/>
  <c r="G236" i="3" s="1"/>
  <c r="F236" i="2"/>
  <c r="E236" i="2"/>
  <c r="E236" i="3" s="1"/>
  <c r="D236" i="2"/>
  <c r="D236" i="3" s="1"/>
  <c r="C236" i="2"/>
  <c r="C236" i="3" s="1"/>
  <c r="B236" i="2"/>
  <c r="B236" i="3" s="1"/>
  <c r="A236" i="2"/>
  <c r="A236" i="3" s="1"/>
  <c r="U235" i="2"/>
  <c r="G235" i="2"/>
  <c r="G235" i="3" s="1"/>
  <c r="F235" i="2"/>
  <c r="F235" i="3" s="1"/>
  <c r="E235" i="2"/>
  <c r="E235" i="3" s="1"/>
  <c r="K235" i="3" s="1"/>
  <c r="D235" i="2"/>
  <c r="C235" i="2"/>
  <c r="C235" i="3" s="1"/>
  <c r="B235" i="2"/>
  <c r="B235" i="3" s="1"/>
  <c r="A235" i="2"/>
  <c r="A235" i="3" s="1"/>
  <c r="T234" i="2"/>
  <c r="S234" i="2"/>
  <c r="G234" i="2"/>
  <c r="G234" i="3" s="1"/>
  <c r="F234" i="2"/>
  <c r="E234" i="2"/>
  <c r="E234" i="3" s="1"/>
  <c r="D234" i="2"/>
  <c r="D234" i="3" s="1"/>
  <c r="C234" i="2"/>
  <c r="B234" i="2"/>
  <c r="B234" i="3" s="1"/>
  <c r="A234" i="2"/>
  <c r="A234" i="3" s="1"/>
  <c r="U233" i="2"/>
  <c r="T233" i="2"/>
  <c r="S233" i="2"/>
  <c r="G233" i="2"/>
  <c r="G233" i="3" s="1"/>
  <c r="F233" i="2"/>
  <c r="F233" i="3" s="1"/>
  <c r="E233" i="2"/>
  <c r="D233" i="2"/>
  <c r="D233" i="3" s="1"/>
  <c r="C233" i="2"/>
  <c r="C233" i="3" s="1"/>
  <c r="B233" i="2"/>
  <c r="B233" i="3" s="1"/>
  <c r="A233" i="2"/>
  <c r="A233" i="3" s="1"/>
  <c r="S232" i="2"/>
  <c r="G232" i="2"/>
  <c r="G232" i="3" s="1"/>
  <c r="F232" i="2"/>
  <c r="E232" i="2"/>
  <c r="E232" i="3" s="1"/>
  <c r="D232" i="2"/>
  <c r="D232" i="3" s="1"/>
  <c r="C232" i="2"/>
  <c r="C232" i="3" s="1"/>
  <c r="B232" i="2"/>
  <c r="B232" i="3" s="1"/>
  <c r="A232" i="2"/>
  <c r="A232" i="3" s="1"/>
  <c r="U231" i="2"/>
  <c r="G231" i="2"/>
  <c r="G231" i="3" s="1"/>
  <c r="F231" i="2"/>
  <c r="F231" i="3" s="1"/>
  <c r="E231" i="2"/>
  <c r="D231" i="2"/>
  <c r="C231" i="2"/>
  <c r="C231" i="3" s="1"/>
  <c r="B231" i="2"/>
  <c r="B231" i="3" s="1"/>
  <c r="A231" i="2"/>
  <c r="A231" i="3" s="1"/>
  <c r="T230" i="2"/>
  <c r="S230" i="2"/>
  <c r="G230" i="2"/>
  <c r="G230" i="3" s="1"/>
  <c r="F230" i="2"/>
  <c r="E230" i="2"/>
  <c r="E230" i="3" s="1"/>
  <c r="D230" i="2"/>
  <c r="D230" i="3" s="1"/>
  <c r="C230" i="2"/>
  <c r="B230" i="2"/>
  <c r="B230" i="3" s="1"/>
  <c r="A230" i="2"/>
  <c r="A230" i="3" s="1"/>
  <c r="U229" i="2"/>
  <c r="S229" i="2"/>
  <c r="G229" i="2"/>
  <c r="G229" i="3" s="1"/>
  <c r="F229" i="2"/>
  <c r="F229" i="3" s="1"/>
  <c r="E229" i="2"/>
  <c r="D229" i="2"/>
  <c r="D229" i="3" s="1"/>
  <c r="C229" i="2"/>
  <c r="C229" i="3" s="1"/>
  <c r="B229" i="2"/>
  <c r="B229" i="3" s="1"/>
  <c r="A229" i="2"/>
  <c r="A229" i="3" s="1"/>
  <c r="T228" i="2"/>
  <c r="S228" i="2"/>
  <c r="G228" i="2"/>
  <c r="G228" i="3" s="1"/>
  <c r="F228" i="2"/>
  <c r="E228" i="2"/>
  <c r="E228" i="3" s="1"/>
  <c r="D228" i="2"/>
  <c r="D228" i="3" s="1"/>
  <c r="C228" i="2"/>
  <c r="C228" i="3" s="1"/>
  <c r="B228" i="2"/>
  <c r="B228" i="3" s="1"/>
  <c r="A228" i="2"/>
  <c r="A228" i="3" s="1"/>
  <c r="U227" i="2"/>
  <c r="G227" i="2"/>
  <c r="G227" i="3" s="1"/>
  <c r="F227" i="2"/>
  <c r="F227" i="3" s="1"/>
  <c r="E227" i="2"/>
  <c r="D227" i="2"/>
  <c r="C227" i="2"/>
  <c r="C227" i="3" s="1"/>
  <c r="B227" i="2"/>
  <c r="B227" i="3" s="1"/>
  <c r="A227" i="2"/>
  <c r="A227" i="3" s="1"/>
  <c r="T226" i="2"/>
  <c r="S226" i="2"/>
  <c r="G226" i="2"/>
  <c r="G226" i="3" s="1"/>
  <c r="F226" i="2"/>
  <c r="E226" i="2"/>
  <c r="E226" i="3" s="1"/>
  <c r="D226" i="2"/>
  <c r="D226" i="3" s="1"/>
  <c r="C226" i="2"/>
  <c r="B226" i="2"/>
  <c r="B226" i="3" s="1"/>
  <c r="A226" i="2"/>
  <c r="A226" i="3" s="1"/>
  <c r="U225" i="2"/>
  <c r="T225" i="2"/>
  <c r="S225" i="2"/>
  <c r="G225" i="2"/>
  <c r="G225" i="3" s="1"/>
  <c r="F225" i="2"/>
  <c r="F225" i="3" s="1"/>
  <c r="E225" i="2"/>
  <c r="D225" i="2"/>
  <c r="D225" i="3" s="1"/>
  <c r="C225" i="2"/>
  <c r="C225" i="3" s="1"/>
  <c r="B225" i="2"/>
  <c r="B225" i="3" s="1"/>
  <c r="A225" i="2"/>
  <c r="A225" i="3" s="1"/>
  <c r="T224" i="2"/>
  <c r="S224" i="2"/>
  <c r="G224" i="2"/>
  <c r="G224" i="3" s="1"/>
  <c r="F224" i="2"/>
  <c r="E224" i="2"/>
  <c r="E224" i="3" s="1"/>
  <c r="D224" i="2"/>
  <c r="D224" i="3" s="1"/>
  <c r="C224" i="2"/>
  <c r="C224" i="3" s="1"/>
  <c r="B224" i="2"/>
  <c r="B224" i="3" s="1"/>
  <c r="A224" i="2"/>
  <c r="A224" i="3" s="1"/>
  <c r="U223" i="2"/>
  <c r="G223" i="2"/>
  <c r="G223" i="3" s="1"/>
  <c r="F223" i="2"/>
  <c r="F223" i="3" s="1"/>
  <c r="E223" i="2"/>
  <c r="D223" i="2"/>
  <c r="C223" i="2"/>
  <c r="C223" i="3" s="1"/>
  <c r="B223" i="2"/>
  <c r="B223" i="3" s="1"/>
  <c r="A223" i="2"/>
  <c r="A223" i="3" s="1"/>
  <c r="T222" i="2"/>
  <c r="S222" i="2"/>
  <c r="G222" i="2"/>
  <c r="G222" i="3" s="1"/>
  <c r="F222" i="2"/>
  <c r="E222" i="2"/>
  <c r="E222" i="3" s="1"/>
  <c r="D222" i="2"/>
  <c r="D222" i="3" s="1"/>
  <c r="C222" i="2"/>
  <c r="B222" i="2"/>
  <c r="B222" i="3" s="1"/>
  <c r="A222" i="2"/>
  <c r="A222" i="3" s="1"/>
  <c r="S221" i="2"/>
  <c r="G221" i="2"/>
  <c r="G221" i="3" s="1"/>
  <c r="F221" i="2"/>
  <c r="F221" i="3" s="1"/>
  <c r="E221" i="2"/>
  <c r="T221" i="2" s="1"/>
  <c r="D221" i="2"/>
  <c r="D221" i="3" s="1"/>
  <c r="C221" i="2"/>
  <c r="C221" i="3" s="1"/>
  <c r="B221" i="2"/>
  <c r="B221" i="3" s="1"/>
  <c r="A221" i="2"/>
  <c r="A221" i="3" s="1"/>
  <c r="U220" i="2"/>
  <c r="T220" i="2"/>
  <c r="G220" i="2"/>
  <c r="G220" i="3" s="1"/>
  <c r="F220" i="2"/>
  <c r="F220" i="3" s="1"/>
  <c r="E220" i="2"/>
  <c r="E220" i="3" s="1"/>
  <c r="K220" i="3" s="1"/>
  <c r="D220" i="2"/>
  <c r="D220" i="3" s="1"/>
  <c r="C220" i="2"/>
  <c r="B220" i="2"/>
  <c r="B220" i="3" s="1"/>
  <c r="A220" i="2"/>
  <c r="A220" i="3" s="1"/>
  <c r="S219" i="2"/>
  <c r="R219" i="2"/>
  <c r="G219" i="2"/>
  <c r="G219" i="3" s="1"/>
  <c r="F219" i="2"/>
  <c r="E219" i="2"/>
  <c r="E219" i="3" s="1"/>
  <c r="D219" i="2"/>
  <c r="D219" i="3" s="1"/>
  <c r="C219" i="2"/>
  <c r="C219" i="3" s="1"/>
  <c r="B219" i="2"/>
  <c r="B219" i="3" s="1"/>
  <c r="A219" i="2"/>
  <c r="A219" i="3" s="1"/>
  <c r="U218" i="2"/>
  <c r="T218" i="2"/>
  <c r="G218" i="2"/>
  <c r="F218" i="2"/>
  <c r="F218" i="3" s="1"/>
  <c r="E218" i="2"/>
  <c r="E218" i="3" s="1"/>
  <c r="K218" i="3" s="1"/>
  <c r="D218" i="2"/>
  <c r="C218" i="2"/>
  <c r="C218" i="3" s="1"/>
  <c r="B218" i="2"/>
  <c r="B218" i="3" s="1"/>
  <c r="A218" i="2"/>
  <c r="A218" i="3" s="1"/>
  <c r="S217" i="2"/>
  <c r="R217" i="2"/>
  <c r="G217" i="2"/>
  <c r="G217" i="3" s="1"/>
  <c r="F217" i="2"/>
  <c r="F217" i="3" s="1"/>
  <c r="E217" i="2"/>
  <c r="D217" i="2"/>
  <c r="D217" i="3" s="1"/>
  <c r="C217" i="2"/>
  <c r="C217" i="3" s="1"/>
  <c r="B217" i="2"/>
  <c r="B217" i="3" s="1"/>
  <c r="A217" i="2"/>
  <c r="A217" i="3" s="1"/>
  <c r="U216" i="2"/>
  <c r="T216" i="2"/>
  <c r="G216" i="2"/>
  <c r="G216" i="3" s="1"/>
  <c r="F216" i="2"/>
  <c r="F216" i="3" s="1"/>
  <c r="E216" i="2"/>
  <c r="E216" i="3" s="1"/>
  <c r="K216" i="3" s="1"/>
  <c r="D216" i="2"/>
  <c r="D216" i="3" s="1"/>
  <c r="C216" i="2"/>
  <c r="B216" i="2"/>
  <c r="B216" i="3" s="1"/>
  <c r="A216" i="2"/>
  <c r="A216" i="3" s="1"/>
  <c r="S215" i="2"/>
  <c r="R215" i="2"/>
  <c r="G215" i="2"/>
  <c r="G215" i="3" s="1"/>
  <c r="F215" i="2"/>
  <c r="E215" i="2"/>
  <c r="E215" i="3" s="1"/>
  <c r="D215" i="2"/>
  <c r="D215" i="3" s="1"/>
  <c r="C215" i="2"/>
  <c r="C215" i="3" s="1"/>
  <c r="B215" i="2"/>
  <c r="B215" i="3" s="1"/>
  <c r="A215" i="2"/>
  <c r="A215" i="3" s="1"/>
  <c r="U214" i="2"/>
  <c r="T214" i="2"/>
  <c r="G214" i="2"/>
  <c r="F214" i="2"/>
  <c r="F214" i="3" s="1"/>
  <c r="E214" i="2"/>
  <c r="E214" i="3" s="1"/>
  <c r="K214" i="3" s="1"/>
  <c r="D214" i="2"/>
  <c r="C214" i="2"/>
  <c r="C214" i="3" s="1"/>
  <c r="B214" i="2"/>
  <c r="B214" i="3" s="1"/>
  <c r="A214" i="2"/>
  <c r="A214" i="3" s="1"/>
  <c r="S213" i="2"/>
  <c r="R213" i="2"/>
  <c r="G213" i="2"/>
  <c r="G213" i="3" s="1"/>
  <c r="F213" i="2"/>
  <c r="F213" i="3" s="1"/>
  <c r="E213" i="2"/>
  <c r="D213" i="2"/>
  <c r="D213" i="3" s="1"/>
  <c r="C213" i="2"/>
  <c r="C213" i="3" s="1"/>
  <c r="B213" i="2"/>
  <c r="B213" i="3" s="1"/>
  <c r="A213" i="2"/>
  <c r="A213" i="3" s="1"/>
  <c r="U212" i="2"/>
  <c r="T212" i="2"/>
  <c r="G212" i="2"/>
  <c r="G212" i="3" s="1"/>
  <c r="F212" i="2"/>
  <c r="F212" i="3" s="1"/>
  <c r="E212" i="2"/>
  <c r="E212" i="3" s="1"/>
  <c r="K212" i="3" s="1"/>
  <c r="D212" i="2"/>
  <c r="D212" i="3" s="1"/>
  <c r="C212" i="2"/>
  <c r="B212" i="2"/>
  <c r="B212" i="3" s="1"/>
  <c r="A212" i="2"/>
  <c r="A212" i="3" s="1"/>
  <c r="S211" i="2"/>
  <c r="R211" i="2"/>
  <c r="G211" i="2"/>
  <c r="G211" i="3" s="1"/>
  <c r="F211" i="2"/>
  <c r="E211" i="2"/>
  <c r="E211" i="3" s="1"/>
  <c r="D211" i="2"/>
  <c r="D211" i="3" s="1"/>
  <c r="C211" i="2"/>
  <c r="C211" i="3" s="1"/>
  <c r="B211" i="2"/>
  <c r="B211" i="3" s="1"/>
  <c r="A211" i="2"/>
  <c r="A211" i="3" s="1"/>
  <c r="U210" i="2"/>
  <c r="T210" i="2"/>
  <c r="G210" i="2"/>
  <c r="F210" i="2"/>
  <c r="F210" i="3" s="1"/>
  <c r="E210" i="2"/>
  <c r="E210" i="3" s="1"/>
  <c r="K210" i="3" s="1"/>
  <c r="D210" i="2"/>
  <c r="C210" i="2"/>
  <c r="C210" i="3" s="1"/>
  <c r="B210" i="2"/>
  <c r="B210" i="3" s="1"/>
  <c r="A210" i="2"/>
  <c r="A210" i="3" s="1"/>
  <c r="S209" i="2"/>
  <c r="R209" i="2"/>
  <c r="G209" i="2"/>
  <c r="G209" i="3" s="1"/>
  <c r="F209" i="2"/>
  <c r="F209" i="3" s="1"/>
  <c r="E209" i="2"/>
  <c r="D209" i="2"/>
  <c r="D209" i="3" s="1"/>
  <c r="C209" i="2"/>
  <c r="C209" i="3" s="1"/>
  <c r="B209" i="2"/>
  <c r="B209" i="3" s="1"/>
  <c r="A209" i="2"/>
  <c r="A209" i="3" s="1"/>
  <c r="U208" i="2"/>
  <c r="T208" i="2"/>
  <c r="G208" i="2"/>
  <c r="G208" i="3" s="1"/>
  <c r="F208" i="2"/>
  <c r="F208" i="3" s="1"/>
  <c r="E208" i="2"/>
  <c r="E208" i="3" s="1"/>
  <c r="K208" i="3" s="1"/>
  <c r="D208" i="2"/>
  <c r="D208" i="3" s="1"/>
  <c r="C208" i="2"/>
  <c r="B208" i="2"/>
  <c r="B208" i="3" s="1"/>
  <c r="A208" i="2"/>
  <c r="A208" i="3" s="1"/>
  <c r="S207" i="2"/>
  <c r="R207" i="2"/>
  <c r="G207" i="2"/>
  <c r="G207" i="3" s="1"/>
  <c r="F207" i="2"/>
  <c r="E207" i="2"/>
  <c r="E207" i="3" s="1"/>
  <c r="D207" i="2"/>
  <c r="D207" i="3" s="1"/>
  <c r="C207" i="2"/>
  <c r="C207" i="3" s="1"/>
  <c r="B207" i="2"/>
  <c r="B207" i="3" s="1"/>
  <c r="A207" i="2"/>
  <c r="A207" i="3" s="1"/>
  <c r="U206" i="2"/>
  <c r="T206" i="2"/>
  <c r="G206" i="2"/>
  <c r="F206" i="2"/>
  <c r="F206" i="3" s="1"/>
  <c r="E206" i="2"/>
  <c r="E206" i="3" s="1"/>
  <c r="K206" i="3" s="1"/>
  <c r="D206" i="2"/>
  <c r="C206" i="2"/>
  <c r="C206" i="3" s="1"/>
  <c r="B206" i="2"/>
  <c r="B206" i="3" s="1"/>
  <c r="A206" i="2"/>
  <c r="A206" i="3" s="1"/>
  <c r="S205" i="2"/>
  <c r="R205" i="2"/>
  <c r="G205" i="2"/>
  <c r="G205" i="3" s="1"/>
  <c r="F205" i="2"/>
  <c r="F205" i="3" s="1"/>
  <c r="E205" i="2"/>
  <c r="D205" i="2"/>
  <c r="D205" i="3" s="1"/>
  <c r="C205" i="2"/>
  <c r="C205" i="3" s="1"/>
  <c r="B205" i="2"/>
  <c r="B205" i="3" s="1"/>
  <c r="A205" i="2"/>
  <c r="A205" i="3" s="1"/>
  <c r="U204" i="2"/>
  <c r="T204" i="2"/>
  <c r="G204" i="2"/>
  <c r="G204" i="3" s="1"/>
  <c r="F204" i="2"/>
  <c r="F204" i="3" s="1"/>
  <c r="E204" i="2"/>
  <c r="E204" i="3" s="1"/>
  <c r="K204" i="3" s="1"/>
  <c r="D204" i="2"/>
  <c r="D204" i="3" s="1"/>
  <c r="C204" i="2"/>
  <c r="B204" i="2"/>
  <c r="B204" i="3" s="1"/>
  <c r="A204" i="2"/>
  <c r="A204" i="3" s="1"/>
  <c r="S203" i="2"/>
  <c r="R203" i="2"/>
  <c r="G203" i="2"/>
  <c r="G203" i="3" s="1"/>
  <c r="F203" i="2"/>
  <c r="E203" i="2"/>
  <c r="E203" i="3" s="1"/>
  <c r="D203" i="2"/>
  <c r="D203" i="3" s="1"/>
  <c r="C203" i="2"/>
  <c r="C203" i="3" s="1"/>
  <c r="B203" i="2"/>
  <c r="B203" i="3" s="1"/>
  <c r="A203" i="2"/>
  <c r="A203" i="3" s="1"/>
  <c r="U202" i="2"/>
  <c r="T202" i="2"/>
  <c r="G202" i="2"/>
  <c r="F202" i="2"/>
  <c r="F202" i="3" s="1"/>
  <c r="E202" i="2"/>
  <c r="E202" i="3" s="1"/>
  <c r="K202" i="3" s="1"/>
  <c r="D202" i="2"/>
  <c r="C202" i="2"/>
  <c r="C202" i="3" s="1"/>
  <c r="B202" i="2"/>
  <c r="B202" i="3" s="1"/>
  <c r="A202" i="2"/>
  <c r="A202" i="3" s="1"/>
  <c r="S201" i="2"/>
  <c r="R201" i="2"/>
  <c r="G201" i="2"/>
  <c r="G201" i="3" s="1"/>
  <c r="F201" i="2"/>
  <c r="F201" i="3" s="1"/>
  <c r="E201" i="2"/>
  <c r="D201" i="2"/>
  <c r="D201" i="3" s="1"/>
  <c r="C201" i="2"/>
  <c r="C201" i="3" s="1"/>
  <c r="B201" i="2"/>
  <c r="B201" i="3" s="1"/>
  <c r="A201" i="2"/>
  <c r="A201" i="3" s="1"/>
  <c r="U200" i="2"/>
  <c r="T200" i="2"/>
  <c r="G200" i="2"/>
  <c r="G200" i="3" s="1"/>
  <c r="F200" i="2"/>
  <c r="F200" i="3" s="1"/>
  <c r="E200" i="2"/>
  <c r="E200" i="3" s="1"/>
  <c r="K200" i="3" s="1"/>
  <c r="D200" i="2"/>
  <c r="D200" i="3" s="1"/>
  <c r="C200" i="2"/>
  <c r="B200" i="2"/>
  <c r="B200" i="3" s="1"/>
  <c r="A200" i="2"/>
  <c r="A200" i="3" s="1"/>
  <c r="S199" i="2"/>
  <c r="R199" i="2"/>
  <c r="G199" i="2"/>
  <c r="G199" i="3" s="1"/>
  <c r="F199" i="2"/>
  <c r="E199" i="2"/>
  <c r="E199" i="3" s="1"/>
  <c r="D199" i="2"/>
  <c r="D199" i="3" s="1"/>
  <c r="C199" i="2"/>
  <c r="C199" i="3" s="1"/>
  <c r="B199" i="2"/>
  <c r="B199" i="3" s="1"/>
  <c r="A199" i="2"/>
  <c r="A199" i="3" s="1"/>
  <c r="U198" i="2"/>
  <c r="T198" i="2"/>
  <c r="G198" i="2"/>
  <c r="F198" i="2"/>
  <c r="F198" i="3" s="1"/>
  <c r="E198" i="2"/>
  <c r="E198" i="3" s="1"/>
  <c r="K198" i="3" s="1"/>
  <c r="D198" i="2"/>
  <c r="C198" i="2"/>
  <c r="C198" i="3" s="1"/>
  <c r="B198" i="2"/>
  <c r="B198" i="3" s="1"/>
  <c r="A198" i="2"/>
  <c r="A198" i="3" s="1"/>
  <c r="S197" i="2"/>
  <c r="R197" i="2"/>
  <c r="G197" i="2"/>
  <c r="G197" i="3" s="1"/>
  <c r="F197" i="2"/>
  <c r="F197" i="3" s="1"/>
  <c r="E197" i="2"/>
  <c r="D197" i="2"/>
  <c r="D197" i="3" s="1"/>
  <c r="C197" i="2"/>
  <c r="C197" i="3" s="1"/>
  <c r="B197" i="2"/>
  <c r="B197" i="3" s="1"/>
  <c r="A197" i="2"/>
  <c r="A197" i="3" s="1"/>
  <c r="U196" i="2"/>
  <c r="T196" i="2"/>
  <c r="G196" i="2"/>
  <c r="G196" i="3" s="1"/>
  <c r="F196" i="2"/>
  <c r="F196" i="3" s="1"/>
  <c r="E196" i="2"/>
  <c r="E196" i="3" s="1"/>
  <c r="K196" i="3" s="1"/>
  <c r="D196" i="2"/>
  <c r="D196" i="3" s="1"/>
  <c r="C196" i="2"/>
  <c r="B196" i="2"/>
  <c r="B196" i="3" s="1"/>
  <c r="A196" i="2"/>
  <c r="A196" i="3" s="1"/>
  <c r="S195" i="2"/>
  <c r="R195" i="2"/>
  <c r="G195" i="2"/>
  <c r="G195" i="3" s="1"/>
  <c r="F195" i="2"/>
  <c r="E195" i="2"/>
  <c r="E195" i="3" s="1"/>
  <c r="D195" i="2"/>
  <c r="D195" i="3" s="1"/>
  <c r="C195" i="2"/>
  <c r="C195" i="3" s="1"/>
  <c r="B195" i="2"/>
  <c r="B195" i="3" s="1"/>
  <c r="A195" i="2"/>
  <c r="A195" i="3" s="1"/>
  <c r="U194" i="2"/>
  <c r="T194" i="2"/>
  <c r="G194" i="2"/>
  <c r="F194" i="2"/>
  <c r="F194" i="3" s="1"/>
  <c r="E194" i="2"/>
  <c r="E194" i="3" s="1"/>
  <c r="K194" i="3" s="1"/>
  <c r="D194" i="2"/>
  <c r="C194" i="2"/>
  <c r="C194" i="3" s="1"/>
  <c r="B194" i="2"/>
  <c r="B194" i="3" s="1"/>
  <c r="A194" i="2"/>
  <c r="A194" i="3" s="1"/>
  <c r="S193" i="2"/>
  <c r="R193" i="2"/>
  <c r="G193" i="2"/>
  <c r="G193" i="3" s="1"/>
  <c r="F193" i="2"/>
  <c r="F193" i="3" s="1"/>
  <c r="E193" i="2"/>
  <c r="D193" i="2"/>
  <c r="D193" i="3" s="1"/>
  <c r="C193" i="2"/>
  <c r="C193" i="3" s="1"/>
  <c r="B193" i="2"/>
  <c r="B193" i="3" s="1"/>
  <c r="A193" i="2"/>
  <c r="A193" i="3" s="1"/>
  <c r="U192" i="2"/>
  <c r="T192" i="2"/>
  <c r="G192" i="2"/>
  <c r="G192" i="3" s="1"/>
  <c r="F192" i="2"/>
  <c r="F192" i="3" s="1"/>
  <c r="E192" i="2"/>
  <c r="E192" i="3" s="1"/>
  <c r="K192" i="3" s="1"/>
  <c r="D192" i="2"/>
  <c r="D192" i="3" s="1"/>
  <c r="C192" i="2"/>
  <c r="B192" i="2"/>
  <c r="B192" i="3" s="1"/>
  <c r="A192" i="2"/>
  <c r="A192" i="3" s="1"/>
  <c r="S191" i="2"/>
  <c r="R191" i="2"/>
  <c r="G191" i="2"/>
  <c r="G191" i="3" s="1"/>
  <c r="F191" i="2"/>
  <c r="E191" i="2"/>
  <c r="E191" i="3" s="1"/>
  <c r="D191" i="2"/>
  <c r="D191" i="3" s="1"/>
  <c r="C191" i="2"/>
  <c r="C191" i="3" s="1"/>
  <c r="B191" i="2"/>
  <c r="B191" i="3" s="1"/>
  <c r="A191" i="2"/>
  <c r="A191" i="3" s="1"/>
  <c r="U190" i="2"/>
  <c r="T190" i="2"/>
  <c r="G190" i="2"/>
  <c r="F190" i="2"/>
  <c r="F190" i="3" s="1"/>
  <c r="E190" i="2"/>
  <c r="E190" i="3" s="1"/>
  <c r="K190" i="3" s="1"/>
  <c r="D190" i="2"/>
  <c r="C190" i="2"/>
  <c r="C190" i="3" s="1"/>
  <c r="B190" i="2"/>
  <c r="B190" i="3" s="1"/>
  <c r="A190" i="2"/>
  <c r="A190" i="3" s="1"/>
  <c r="S189" i="2"/>
  <c r="R189" i="2"/>
  <c r="G189" i="2"/>
  <c r="G189" i="3" s="1"/>
  <c r="F189" i="2"/>
  <c r="F189" i="3" s="1"/>
  <c r="E189" i="2"/>
  <c r="D189" i="2"/>
  <c r="D189" i="3" s="1"/>
  <c r="C189" i="2"/>
  <c r="C189" i="3" s="1"/>
  <c r="B189" i="2"/>
  <c r="B189" i="3" s="1"/>
  <c r="A189" i="2"/>
  <c r="A189" i="3" s="1"/>
  <c r="U188" i="2"/>
  <c r="T188" i="2"/>
  <c r="G188" i="2"/>
  <c r="G188" i="3" s="1"/>
  <c r="F188" i="2"/>
  <c r="F188" i="3" s="1"/>
  <c r="E188" i="2"/>
  <c r="E188" i="3" s="1"/>
  <c r="K188" i="3" s="1"/>
  <c r="D188" i="2"/>
  <c r="D188" i="3" s="1"/>
  <c r="C188" i="2"/>
  <c r="B188" i="2"/>
  <c r="B188" i="3" s="1"/>
  <c r="A188" i="2"/>
  <c r="A188" i="3" s="1"/>
  <c r="S187" i="2"/>
  <c r="R187" i="2"/>
  <c r="G187" i="2"/>
  <c r="G187" i="3" s="1"/>
  <c r="F187" i="2"/>
  <c r="E187" i="2"/>
  <c r="E187" i="3" s="1"/>
  <c r="D187" i="2"/>
  <c r="D187" i="3" s="1"/>
  <c r="C187" i="2"/>
  <c r="C187" i="3" s="1"/>
  <c r="B187" i="2"/>
  <c r="B187" i="3" s="1"/>
  <c r="A187" i="2"/>
  <c r="A187" i="3" s="1"/>
  <c r="U186" i="2"/>
  <c r="T186" i="2"/>
  <c r="G186" i="2"/>
  <c r="F186" i="2"/>
  <c r="F186" i="3" s="1"/>
  <c r="E186" i="2"/>
  <c r="E186" i="3" s="1"/>
  <c r="K186" i="3" s="1"/>
  <c r="D186" i="2"/>
  <c r="C186" i="2"/>
  <c r="C186" i="3" s="1"/>
  <c r="B186" i="2"/>
  <c r="B186" i="3" s="1"/>
  <c r="A186" i="2"/>
  <c r="A186" i="3" s="1"/>
  <c r="S185" i="2"/>
  <c r="R185" i="2"/>
  <c r="G185" i="2"/>
  <c r="G185" i="3" s="1"/>
  <c r="F185" i="2"/>
  <c r="F185" i="3" s="1"/>
  <c r="E185" i="2"/>
  <c r="D185" i="2"/>
  <c r="D185" i="3" s="1"/>
  <c r="C185" i="2"/>
  <c r="C185" i="3" s="1"/>
  <c r="B185" i="2"/>
  <c r="B185" i="3" s="1"/>
  <c r="A185" i="2"/>
  <c r="A185" i="3" s="1"/>
  <c r="U184" i="2"/>
  <c r="T184" i="2"/>
  <c r="G184" i="2"/>
  <c r="G184" i="3" s="1"/>
  <c r="F184" i="2"/>
  <c r="F184" i="3" s="1"/>
  <c r="E184" i="2"/>
  <c r="E184" i="3" s="1"/>
  <c r="K184" i="3" s="1"/>
  <c r="D184" i="2"/>
  <c r="D184" i="3" s="1"/>
  <c r="C184" i="2"/>
  <c r="B184" i="2"/>
  <c r="B184" i="3" s="1"/>
  <c r="A184" i="2"/>
  <c r="A184" i="3" s="1"/>
  <c r="S183" i="2"/>
  <c r="R183" i="2"/>
  <c r="G183" i="2"/>
  <c r="G183" i="3" s="1"/>
  <c r="F183" i="2"/>
  <c r="E183" i="2"/>
  <c r="E183" i="3" s="1"/>
  <c r="D183" i="2"/>
  <c r="D183" i="3" s="1"/>
  <c r="C183" i="2"/>
  <c r="C183" i="3" s="1"/>
  <c r="B183" i="2"/>
  <c r="B183" i="3" s="1"/>
  <c r="A183" i="2"/>
  <c r="A183" i="3" s="1"/>
  <c r="U182" i="2"/>
  <c r="T182" i="2"/>
  <c r="G182" i="2"/>
  <c r="F182" i="2"/>
  <c r="F182" i="3" s="1"/>
  <c r="E182" i="2"/>
  <c r="E182" i="3" s="1"/>
  <c r="K182" i="3" s="1"/>
  <c r="D182" i="2"/>
  <c r="C182" i="2"/>
  <c r="C182" i="3" s="1"/>
  <c r="B182" i="2"/>
  <c r="B182" i="3" s="1"/>
  <c r="A182" i="2"/>
  <c r="A182" i="3" s="1"/>
  <c r="S181" i="2"/>
  <c r="R181" i="2"/>
  <c r="G181" i="2"/>
  <c r="G181" i="3" s="1"/>
  <c r="F181" i="2"/>
  <c r="F181" i="3" s="1"/>
  <c r="E181" i="2"/>
  <c r="D181" i="2"/>
  <c r="D181" i="3" s="1"/>
  <c r="C181" i="2"/>
  <c r="C181" i="3" s="1"/>
  <c r="B181" i="2"/>
  <c r="B181" i="3" s="1"/>
  <c r="A181" i="2"/>
  <c r="A181" i="3" s="1"/>
  <c r="U180" i="2"/>
  <c r="T180" i="2"/>
  <c r="G180" i="2"/>
  <c r="F180" i="2"/>
  <c r="F180" i="3" s="1"/>
  <c r="E180" i="2"/>
  <c r="E180" i="3" s="1"/>
  <c r="K180" i="3" s="1"/>
  <c r="D180" i="2"/>
  <c r="D180" i="3" s="1"/>
  <c r="C180" i="2"/>
  <c r="B180" i="2"/>
  <c r="B180" i="3" s="1"/>
  <c r="A180" i="2"/>
  <c r="A180" i="3" s="1"/>
  <c r="S179" i="2"/>
  <c r="R179" i="2"/>
  <c r="G179" i="2"/>
  <c r="G179" i="3" s="1"/>
  <c r="F179" i="2"/>
  <c r="E179" i="2"/>
  <c r="D179" i="2"/>
  <c r="D179" i="3" s="1"/>
  <c r="C179" i="2"/>
  <c r="C179" i="3" s="1"/>
  <c r="B179" i="2"/>
  <c r="B179" i="3" s="1"/>
  <c r="A179" i="2"/>
  <c r="A179" i="3" s="1"/>
  <c r="U178" i="2"/>
  <c r="T178" i="2"/>
  <c r="G178" i="2"/>
  <c r="F178" i="2"/>
  <c r="F178" i="3" s="1"/>
  <c r="E178" i="2"/>
  <c r="D178" i="2"/>
  <c r="C178" i="2"/>
  <c r="B178" i="2"/>
  <c r="B178" i="3" s="1"/>
  <c r="A178" i="2"/>
  <c r="A178" i="3" s="1"/>
  <c r="S177" i="2"/>
  <c r="R177" i="2"/>
  <c r="G177" i="2"/>
  <c r="G177" i="3" s="1"/>
  <c r="F177" i="2"/>
  <c r="F177" i="3" s="1"/>
  <c r="E177" i="2"/>
  <c r="D177" i="2"/>
  <c r="D177" i="3" s="1"/>
  <c r="C177" i="2"/>
  <c r="B177" i="2"/>
  <c r="B177" i="3" s="1"/>
  <c r="A177" i="2"/>
  <c r="A177" i="3" s="1"/>
  <c r="U176" i="2"/>
  <c r="T176" i="2"/>
  <c r="G176" i="2"/>
  <c r="G176" i="3" s="1"/>
  <c r="F176" i="2"/>
  <c r="F176" i="3" s="1"/>
  <c r="E176" i="2"/>
  <c r="E176" i="3" s="1"/>
  <c r="K176" i="3" s="1"/>
  <c r="D176" i="2"/>
  <c r="D176" i="3" s="1"/>
  <c r="C176" i="2"/>
  <c r="B176" i="2"/>
  <c r="B176" i="3" s="1"/>
  <c r="A176" i="2"/>
  <c r="A176" i="3" s="1"/>
  <c r="S175" i="2"/>
  <c r="G175" i="2"/>
  <c r="G175" i="3" s="1"/>
  <c r="F175" i="2"/>
  <c r="E175" i="2"/>
  <c r="D175" i="2"/>
  <c r="D175" i="3" s="1"/>
  <c r="C175" i="2"/>
  <c r="C175" i="3" s="1"/>
  <c r="B175" i="2"/>
  <c r="B175" i="3" s="1"/>
  <c r="A175" i="2"/>
  <c r="A175" i="3" s="1"/>
  <c r="U174" i="2"/>
  <c r="G174" i="2"/>
  <c r="F174" i="2"/>
  <c r="F174" i="3" s="1"/>
  <c r="E174" i="2"/>
  <c r="T174" i="2" s="1"/>
  <c r="D174" i="2"/>
  <c r="C174" i="2"/>
  <c r="B174" i="2"/>
  <c r="B174" i="3" s="1"/>
  <c r="A174" i="2"/>
  <c r="A174" i="3" s="1"/>
  <c r="T173" i="2"/>
  <c r="S173" i="2"/>
  <c r="R173" i="2"/>
  <c r="G173" i="2"/>
  <c r="G173" i="3" s="1"/>
  <c r="F173" i="2"/>
  <c r="F173" i="3" s="1"/>
  <c r="E173" i="2"/>
  <c r="D173" i="2"/>
  <c r="D173" i="3" s="1"/>
  <c r="C173" i="2"/>
  <c r="B173" i="2"/>
  <c r="B173" i="3" s="1"/>
  <c r="A173" i="2"/>
  <c r="A173" i="3" s="1"/>
  <c r="U172" i="2"/>
  <c r="T172" i="2"/>
  <c r="R172" i="2"/>
  <c r="G172" i="2"/>
  <c r="G172" i="3" s="1"/>
  <c r="F172" i="2"/>
  <c r="F172" i="3" s="1"/>
  <c r="E172" i="2"/>
  <c r="E172" i="3" s="1"/>
  <c r="K172" i="3" s="1"/>
  <c r="D172" i="2"/>
  <c r="D172" i="3" s="1"/>
  <c r="C172" i="2"/>
  <c r="B172" i="2"/>
  <c r="B172" i="3" s="1"/>
  <c r="A172" i="2"/>
  <c r="A172" i="3" s="1"/>
  <c r="S171" i="2"/>
  <c r="R171" i="2"/>
  <c r="G171" i="2"/>
  <c r="G171" i="3" s="1"/>
  <c r="F171" i="2"/>
  <c r="E171" i="2"/>
  <c r="E171" i="3" s="1"/>
  <c r="D171" i="2"/>
  <c r="D171" i="3" s="1"/>
  <c r="C171" i="2"/>
  <c r="B171" i="2"/>
  <c r="B171" i="3" s="1"/>
  <c r="A171" i="2"/>
  <c r="A171" i="3" s="1"/>
  <c r="U170" i="2"/>
  <c r="T170" i="2"/>
  <c r="R170" i="2"/>
  <c r="G170" i="2"/>
  <c r="G170" i="3" s="1"/>
  <c r="F170" i="2"/>
  <c r="F170" i="3" s="1"/>
  <c r="E170" i="2"/>
  <c r="D170" i="2"/>
  <c r="C170" i="2"/>
  <c r="B170" i="2"/>
  <c r="B170" i="3" s="1"/>
  <c r="A170" i="2"/>
  <c r="A170" i="3" s="1"/>
  <c r="S169" i="2"/>
  <c r="R169" i="2"/>
  <c r="G169" i="2"/>
  <c r="G169" i="3" s="1"/>
  <c r="F169" i="2"/>
  <c r="F169" i="3" s="1"/>
  <c r="E169" i="2"/>
  <c r="D169" i="2"/>
  <c r="D169" i="3" s="1"/>
  <c r="C169" i="2"/>
  <c r="B169" i="2"/>
  <c r="B169" i="3" s="1"/>
  <c r="A169" i="2"/>
  <c r="A169" i="3" s="1"/>
  <c r="U168" i="2"/>
  <c r="T168" i="2"/>
  <c r="G168" i="2"/>
  <c r="G168" i="3" s="1"/>
  <c r="F168" i="2"/>
  <c r="F168" i="3" s="1"/>
  <c r="E168" i="2"/>
  <c r="D168" i="2"/>
  <c r="C168" i="2"/>
  <c r="C168" i="3" s="1"/>
  <c r="B168" i="2"/>
  <c r="B168" i="3" s="1"/>
  <c r="A168" i="2"/>
  <c r="A168" i="3" s="1"/>
  <c r="T167" i="2"/>
  <c r="S167" i="2"/>
  <c r="G167" i="2"/>
  <c r="G167" i="3" s="1"/>
  <c r="F167" i="2"/>
  <c r="E167" i="2"/>
  <c r="E167" i="3" s="1"/>
  <c r="D167" i="2"/>
  <c r="D167" i="3" s="1"/>
  <c r="C167" i="2"/>
  <c r="B167" i="2"/>
  <c r="B167" i="3" s="1"/>
  <c r="A167" i="2"/>
  <c r="A167" i="3" s="1"/>
  <c r="U166" i="2"/>
  <c r="G166" i="2"/>
  <c r="G166" i="3" s="1"/>
  <c r="F166" i="2"/>
  <c r="F166" i="3" s="1"/>
  <c r="E166" i="2"/>
  <c r="D166" i="2"/>
  <c r="C166" i="2"/>
  <c r="C166" i="3" s="1"/>
  <c r="B166" i="2"/>
  <c r="B166" i="3" s="1"/>
  <c r="A166" i="2"/>
  <c r="A166" i="3" s="1"/>
  <c r="S165" i="2"/>
  <c r="R165" i="2"/>
  <c r="G165" i="2"/>
  <c r="G165" i="3" s="1"/>
  <c r="F165" i="2"/>
  <c r="E165" i="2"/>
  <c r="E165" i="3" s="1"/>
  <c r="D165" i="2"/>
  <c r="D165" i="3" s="1"/>
  <c r="C165" i="2"/>
  <c r="B165" i="2"/>
  <c r="B165" i="3" s="1"/>
  <c r="A165" i="2"/>
  <c r="A165" i="3" s="1"/>
  <c r="U164" i="2"/>
  <c r="T164" i="2"/>
  <c r="G164" i="2"/>
  <c r="G164" i="3" s="1"/>
  <c r="F164" i="2"/>
  <c r="F164" i="3" s="1"/>
  <c r="E164" i="2"/>
  <c r="D164" i="2"/>
  <c r="C164" i="2"/>
  <c r="C164" i="3" s="1"/>
  <c r="B164" i="2"/>
  <c r="B164" i="3" s="1"/>
  <c r="A164" i="2"/>
  <c r="A164" i="3" s="1"/>
  <c r="T163" i="2"/>
  <c r="S163" i="2"/>
  <c r="G163" i="2"/>
  <c r="G163" i="3" s="1"/>
  <c r="F163" i="2"/>
  <c r="E163" i="2"/>
  <c r="E163" i="3" s="1"/>
  <c r="D163" i="2"/>
  <c r="D163" i="3" s="1"/>
  <c r="C163" i="2"/>
  <c r="B163" i="2"/>
  <c r="B163" i="3" s="1"/>
  <c r="A163" i="2"/>
  <c r="A163" i="3" s="1"/>
  <c r="U162" i="2"/>
  <c r="G162" i="2"/>
  <c r="G162" i="3" s="1"/>
  <c r="F162" i="2"/>
  <c r="F162" i="3" s="1"/>
  <c r="E162" i="2"/>
  <c r="D162" i="2"/>
  <c r="C162" i="2"/>
  <c r="C162" i="3" s="1"/>
  <c r="B162" i="2"/>
  <c r="B162" i="3" s="1"/>
  <c r="A162" i="2"/>
  <c r="A162" i="3" s="1"/>
  <c r="S161" i="2"/>
  <c r="R161" i="2"/>
  <c r="G161" i="2"/>
  <c r="G161" i="3" s="1"/>
  <c r="F161" i="2"/>
  <c r="E161" i="2"/>
  <c r="E161" i="3" s="1"/>
  <c r="D161" i="2"/>
  <c r="D161" i="3" s="1"/>
  <c r="C161" i="2"/>
  <c r="B161" i="2"/>
  <c r="B161" i="3" s="1"/>
  <c r="A161" i="2"/>
  <c r="A161" i="3" s="1"/>
  <c r="U160" i="2"/>
  <c r="T160" i="2"/>
  <c r="G160" i="2"/>
  <c r="G160" i="3" s="1"/>
  <c r="F160" i="2"/>
  <c r="F160" i="3" s="1"/>
  <c r="E160" i="2"/>
  <c r="D160" i="2"/>
  <c r="C160" i="2"/>
  <c r="C160" i="3" s="1"/>
  <c r="B160" i="2"/>
  <c r="B160" i="3" s="1"/>
  <c r="A160" i="2"/>
  <c r="A160" i="3" s="1"/>
  <c r="T159" i="2"/>
  <c r="S159" i="2"/>
  <c r="G159" i="2"/>
  <c r="G159" i="3" s="1"/>
  <c r="F159" i="2"/>
  <c r="E159" i="2"/>
  <c r="E159" i="3" s="1"/>
  <c r="D159" i="2"/>
  <c r="D159" i="3" s="1"/>
  <c r="C159" i="2"/>
  <c r="B159" i="2"/>
  <c r="B159" i="3" s="1"/>
  <c r="A159" i="2"/>
  <c r="A159" i="3" s="1"/>
  <c r="U158" i="2"/>
  <c r="G158" i="2"/>
  <c r="G158" i="3" s="1"/>
  <c r="F158" i="2"/>
  <c r="F158" i="3" s="1"/>
  <c r="E158" i="2"/>
  <c r="D158" i="2"/>
  <c r="C158" i="2"/>
  <c r="C158" i="3" s="1"/>
  <c r="B158" i="2"/>
  <c r="B158" i="3" s="1"/>
  <c r="A158" i="2"/>
  <c r="A158" i="3" s="1"/>
  <c r="S157" i="2"/>
  <c r="R157" i="2"/>
  <c r="G157" i="2"/>
  <c r="G157" i="3" s="1"/>
  <c r="F157" i="2"/>
  <c r="E157" i="2"/>
  <c r="E157" i="3" s="1"/>
  <c r="D157" i="2"/>
  <c r="D157" i="3" s="1"/>
  <c r="C157" i="2"/>
  <c r="B157" i="2"/>
  <c r="B157" i="3" s="1"/>
  <c r="A157" i="2"/>
  <c r="A157" i="3" s="1"/>
  <c r="U156" i="2"/>
  <c r="T156" i="2"/>
  <c r="G156" i="2"/>
  <c r="G156" i="3" s="1"/>
  <c r="F156" i="2"/>
  <c r="F156" i="3" s="1"/>
  <c r="E156" i="2"/>
  <c r="D156" i="2"/>
  <c r="C156" i="2"/>
  <c r="C156" i="3" s="1"/>
  <c r="B156" i="2"/>
  <c r="B156" i="3" s="1"/>
  <c r="A156" i="2"/>
  <c r="A156" i="3" s="1"/>
  <c r="T155" i="2"/>
  <c r="S155" i="2"/>
  <c r="G155" i="2"/>
  <c r="G155" i="3" s="1"/>
  <c r="F155" i="2"/>
  <c r="E155" i="2"/>
  <c r="E155" i="3" s="1"/>
  <c r="D155" i="2"/>
  <c r="D155" i="3" s="1"/>
  <c r="C155" i="2"/>
  <c r="B155" i="2"/>
  <c r="B155" i="3" s="1"/>
  <c r="A155" i="2"/>
  <c r="A155" i="3" s="1"/>
  <c r="U154" i="2"/>
  <c r="G154" i="2"/>
  <c r="G154" i="3" s="1"/>
  <c r="F154" i="2"/>
  <c r="F154" i="3" s="1"/>
  <c r="E154" i="2"/>
  <c r="D154" i="2"/>
  <c r="C154" i="2"/>
  <c r="C154" i="3" s="1"/>
  <c r="B154" i="2"/>
  <c r="B154" i="3" s="1"/>
  <c r="A154" i="2"/>
  <c r="A154" i="3" s="1"/>
  <c r="S153" i="2"/>
  <c r="R153" i="2"/>
  <c r="G153" i="2"/>
  <c r="G153" i="3" s="1"/>
  <c r="F153" i="2"/>
  <c r="E153" i="2"/>
  <c r="E153" i="3" s="1"/>
  <c r="D153" i="2"/>
  <c r="D153" i="3" s="1"/>
  <c r="C153" i="2"/>
  <c r="B153" i="2"/>
  <c r="B153" i="3" s="1"/>
  <c r="A153" i="2"/>
  <c r="A153" i="3" s="1"/>
  <c r="U152" i="2"/>
  <c r="T152" i="2"/>
  <c r="G152" i="2"/>
  <c r="G152" i="3" s="1"/>
  <c r="F152" i="2"/>
  <c r="F152" i="3" s="1"/>
  <c r="E152" i="2"/>
  <c r="D152" i="2"/>
  <c r="C152" i="2"/>
  <c r="C152" i="3" s="1"/>
  <c r="B152" i="2"/>
  <c r="B152" i="3" s="1"/>
  <c r="A152" i="2"/>
  <c r="A152" i="3" s="1"/>
  <c r="T151" i="2"/>
  <c r="S151" i="2"/>
  <c r="G151" i="2"/>
  <c r="G151" i="3" s="1"/>
  <c r="F151" i="2"/>
  <c r="E151" i="2"/>
  <c r="E151" i="3" s="1"/>
  <c r="D151" i="2"/>
  <c r="D151" i="3" s="1"/>
  <c r="C151" i="2"/>
  <c r="B151" i="2"/>
  <c r="B151" i="3" s="1"/>
  <c r="A151" i="2"/>
  <c r="A151" i="3" s="1"/>
  <c r="U150" i="2"/>
  <c r="G150" i="2"/>
  <c r="G150" i="3" s="1"/>
  <c r="F150" i="2"/>
  <c r="F150" i="3" s="1"/>
  <c r="E150" i="2"/>
  <c r="D150" i="2"/>
  <c r="C150" i="2"/>
  <c r="C150" i="3" s="1"/>
  <c r="B150" i="2"/>
  <c r="B150" i="3" s="1"/>
  <c r="A150" i="2"/>
  <c r="A150" i="3" s="1"/>
  <c r="S149" i="2"/>
  <c r="R149" i="2"/>
  <c r="G149" i="2"/>
  <c r="G149" i="3" s="1"/>
  <c r="F149" i="2"/>
  <c r="E149" i="2"/>
  <c r="E149" i="3" s="1"/>
  <c r="D149" i="2"/>
  <c r="D149" i="3" s="1"/>
  <c r="C149" i="2"/>
  <c r="B149" i="2"/>
  <c r="B149" i="3" s="1"/>
  <c r="A149" i="2"/>
  <c r="A149" i="3" s="1"/>
  <c r="U148" i="2"/>
  <c r="T148" i="2"/>
  <c r="G148" i="2"/>
  <c r="G148" i="3" s="1"/>
  <c r="F148" i="2"/>
  <c r="F148" i="3" s="1"/>
  <c r="E148" i="2"/>
  <c r="D148" i="2"/>
  <c r="C148" i="2"/>
  <c r="C148" i="3" s="1"/>
  <c r="B148" i="2"/>
  <c r="B148" i="3" s="1"/>
  <c r="A148" i="2"/>
  <c r="A148" i="3" s="1"/>
  <c r="T147" i="2"/>
  <c r="S147" i="2"/>
  <c r="G147" i="2"/>
  <c r="G147" i="3" s="1"/>
  <c r="F147" i="2"/>
  <c r="E147" i="2"/>
  <c r="E147" i="3" s="1"/>
  <c r="D147" i="2"/>
  <c r="D147" i="3" s="1"/>
  <c r="C147" i="2"/>
  <c r="B147" i="2"/>
  <c r="B147" i="3" s="1"/>
  <c r="A147" i="2"/>
  <c r="A147" i="3" s="1"/>
  <c r="U146" i="2"/>
  <c r="G146" i="2"/>
  <c r="G146" i="3" s="1"/>
  <c r="F146" i="2"/>
  <c r="F146" i="3" s="1"/>
  <c r="E146" i="2"/>
  <c r="D146" i="2"/>
  <c r="C146" i="2"/>
  <c r="C146" i="3" s="1"/>
  <c r="B146" i="2"/>
  <c r="B146" i="3" s="1"/>
  <c r="A146" i="2"/>
  <c r="A146" i="3" s="1"/>
  <c r="S145" i="2"/>
  <c r="R145" i="2"/>
  <c r="G145" i="2"/>
  <c r="G145" i="3" s="1"/>
  <c r="F145" i="2"/>
  <c r="E145" i="2"/>
  <c r="E145" i="3" s="1"/>
  <c r="D145" i="2"/>
  <c r="D145" i="3" s="1"/>
  <c r="C145" i="2"/>
  <c r="B145" i="2"/>
  <c r="B145" i="3" s="1"/>
  <c r="A145" i="2"/>
  <c r="A145" i="3" s="1"/>
  <c r="U144" i="2"/>
  <c r="T144" i="2"/>
  <c r="G144" i="2"/>
  <c r="G144" i="3" s="1"/>
  <c r="F144" i="2"/>
  <c r="F144" i="3" s="1"/>
  <c r="E144" i="2"/>
  <c r="D144" i="2"/>
  <c r="C144" i="2"/>
  <c r="C144" i="3" s="1"/>
  <c r="B144" i="2"/>
  <c r="B144" i="3" s="1"/>
  <c r="A144" i="2"/>
  <c r="A144" i="3" s="1"/>
  <c r="T143" i="2"/>
  <c r="S143" i="2"/>
  <c r="G143" i="2"/>
  <c r="G143" i="3" s="1"/>
  <c r="F143" i="2"/>
  <c r="E143" i="2"/>
  <c r="E143" i="3" s="1"/>
  <c r="D143" i="2"/>
  <c r="D143" i="3" s="1"/>
  <c r="C143" i="2"/>
  <c r="B143" i="2"/>
  <c r="B143" i="3" s="1"/>
  <c r="A143" i="2"/>
  <c r="A143" i="3" s="1"/>
  <c r="U142" i="2"/>
  <c r="G142" i="2"/>
  <c r="G142" i="3" s="1"/>
  <c r="F142" i="2"/>
  <c r="F142" i="3" s="1"/>
  <c r="E142" i="2"/>
  <c r="D142" i="2"/>
  <c r="C142" i="2"/>
  <c r="C142" i="3" s="1"/>
  <c r="B142" i="2"/>
  <c r="B142" i="3" s="1"/>
  <c r="A142" i="2"/>
  <c r="A142" i="3" s="1"/>
  <c r="S141" i="2"/>
  <c r="R141" i="2"/>
  <c r="G141" i="2"/>
  <c r="G141" i="3" s="1"/>
  <c r="F141" i="2"/>
  <c r="E141" i="2"/>
  <c r="E141" i="3" s="1"/>
  <c r="D141" i="2"/>
  <c r="D141" i="3" s="1"/>
  <c r="C141" i="2"/>
  <c r="B141" i="2"/>
  <c r="B141" i="3" s="1"/>
  <c r="A141" i="2"/>
  <c r="A141" i="3" s="1"/>
  <c r="U140" i="2"/>
  <c r="T140" i="2"/>
  <c r="G140" i="2"/>
  <c r="G140" i="3" s="1"/>
  <c r="F140" i="2"/>
  <c r="F140" i="3" s="1"/>
  <c r="E140" i="2"/>
  <c r="D140" i="2"/>
  <c r="C140" i="2"/>
  <c r="C140" i="3" s="1"/>
  <c r="B140" i="2"/>
  <c r="B140" i="3" s="1"/>
  <c r="A140" i="2"/>
  <c r="A140" i="3" s="1"/>
  <c r="T139" i="2"/>
  <c r="S139" i="2"/>
  <c r="G139" i="2"/>
  <c r="G139" i="3" s="1"/>
  <c r="F139" i="2"/>
  <c r="E139" i="2"/>
  <c r="E139" i="3" s="1"/>
  <c r="D139" i="2"/>
  <c r="D139" i="3" s="1"/>
  <c r="C139" i="2"/>
  <c r="B139" i="2"/>
  <c r="B139" i="3" s="1"/>
  <c r="A139" i="2"/>
  <c r="A139" i="3" s="1"/>
  <c r="U138" i="2"/>
  <c r="G138" i="2"/>
  <c r="G138" i="3" s="1"/>
  <c r="F138" i="2"/>
  <c r="F138" i="3" s="1"/>
  <c r="E138" i="2"/>
  <c r="D138" i="2"/>
  <c r="C138" i="2"/>
  <c r="C138" i="3" s="1"/>
  <c r="B138" i="2"/>
  <c r="B138" i="3" s="1"/>
  <c r="A138" i="2"/>
  <c r="A138" i="3" s="1"/>
  <c r="S137" i="2"/>
  <c r="R137" i="2"/>
  <c r="G137" i="2"/>
  <c r="G137" i="3" s="1"/>
  <c r="F137" i="2"/>
  <c r="E137" i="2"/>
  <c r="E137" i="3" s="1"/>
  <c r="D137" i="2"/>
  <c r="D137" i="3" s="1"/>
  <c r="C137" i="2"/>
  <c r="B137" i="2"/>
  <c r="B137" i="3" s="1"/>
  <c r="A137" i="2"/>
  <c r="A137" i="3" s="1"/>
  <c r="U136" i="2"/>
  <c r="T136" i="2"/>
  <c r="G136" i="2"/>
  <c r="G136" i="3" s="1"/>
  <c r="F136" i="2"/>
  <c r="F136" i="3" s="1"/>
  <c r="E136" i="2"/>
  <c r="D136" i="2"/>
  <c r="C136" i="2"/>
  <c r="C136" i="3" s="1"/>
  <c r="B136" i="2"/>
  <c r="B136" i="3" s="1"/>
  <c r="A136" i="2"/>
  <c r="A136" i="3" s="1"/>
  <c r="T135" i="2"/>
  <c r="S135" i="2"/>
  <c r="G135" i="2"/>
  <c r="G135" i="3" s="1"/>
  <c r="F135" i="2"/>
  <c r="E135" i="2"/>
  <c r="E135" i="3" s="1"/>
  <c r="D135" i="2"/>
  <c r="D135" i="3" s="1"/>
  <c r="C135" i="2"/>
  <c r="B135" i="2"/>
  <c r="B135" i="3" s="1"/>
  <c r="A135" i="2"/>
  <c r="A135" i="3" s="1"/>
  <c r="U134" i="2"/>
  <c r="G134" i="2"/>
  <c r="G134" i="3" s="1"/>
  <c r="F134" i="2"/>
  <c r="F134" i="3" s="1"/>
  <c r="E134" i="2"/>
  <c r="D134" i="2"/>
  <c r="C134" i="2"/>
  <c r="C134" i="3" s="1"/>
  <c r="B134" i="2"/>
  <c r="B134" i="3" s="1"/>
  <c r="A134" i="2"/>
  <c r="A134" i="3" s="1"/>
  <c r="S133" i="2"/>
  <c r="R133" i="2"/>
  <c r="G133" i="2"/>
  <c r="G133" i="3" s="1"/>
  <c r="F133" i="2"/>
  <c r="E133" i="2"/>
  <c r="E133" i="3" s="1"/>
  <c r="D133" i="2"/>
  <c r="D133" i="3" s="1"/>
  <c r="C133" i="2"/>
  <c r="B133" i="2"/>
  <c r="B133" i="3" s="1"/>
  <c r="A133" i="2"/>
  <c r="A133" i="3" s="1"/>
  <c r="U132" i="2"/>
  <c r="T132" i="2"/>
  <c r="G132" i="2"/>
  <c r="G132" i="3" s="1"/>
  <c r="F132" i="2"/>
  <c r="F132" i="3" s="1"/>
  <c r="E132" i="2"/>
  <c r="D132" i="2"/>
  <c r="C132" i="2"/>
  <c r="C132" i="3" s="1"/>
  <c r="B132" i="2"/>
  <c r="B132" i="3" s="1"/>
  <c r="A132" i="2"/>
  <c r="A132" i="3" s="1"/>
  <c r="T131" i="2"/>
  <c r="S131" i="2"/>
  <c r="G131" i="2"/>
  <c r="G131" i="3" s="1"/>
  <c r="F131" i="2"/>
  <c r="E131" i="2"/>
  <c r="E131" i="3" s="1"/>
  <c r="D131" i="2"/>
  <c r="D131" i="3" s="1"/>
  <c r="C131" i="2"/>
  <c r="B131" i="2"/>
  <c r="B131" i="3" s="1"/>
  <c r="A131" i="2"/>
  <c r="A131" i="3" s="1"/>
  <c r="U130" i="2"/>
  <c r="G130" i="2"/>
  <c r="G130" i="3" s="1"/>
  <c r="F130" i="2"/>
  <c r="F130" i="3" s="1"/>
  <c r="E130" i="2"/>
  <c r="D130" i="2"/>
  <c r="C130" i="2"/>
  <c r="C130" i="3" s="1"/>
  <c r="B130" i="2"/>
  <c r="B130" i="3" s="1"/>
  <c r="A130" i="2"/>
  <c r="A130" i="3" s="1"/>
  <c r="S129" i="2"/>
  <c r="R129" i="2"/>
  <c r="G129" i="2"/>
  <c r="G129" i="3" s="1"/>
  <c r="F129" i="2"/>
  <c r="E129" i="2"/>
  <c r="E129" i="3" s="1"/>
  <c r="D129" i="2"/>
  <c r="D129" i="3" s="1"/>
  <c r="C129" i="2"/>
  <c r="B129" i="2"/>
  <c r="B129" i="3" s="1"/>
  <c r="A129" i="2"/>
  <c r="A129" i="3" s="1"/>
  <c r="U128" i="2"/>
  <c r="T128" i="2"/>
  <c r="G128" i="2"/>
  <c r="G128" i="3" s="1"/>
  <c r="F128" i="2"/>
  <c r="F128" i="3" s="1"/>
  <c r="E128" i="2"/>
  <c r="D128" i="2"/>
  <c r="C128" i="2"/>
  <c r="C128" i="3" s="1"/>
  <c r="B128" i="2"/>
  <c r="B128" i="3" s="1"/>
  <c r="A128" i="2"/>
  <c r="A128" i="3" s="1"/>
  <c r="T127" i="2"/>
  <c r="S127" i="2"/>
  <c r="G127" i="2"/>
  <c r="G127" i="3" s="1"/>
  <c r="F127" i="2"/>
  <c r="E127" i="2"/>
  <c r="E127" i="3" s="1"/>
  <c r="D127" i="2"/>
  <c r="D127" i="3" s="1"/>
  <c r="C127" i="2"/>
  <c r="B127" i="2"/>
  <c r="B127" i="3" s="1"/>
  <c r="A127" i="2"/>
  <c r="A127" i="3" s="1"/>
  <c r="U126" i="2"/>
  <c r="G126" i="2"/>
  <c r="G126" i="3" s="1"/>
  <c r="F126" i="2"/>
  <c r="F126" i="3" s="1"/>
  <c r="E126" i="2"/>
  <c r="D126" i="2"/>
  <c r="C126" i="2"/>
  <c r="C126" i="3" s="1"/>
  <c r="B126" i="2"/>
  <c r="B126" i="3" s="1"/>
  <c r="A126" i="2"/>
  <c r="A126" i="3" s="1"/>
  <c r="S125" i="2"/>
  <c r="R125" i="2"/>
  <c r="G125" i="2"/>
  <c r="G125" i="3" s="1"/>
  <c r="F125" i="2"/>
  <c r="E125" i="2"/>
  <c r="E125" i="3" s="1"/>
  <c r="D125" i="2"/>
  <c r="D125" i="3" s="1"/>
  <c r="C125" i="2"/>
  <c r="B125" i="2"/>
  <c r="B125" i="3" s="1"/>
  <c r="A125" i="2"/>
  <c r="A125" i="3" s="1"/>
  <c r="U124" i="2"/>
  <c r="T124" i="2"/>
  <c r="S124" i="2"/>
  <c r="R124" i="2"/>
  <c r="G124" i="2"/>
  <c r="G124" i="3" s="1"/>
  <c r="F124" i="2"/>
  <c r="F124" i="3" s="1"/>
  <c r="E124" i="2"/>
  <c r="D124" i="2"/>
  <c r="D124" i="3" s="1"/>
  <c r="C124" i="2"/>
  <c r="C124" i="3" s="1"/>
  <c r="B124" i="2"/>
  <c r="B124" i="3" s="1"/>
  <c r="A124" i="2"/>
  <c r="A124" i="3" s="1"/>
  <c r="S123" i="2"/>
  <c r="G123" i="2"/>
  <c r="G123" i="3" s="1"/>
  <c r="F123" i="2"/>
  <c r="E123" i="2"/>
  <c r="E123" i="3" s="1"/>
  <c r="D123" i="2"/>
  <c r="D123" i="3" s="1"/>
  <c r="C123" i="2"/>
  <c r="C123" i="3" s="1"/>
  <c r="B123" i="2"/>
  <c r="B123" i="3" s="1"/>
  <c r="A123" i="2"/>
  <c r="A123" i="3" s="1"/>
  <c r="U122" i="2"/>
  <c r="T122" i="2"/>
  <c r="R122" i="2"/>
  <c r="G122" i="2"/>
  <c r="G122" i="3" s="1"/>
  <c r="F122" i="2"/>
  <c r="F122" i="3" s="1"/>
  <c r="E122" i="2"/>
  <c r="E122" i="3" s="1"/>
  <c r="K122" i="3" s="1"/>
  <c r="D122" i="2"/>
  <c r="C122" i="2"/>
  <c r="C122" i="3" s="1"/>
  <c r="B122" i="2"/>
  <c r="B122" i="3" s="1"/>
  <c r="A122" i="2"/>
  <c r="A122" i="3" s="1"/>
  <c r="G121" i="2"/>
  <c r="G121" i="3" s="1"/>
  <c r="F121" i="2"/>
  <c r="E121" i="2"/>
  <c r="E121" i="3" s="1"/>
  <c r="D121" i="2"/>
  <c r="D121" i="3" s="1"/>
  <c r="C121" i="2"/>
  <c r="B121" i="2"/>
  <c r="B121" i="3" s="1"/>
  <c r="A121" i="2"/>
  <c r="A121" i="3" s="1"/>
  <c r="U120" i="2"/>
  <c r="T120" i="2"/>
  <c r="S120" i="2"/>
  <c r="R120" i="2"/>
  <c r="G120" i="2"/>
  <c r="G120" i="3" s="1"/>
  <c r="F120" i="2"/>
  <c r="F120" i="3" s="1"/>
  <c r="E120" i="2"/>
  <c r="D120" i="2"/>
  <c r="D120" i="3" s="1"/>
  <c r="C120" i="2"/>
  <c r="C120" i="3" s="1"/>
  <c r="B120" i="2"/>
  <c r="B120" i="3" s="1"/>
  <c r="A120" i="2"/>
  <c r="A120" i="3" s="1"/>
  <c r="S119" i="2"/>
  <c r="G119" i="2"/>
  <c r="G119" i="3" s="1"/>
  <c r="F119" i="2"/>
  <c r="E119" i="2"/>
  <c r="E119" i="3" s="1"/>
  <c r="D119" i="2"/>
  <c r="D119" i="3" s="1"/>
  <c r="C119" i="2"/>
  <c r="C119" i="3" s="1"/>
  <c r="B119" i="2"/>
  <c r="B119" i="3" s="1"/>
  <c r="A119" i="2"/>
  <c r="A119" i="3" s="1"/>
  <c r="U118" i="2"/>
  <c r="T118" i="2"/>
  <c r="R118" i="2"/>
  <c r="G118" i="2"/>
  <c r="G118" i="3" s="1"/>
  <c r="F118" i="2"/>
  <c r="F118" i="3" s="1"/>
  <c r="E118" i="2"/>
  <c r="E118" i="3" s="1"/>
  <c r="K118" i="3" s="1"/>
  <c r="D118" i="2"/>
  <c r="C118" i="2"/>
  <c r="C118" i="3" s="1"/>
  <c r="B118" i="2"/>
  <c r="B118" i="3" s="1"/>
  <c r="A118" i="2"/>
  <c r="A118" i="3" s="1"/>
  <c r="G117" i="2"/>
  <c r="G117" i="3" s="1"/>
  <c r="F117" i="2"/>
  <c r="E117" i="2"/>
  <c r="E117" i="3" s="1"/>
  <c r="D117" i="2"/>
  <c r="D117" i="3" s="1"/>
  <c r="C117" i="2"/>
  <c r="B117" i="2"/>
  <c r="B117" i="3" s="1"/>
  <c r="A117" i="2"/>
  <c r="A117" i="3" s="1"/>
  <c r="U116" i="2"/>
  <c r="T116" i="2"/>
  <c r="S116" i="2"/>
  <c r="R116" i="2"/>
  <c r="G116" i="2"/>
  <c r="G116" i="3" s="1"/>
  <c r="F116" i="2"/>
  <c r="F116" i="3" s="1"/>
  <c r="E116" i="2"/>
  <c r="D116" i="2"/>
  <c r="D116" i="3" s="1"/>
  <c r="C116" i="2"/>
  <c r="C116" i="3" s="1"/>
  <c r="B116" i="2"/>
  <c r="B116" i="3" s="1"/>
  <c r="A116" i="2"/>
  <c r="A116" i="3" s="1"/>
  <c r="S115" i="2"/>
  <c r="G115" i="2"/>
  <c r="G115" i="3" s="1"/>
  <c r="F115" i="2"/>
  <c r="E115" i="2"/>
  <c r="E115" i="3" s="1"/>
  <c r="D115" i="2"/>
  <c r="D115" i="3" s="1"/>
  <c r="C115" i="2"/>
  <c r="C115" i="3" s="1"/>
  <c r="B115" i="2"/>
  <c r="B115" i="3" s="1"/>
  <c r="A115" i="2"/>
  <c r="A115" i="3" s="1"/>
  <c r="U114" i="2"/>
  <c r="T114" i="2"/>
  <c r="R114" i="2"/>
  <c r="G114" i="2"/>
  <c r="G114" i="3" s="1"/>
  <c r="F114" i="2"/>
  <c r="F114" i="3" s="1"/>
  <c r="E114" i="2"/>
  <c r="E114" i="3" s="1"/>
  <c r="K114" i="3" s="1"/>
  <c r="D114" i="2"/>
  <c r="C114" i="2"/>
  <c r="C114" i="3" s="1"/>
  <c r="B114" i="2"/>
  <c r="B114" i="3" s="1"/>
  <c r="A114" i="2"/>
  <c r="A114" i="3" s="1"/>
  <c r="G113" i="2"/>
  <c r="G113" i="3" s="1"/>
  <c r="F113" i="2"/>
  <c r="E113" i="2"/>
  <c r="E113" i="3" s="1"/>
  <c r="D113" i="2"/>
  <c r="D113" i="3" s="1"/>
  <c r="C113" i="2"/>
  <c r="B113" i="2"/>
  <c r="B113" i="3" s="1"/>
  <c r="A113" i="2"/>
  <c r="A113" i="3" s="1"/>
  <c r="U112" i="2"/>
  <c r="T112" i="2"/>
  <c r="S112" i="2"/>
  <c r="R112" i="2"/>
  <c r="G112" i="2"/>
  <c r="G112" i="3" s="1"/>
  <c r="F112" i="2"/>
  <c r="F112" i="3" s="1"/>
  <c r="E112" i="2"/>
  <c r="D112" i="2"/>
  <c r="D112" i="3" s="1"/>
  <c r="C112" i="2"/>
  <c r="C112" i="3" s="1"/>
  <c r="B112" i="2"/>
  <c r="B112" i="3" s="1"/>
  <c r="A112" i="2"/>
  <c r="A112" i="3" s="1"/>
  <c r="T111" i="2"/>
  <c r="G111" i="2"/>
  <c r="G111" i="3" s="1"/>
  <c r="F111" i="2"/>
  <c r="F111" i="3" s="1"/>
  <c r="E111" i="2"/>
  <c r="E111" i="3" s="1"/>
  <c r="D111" i="2"/>
  <c r="D111" i="3" s="1"/>
  <c r="C111" i="2"/>
  <c r="C111" i="3" s="1"/>
  <c r="B111" i="2"/>
  <c r="B111" i="3" s="1"/>
  <c r="A111" i="2"/>
  <c r="A111" i="3" s="1"/>
  <c r="U110" i="2"/>
  <c r="R110" i="2"/>
  <c r="G110" i="2"/>
  <c r="G110" i="3" s="1"/>
  <c r="F110" i="2"/>
  <c r="F110" i="3" s="1"/>
  <c r="E110" i="2"/>
  <c r="E110" i="3" s="1"/>
  <c r="K110" i="3" s="1"/>
  <c r="D110" i="2"/>
  <c r="D110" i="3" s="1"/>
  <c r="C110" i="2"/>
  <c r="C110" i="3" s="1"/>
  <c r="B110" i="2"/>
  <c r="B110" i="3" s="1"/>
  <c r="A110" i="2"/>
  <c r="A110" i="3" s="1"/>
  <c r="U109" i="2"/>
  <c r="T109" i="2"/>
  <c r="S109" i="2"/>
  <c r="G109" i="2"/>
  <c r="G109" i="3" s="1"/>
  <c r="F109" i="2"/>
  <c r="F109" i="3" s="1"/>
  <c r="E109" i="2"/>
  <c r="E109" i="3" s="1"/>
  <c r="K109" i="3" s="1"/>
  <c r="D109" i="2"/>
  <c r="D109" i="3" s="1"/>
  <c r="C109" i="2"/>
  <c r="C109" i="3" s="1"/>
  <c r="B109" i="2"/>
  <c r="B109" i="3" s="1"/>
  <c r="A109" i="2"/>
  <c r="A109" i="3" s="1"/>
  <c r="S108" i="2"/>
  <c r="R108" i="2"/>
  <c r="G108" i="2"/>
  <c r="G108" i="3" s="1"/>
  <c r="F108" i="2"/>
  <c r="F108" i="3" s="1"/>
  <c r="E108" i="2"/>
  <c r="E108" i="3" s="1"/>
  <c r="K108" i="3" s="1"/>
  <c r="D108" i="2"/>
  <c r="D108" i="3" s="1"/>
  <c r="C108" i="2"/>
  <c r="C108" i="3" s="1"/>
  <c r="B108" i="2"/>
  <c r="B108" i="3" s="1"/>
  <c r="A108" i="2"/>
  <c r="A108" i="3" s="1"/>
  <c r="T107" i="2"/>
  <c r="G107" i="2"/>
  <c r="G107" i="3" s="1"/>
  <c r="F107" i="2"/>
  <c r="F107" i="3" s="1"/>
  <c r="E107" i="2"/>
  <c r="E107" i="3" s="1"/>
  <c r="D107" i="2"/>
  <c r="D107" i="3" s="1"/>
  <c r="C107" i="2"/>
  <c r="C107" i="3" s="1"/>
  <c r="B107" i="2"/>
  <c r="B107" i="3" s="1"/>
  <c r="A107" i="2"/>
  <c r="A107" i="3" s="1"/>
  <c r="U106" i="2"/>
  <c r="R106" i="2"/>
  <c r="G106" i="2"/>
  <c r="G106" i="3" s="1"/>
  <c r="F106" i="2"/>
  <c r="F106" i="3" s="1"/>
  <c r="E106" i="2"/>
  <c r="E106" i="3" s="1"/>
  <c r="K106" i="3" s="1"/>
  <c r="D106" i="2"/>
  <c r="D106" i="3" s="1"/>
  <c r="C106" i="2"/>
  <c r="C106" i="3" s="1"/>
  <c r="B106" i="2"/>
  <c r="B106" i="3" s="1"/>
  <c r="A106" i="2"/>
  <c r="A106" i="3" s="1"/>
  <c r="U105" i="2"/>
  <c r="T105" i="2"/>
  <c r="S105" i="2"/>
  <c r="G105" i="2"/>
  <c r="G105" i="3" s="1"/>
  <c r="F105" i="2"/>
  <c r="F105" i="3" s="1"/>
  <c r="E105" i="2"/>
  <c r="E105" i="3" s="1"/>
  <c r="K105" i="3" s="1"/>
  <c r="D105" i="2"/>
  <c r="D105" i="3" s="1"/>
  <c r="C105" i="2"/>
  <c r="C105" i="3" s="1"/>
  <c r="B105" i="2"/>
  <c r="B105" i="3" s="1"/>
  <c r="A105" i="2"/>
  <c r="A105" i="3" s="1"/>
  <c r="S104" i="2"/>
  <c r="R104" i="2"/>
  <c r="G104" i="2"/>
  <c r="G104" i="3" s="1"/>
  <c r="F104" i="2"/>
  <c r="F104" i="3" s="1"/>
  <c r="E104" i="2"/>
  <c r="E104" i="3" s="1"/>
  <c r="K104" i="3" s="1"/>
  <c r="D104" i="2"/>
  <c r="D104" i="3" s="1"/>
  <c r="C104" i="2"/>
  <c r="C104" i="3" s="1"/>
  <c r="B104" i="2"/>
  <c r="B104" i="3" s="1"/>
  <c r="A104" i="2"/>
  <c r="A104" i="3" s="1"/>
  <c r="T103" i="2"/>
  <c r="G103" i="2"/>
  <c r="G103" i="3" s="1"/>
  <c r="F103" i="2"/>
  <c r="F103" i="3" s="1"/>
  <c r="E103" i="2"/>
  <c r="E103" i="3" s="1"/>
  <c r="D103" i="2"/>
  <c r="D103" i="3" s="1"/>
  <c r="C103" i="2"/>
  <c r="C103" i="3" s="1"/>
  <c r="B103" i="2"/>
  <c r="B103" i="3" s="1"/>
  <c r="A103" i="2"/>
  <c r="A103" i="3" s="1"/>
  <c r="U102" i="2"/>
  <c r="R102" i="2"/>
  <c r="G102" i="2"/>
  <c r="G102" i="3" s="1"/>
  <c r="F102" i="2"/>
  <c r="F102" i="3" s="1"/>
  <c r="E102" i="2"/>
  <c r="E102" i="3" s="1"/>
  <c r="K102" i="3" s="1"/>
  <c r="D102" i="2"/>
  <c r="D102" i="3" s="1"/>
  <c r="C102" i="2"/>
  <c r="C102" i="3" s="1"/>
  <c r="B102" i="2"/>
  <c r="B102" i="3" s="1"/>
  <c r="A102" i="2"/>
  <c r="A102" i="3" s="1"/>
  <c r="U101" i="2"/>
  <c r="T101" i="2"/>
  <c r="S101" i="2"/>
  <c r="G101" i="2"/>
  <c r="G101" i="3" s="1"/>
  <c r="F101" i="2"/>
  <c r="F101" i="3" s="1"/>
  <c r="E101" i="2"/>
  <c r="E101" i="3" s="1"/>
  <c r="K101" i="3" s="1"/>
  <c r="D101" i="2"/>
  <c r="D101" i="3" s="1"/>
  <c r="C101" i="2"/>
  <c r="C101" i="3" s="1"/>
  <c r="B101" i="2"/>
  <c r="B101" i="3" s="1"/>
  <c r="A101" i="2"/>
  <c r="A101" i="3" s="1"/>
  <c r="S100" i="2"/>
  <c r="R100" i="2"/>
  <c r="G100" i="2"/>
  <c r="G100" i="3" s="1"/>
  <c r="F100" i="2"/>
  <c r="F100" i="3" s="1"/>
  <c r="E100" i="2"/>
  <c r="E100" i="3" s="1"/>
  <c r="K100" i="3" s="1"/>
  <c r="D100" i="2"/>
  <c r="D100" i="3" s="1"/>
  <c r="C100" i="2"/>
  <c r="C100" i="3" s="1"/>
  <c r="B100" i="2"/>
  <c r="B100" i="3" s="1"/>
  <c r="A100" i="2"/>
  <c r="A100" i="3" s="1"/>
  <c r="T99" i="2"/>
  <c r="G99" i="2"/>
  <c r="G99" i="3" s="1"/>
  <c r="F99" i="2"/>
  <c r="F99" i="3" s="1"/>
  <c r="E99" i="2"/>
  <c r="E99" i="3" s="1"/>
  <c r="D99" i="2"/>
  <c r="D99" i="3" s="1"/>
  <c r="C99" i="2"/>
  <c r="C99" i="3" s="1"/>
  <c r="B99" i="2"/>
  <c r="B99" i="3" s="1"/>
  <c r="A99" i="2"/>
  <c r="A99" i="3" s="1"/>
  <c r="U98" i="2"/>
  <c r="R98" i="2"/>
  <c r="G98" i="2"/>
  <c r="G98" i="3" s="1"/>
  <c r="F98" i="2"/>
  <c r="F98" i="3" s="1"/>
  <c r="E98" i="2"/>
  <c r="E98" i="3" s="1"/>
  <c r="K98" i="3" s="1"/>
  <c r="D98" i="2"/>
  <c r="D98" i="3" s="1"/>
  <c r="C98" i="2"/>
  <c r="C98" i="3" s="1"/>
  <c r="B98" i="2"/>
  <c r="B98" i="3" s="1"/>
  <c r="A98" i="2"/>
  <c r="A98" i="3" s="1"/>
  <c r="U97" i="2"/>
  <c r="T97" i="2"/>
  <c r="S97" i="2"/>
  <c r="G97" i="2"/>
  <c r="G97" i="3" s="1"/>
  <c r="F97" i="2"/>
  <c r="F97" i="3" s="1"/>
  <c r="E97" i="2"/>
  <c r="E97" i="3" s="1"/>
  <c r="K97" i="3" s="1"/>
  <c r="D97" i="2"/>
  <c r="D97" i="3" s="1"/>
  <c r="C97" i="2"/>
  <c r="C97" i="3" s="1"/>
  <c r="B97" i="2"/>
  <c r="B97" i="3" s="1"/>
  <c r="A97" i="2"/>
  <c r="A97" i="3" s="1"/>
  <c r="S96" i="2"/>
  <c r="R96" i="2"/>
  <c r="G96" i="2"/>
  <c r="G96" i="3" s="1"/>
  <c r="F96" i="2"/>
  <c r="F96" i="3" s="1"/>
  <c r="E96" i="2"/>
  <c r="E96" i="3" s="1"/>
  <c r="K96" i="3" s="1"/>
  <c r="D96" i="2"/>
  <c r="D96" i="3" s="1"/>
  <c r="C96" i="2"/>
  <c r="C96" i="3" s="1"/>
  <c r="B96" i="2"/>
  <c r="B96" i="3" s="1"/>
  <c r="A96" i="2"/>
  <c r="A96" i="3" s="1"/>
  <c r="T95" i="2"/>
  <c r="G95" i="2"/>
  <c r="G95" i="3" s="1"/>
  <c r="F95" i="2"/>
  <c r="F95" i="3" s="1"/>
  <c r="E95" i="2"/>
  <c r="E95" i="3" s="1"/>
  <c r="D95" i="2"/>
  <c r="D95" i="3" s="1"/>
  <c r="C95" i="2"/>
  <c r="C95" i="3" s="1"/>
  <c r="B95" i="2"/>
  <c r="B95" i="3" s="1"/>
  <c r="A95" i="2"/>
  <c r="A95" i="3" s="1"/>
  <c r="U94" i="2"/>
  <c r="R94" i="2"/>
  <c r="G94" i="2"/>
  <c r="G94" i="3" s="1"/>
  <c r="F94" i="2"/>
  <c r="F94" i="3" s="1"/>
  <c r="E94" i="2"/>
  <c r="E94" i="3" s="1"/>
  <c r="K94" i="3" s="1"/>
  <c r="D94" i="2"/>
  <c r="D94" i="3" s="1"/>
  <c r="C94" i="2"/>
  <c r="C94" i="3" s="1"/>
  <c r="B94" i="2"/>
  <c r="B94" i="3" s="1"/>
  <c r="A94" i="2"/>
  <c r="A94" i="3" s="1"/>
  <c r="U93" i="2"/>
  <c r="T93" i="2"/>
  <c r="S93" i="2"/>
  <c r="G93" i="2"/>
  <c r="G93" i="3" s="1"/>
  <c r="F93" i="2"/>
  <c r="F93" i="3" s="1"/>
  <c r="E93" i="2"/>
  <c r="E93" i="3" s="1"/>
  <c r="K93" i="3" s="1"/>
  <c r="D93" i="2"/>
  <c r="D93" i="3" s="1"/>
  <c r="C93" i="2"/>
  <c r="C93" i="3" s="1"/>
  <c r="B93" i="2"/>
  <c r="B93" i="3" s="1"/>
  <c r="A93" i="2"/>
  <c r="A93" i="3" s="1"/>
  <c r="S92" i="2"/>
  <c r="R92" i="2"/>
  <c r="G92" i="2"/>
  <c r="G92" i="3" s="1"/>
  <c r="F92" i="2"/>
  <c r="F92" i="3" s="1"/>
  <c r="E92" i="2"/>
  <c r="E92" i="3" s="1"/>
  <c r="K92" i="3" s="1"/>
  <c r="D92" i="2"/>
  <c r="D92" i="3" s="1"/>
  <c r="C92" i="2"/>
  <c r="C92" i="3" s="1"/>
  <c r="B92" i="2"/>
  <c r="B92" i="3" s="1"/>
  <c r="A92" i="2"/>
  <c r="A92" i="3" s="1"/>
  <c r="T91" i="2"/>
  <c r="G91" i="2"/>
  <c r="G91" i="3" s="1"/>
  <c r="F91" i="2"/>
  <c r="F91" i="3" s="1"/>
  <c r="E91" i="2"/>
  <c r="E91" i="3" s="1"/>
  <c r="D91" i="2"/>
  <c r="D91" i="3" s="1"/>
  <c r="C91" i="2"/>
  <c r="C91" i="3" s="1"/>
  <c r="B91" i="2"/>
  <c r="B91" i="3" s="1"/>
  <c r="A91" i="2"/>
  <c r="A91" i="3" s="1"/>
  <c r="U90" i="2"/>
  <c r="R90" i="2"/>
  <c r="G90" i="2"/>
  <c r="G90" i="3" s="1"/>
  <c r="F90" i="2"/>
  <c r="F90" i="3" s="1"/>
  <c r="E90" i="2"/>
  <c r="E90" i="3" s="1"/>
  <c r="K90" i="3" s="1"/>
  <c r="D90" i="2"/>
  <c r="D90" i="3" s="1"/>
  <c r="C90" i="2"/>
  <c r="C90" i="3" s="1"/>
  <c r="B90" i="2"/>
  <c r="B90" i="3" s="1"/>
  <c r="A90" i="2"/>
  <c r="A90" i="3" s="1"/>
  <c r="U89" i="2"/>
  <c r="T89" i="2"/>
  <c r="S89" i="2"/>
  <c r="G89" i="2"/>
  <c r="G89" i="3" s="1"/>
  <c r="F89" i="2"/>
  <c r="F89" i="3" s="1"/>
  <c r="E89" i="2"/>
  <c r="E89" i="3" s="1"/>
  <c r="K89" i="3" s="1"/>
  <c r="D89" i="2"/>
  <c r="D89" i="3" s="1"/>
  <c r="C89" i="2"/>
  <c r="C89" i="3" s="1"/>
  <c r="B89" i="2"/>
  <c r="B89" i="3" s="1"/>
  <c r="A89" i="2"/>
  <c r="A89" i="3" s="1"/>
  <c r="S88" i="2"/>
  <c r="R88" i="2"/>
  <c r="G88" i="2"/>
  <c r="G88" i="3" s="1"/>
  <c r="F88" i="2"/>
  <c r="F88" i="3" s="1"/>
  <c r="E88" i="2"/>
  <c r="E88" i="3" s="1"/>
  <c r="K88" i="3" s="1"/>
  <c r="D88" i="2"/>
  <c r="D88" i="3" s="1"/>
  <c r="C88" i="2"/>
  <c r="C88" i="3" s="1"/>
  <c r="B88" i="2"/>
  <c r="B88" i="3" s="1"/>
  <c r="A88" i="2"/>
  <c r="A88" i="3" s="1"/>
  <c r="T87" i="2"/>
  <c r="G87" i="2"/>
  <c r="G87" i="3" s="1"/>
  <c r="F87" i="2"/>
  <c r="F87" i="3" s="1"/>
  <c r="E87" i="2"/>
  <c r="E87" i="3" s="1"/>
  <c r="D87" i="2"/>
  <c r="D87" i="3" s="1"/>
  <c r="C87" i="2"/>
  <c r="C87" i="3" s="1"/>
  <c r="B87" i="2"/>
  <c r="B87" i="3" s="1"/>
  <c r="A87" i="2"/>
  <c r="A87" i="3" s="1"/>
  <c r="U86" i="2"/>
  <c r="R86" i="2"/>
  <c r="G86" i="2"/>
  <c r="G86" i="3" s="1"/>
  <c r="F86" i="2"/>
  <c r="F86" i="3" s="1"/>
  <c r="E86" i="2"/>
  <c r="E86" i="3" s="1"/>
  <c r="K86" i="3" s="1"/>
  <c r="D86" i="2"/>
  <c r="D86" i="3" s="1"/>
  <c r="C86" i="2"/>
  <c r="C86" i="3" s="1"/>
  <c r="B86" i="2"/>
  <c r="B86" i="3" s="1"/>
  <c r="A86" i="2"/>
  <c r="A86" i="3" s="1"/>
  <c r="U85" i="2"/>
  <c r="T85" i="2"/>
  <c r="S85" i="2"/>
  <c r="G85" i="2"/>
  <c r="G85" i="3" s="1"/>
  <c r="F85" i="2"/>
  <c r="F85" i="3" s="1"/>
  <c r="E85" i="2"/>
  <c r="E85" i="3" s="1"/>
  <c r="K85" i="3" s="1"/>
  <c r="D85" i="2"/>
  <c r="D85" i="3" s="1"/>
  <c r="C85" i="2"/>
  <c r="C85" i="3" s="1"/>
  <c r="B85" i="2"/>
  <c r="B85" i="3" s="1"/>
  <c r="A85" i="2"/>
  <c r="A85" i="3" s="1"/>
  <c r="S84" i="2"/>
  <c r="R84" i="2"/>
  <c r="G84" i="2"/>
  <c r="G84" i="3" s="1"/>
  <c r="F84" i="2"/>
  <c r="F84" i="3" s="1"/>
  <c r="E84" i="2"/>
  <c r="E84" i="3" s="1"/>
  <c r="K84" i="3" s="1"/>
  <c r="D84" i="2"/>
  <c r="D84" i="3" s="1"/>
  <c r="C84" i="2"/>
  <c r="C84" i="3" s="1"/>
  <c r="B84" i="2"/>
  <c r="B84" i="3" s="1"/>
  <c r="A84" i="2"/>
  <c r="A84" i="3" s="1"/>
  <c r="T83" i="2"/>
  <c r="G83" i="2"/>
  <c r="G83" i="3" s="1"/>
  <c r="F83" i="2"/>
  <c r="F83" i="3" s="1"/>
  <c r="E83" i="2"/>
  <c r="E83" i="3" s="1"/>
  <c r="D83" i="2"/>
  <c r="D83" i="3" s="1"/>
  <c r="C83" i="2"/>
  <c r="C83" i="3" s="1"/>
  <c r="B83" i="2"/>
  <c r="B83" i="3" s="1"/>
  <c r="A83" i="2"/>
  <c r="A83" i="3" s="1"/>
  <c r="U82" i="2"/>
  <c r="R82" i="2"/>
  <c r="G82" i="2"/>
  <c r="G82" i="3" s="1"/>
  <c r="F82" i="2"/>
  <c r="F82" i="3" s="1"/>
  <c r="E82" i="2"/>
  <c r="E82" i="3" s="1"/>
  <c r="K82" i="3" s="1"/>
  <c r="D82" i="2"/>
  <c r="D82" i="3" s="1"/>
  <c r="C82" i="2"/>
  <c r="C82" i="3" s="1"/>
  <c r="B82" i="2"/>
  <c r="B82" i="3" s="1"/>
  <c r="A82" i="2"/>
  <c r="A82" i="3" s="1"/>
  <c r="U81" i="2"/>
  <c r="T81" i="2"/>
  <c r="S81" i="2"/>
  <c r="G81" i="2"/>
  <c r="G81" i="3" s="1"/>
  <c r="F81" i="2"/>
  <c r="F81" i="3" s="1"/>
  <c r="E81" i="2"/>
  <c r="E81" i="3" s="1"/>
  <c r="K81" i="3" s="1"/>
  <c r="D81" i="2"/>
  <c r="D81" i="3" s="1"/>
  <c r="C81" i="2"/>
  <c r="C81" i="3" s="1"/>
  <c r="B81" i="2"/>
  <c r="B81" i="3" s="1"/>
  <c r="A81" i="2"/>
  <c r="A81" i="3" s="1"/>
  <c r="S80" i="2"/>
  <c r="R80" i="2"/>
  <c r="G80" i="2"/>
  <c r="G80" i="3" s="1"/>
  <c r="F80" i="2"/>
  <c r="F80" i="3" s="1"/>
  <c r="E80" i="2"/>
  <c r="E80" i="3" s="1"/>
  <c r="K80" i="3" s="1"/>
  <c r="D80" i="2"/>
  <c r="D80" i="3" s="1"/>
  <c r="C80" i="2"/>
  <c r="C80" i="3" s="1"/>
  <c r="B80" i="2"/>
  <c r="B80" i="3" s="1"/>
  <c r="A80" i="2"/>
  <c r="A80" i="3" s="1"/>
  <c r="T79" i="2"/>
  <c r="G79" i="2"/>
  <c r="G79" i="3" s="1"/>
  <c r="F79" i="2"/>
  <c r="F79" i="3" s="1"/>
  <c r="E79" i="2"/>
  <c r="E79" i="3" s="1"/>
  <c r="D79" i="2"/>
  <c r="D79" i="3" s="1"/>
  <c r="C79" i="2"/>
  <c r="C79" i="3" s="1"/>
  <c r="B79" i="2"/>
  <c r="B79" i="3" s="1"/>
  <c r="A79" i="2"/>
  <c r="A79" i="3" s="1"/>
  <c r="U78" i="2"/>
  <c r="R78" i="2"/>
  <c r="G78" i="2"/>
  <c r="G78" i="3" s="1"/>
  <c r="F78" i="2"/>
  <c r="F78" i="3" s="1"/>
  <c r="E78" i="2"/>
  <c r="E78" i="3" s="1"/>
  <c r="K78" i="3" s="1"/>
  <c r="D78" i="2"/>
  <c r="D78" i="3" s="1"/>
  <c r="C78" i="2"/>
  <c r="C78" i="3" s="1"/>
  <c r="B78" i="2"/>
  <c r="B78" i="3" s="1"/>
  <c r="A78" i="2"/>
  <c r="A78" i="3" s="1"/>
  <c r="U77" i="2"/>
  <c r="T77" i="2"/>
  <c r="S77" i="2"/>
  <c r="G77" i="2"/>
  <c r="G77" i="3" s="1"/>
  <c r="F77" i="2"/>
  <c r="F77" i="3" s="1"/>
  <c r="E77" i="2"/>
  <c r="E77" i="3" s="1"/>
  <c r="K77" i="3" s="1"/>
  <c r="D77" i="2"/>
  <c r="D77" i="3" s="1"/>
  <c r="C77" i="2"/>
  <c r="C77" i="3" s="1"/>
  <c r="B77" i="2"/>
  <c r="B77" i="3" s="1"/>
  <c r="A77" i="2"/>
  <c r="A77" i="3" s="1"/>
  <c r="S76" i="2"/>
  <c r="R76" i="2"/>
  <c r="G76" i="2"/>
  <c r="G76" i="3" s="1"/>
  <c r="F76" i="2"/>
  <c r="F76" i="3" s="1"/>
  <c r="E76" i="2"/>
  <c r="E76" i="3" s="1"/>
  <c r="K76" i="3" s="1"/>
  <c r="D76" i="2"/>
  <c r="D76" i="3" s="1"/>
  <c r="C76" i="2"/>
  <c r="C76" i="3" s="1"/>
  <c r="B76" i="2"/>
  <c r="B76" i="3" s="1"/>
  <c r="A76" i="2"/>
  <c r="A76" i="3" s="1"/>
  <c r="T75" i="2"/>
  <c r="G75" i="2"/>
  <c r="G75" i="3" s="1"/>
  <c r="F75" i="2"/>
  <c r="F75" i="3" s="1"/>
  <c r="E75" i="2"/>
  <c r="E75" i="3" s="1"/>
  <c r="D75" i="2"/>
  <c r="D75" i="3" s="1"/>
  <c r="C75" i="2"/>
  <c r="C75" i="3" s="1"/>
  <c r="B75" i="2"/>
  <c r="B75" i="3" s="1"/>
  <c r="A75" i="2"/>
  <c r="A75" i="3" s="1"/>
  <c r="U74" i="2"/>
  <c r="R74" i="2"/>
  <c r="G74" i="2"/>
  <c r="G74" i="3" s="1"/>
  <c r="F74" i="2"/>
  <c r="F74" i="3" s="1"/>
  <c r="E74" i="2"/>
  <c r="E74" i="3" s="1"/>
  <c r="K74" i="3" s="1"/>
  <c r="D74" i="2"/>
  <c r="D74" i="3" s="1"/>
  <c r="C74" i="2"/>
  <c r="C74" i="3" s="1"/>
  <c r="B74" i="2"/>
  <c r="B74" i="3" s="1"/>
  <c r="A74" i="2"/>
  <c r="A74" i="3" s="1"/>
  <c r="U73" i="2"/>
  <c r="T73" i="2"/>
  <c r="S73" i="2"/>
  <c r="G73" i="2"/>
  <c r="G73" i="3" s="1"/>
  <c r="F73" i="2"/>
  <c r="F73" i="3" s="1"/>
  <c r="E73" i="2"/>
  <c r="E73" i="3" s="1"/>
  <c r="K73" i="3" s="1"/>
  <c r="D73" i="2"/>
  <c r="D73" i="3" s="1"/>
  <c r="C73" i="2"/>
  <c r="C73" i="3" s="1"/>
  <c r="B73" i="2"/>
  <c r="B73" i="3" s="1"/>
  <c r="A73" i="2"/>
  <c r="A73" i="3" s="1"/>
  <c r="S72" i="2"/>
  <c r="R72" i="2"/>
  <c r="G72" i="2"/>
  <c r="G72" i="3" s="1"/>
  <c r="F72" i="2"/>
  <c r="F72" i="3" s="1"/>
  <c r="E72" i="2"/>
  <c r="E72" i="3" s="1"/>
  <c r="K72" i="3" s="1"/>
  <c r="D72" i="2"/>
  <c r="D72" i="3" s="1"/>
  <c r="C72" i="2"/>
  <c r="C72" i="3" s="1"/>
  <c r="B72" i="2"/>
  <c r="B72" i="3" s="1"/>
  <c r="A72" i="2"/>
  <c r="A72" i="3" s="1"/>
  <c r="T71" i="2"/>
  <c r="G71" i="2"/>
  <c r="G71" i="3" s="1"/>
  <c r="F71" i="2"/>
  <c r="F71" i="3" s="1"/>
  <c r="E71" i="2"/>
  <c r="E71" i="3" s="1"/>
  <c r="D71" i="2"/>
  <c r="D71" i="3" s="1"/>
  <c r="C71" i="2"/>
  <c r="C71" i="3" s="1"/>
  <c r="B71" i="2"/>
  <c r="B71" i="3" s="1"/>
  <c r="A71" i="2"/>
  <c r="A71" i="3" s="1"/>
  <c r="U70" i="2"/>
  <c r="R70" i="2"/>
  <c r="G70" i="2"/>
  <c r="G70" i="3" s="1"/>
  <c r="F70" i="2"/>
  <c r="F70" i="3" s="1"/>
  <c r="E70" i="2"/>
  <c r="E70" i="3" s="1"/>
  <c r="K70" i="3" s="1"/>
  <c r="D70" i="2"/>
  <c r="D70" i="3" s="1"/>
  <c r="C70" i="2"/>
  <c r="C70" i="3" s="1"/>
  <c r="B70" i="2"/>
  <c r="B70" i="3" s="1"/>
  <c r="A70" i="2"/>
  <c r="A70" i="3" s="1"/>
  <c r="U69" i="2"/>
  <c r="T69" i="2"/>
  <c r="S69" i="2"/>
  <c r="G69" i="2"/>
  <c r="G69" i="3" s="1"/>
  <c r="F69" i="2"/>
  <c r="F69" i="3" s="1"/>
  <c r="E69" i="2"/>
  <c r="E69" i="3" s="1"/>
  <c r="K69" i="3" s="1"/>
  <c r="D69" i="2"/>
  <c r="D69" i="3" s="1"/>
  <c r="C69" i="2"/>
  <c r="C69" i="3" s="1"/>
  <c r="B69" i="2"/>
  <c r="B69" i="3" s="1"/>
  <c r="A69" i="2"/>
  <c r="A69" i="3" s="1"/>
  <c r="S68" i="2"/>
  <c r="R68" i="2"/>
  <c r="G68" i="2"/>
  <c r="G68" i="3" s="1"/>
  <c r="F68" i="2"/>
  <c r="F68" i="3" s="1"/>
  <c r="E68" i="2"/>
  <c r="E68" i="3" s="1"/>
  <c r="K68" i="3" s="1"/>
  <c r="D68" i="2"/>
  <c r="D68" i="3" s="1"/>
  <c r="C68" i="2"/>
  <c r="C68" i="3" s="1"/>
  <c r="B68" i="2"/>
  <c r="B68" i="3" s="1"/>
  <c r="A68" i="2"/>
  <c r="A68" i="3" s="1"/>
  <c r="T67" i="2"/>
  <c r="G67" i="2"/>
  <c r="G67" i="3" s="1"/>
  <c r="F67" i="2"/>
  <c r="F67" i="3" s="1"/>
  <c r="E67" i="2"/>
  <c r="E67" i="3" s="1"/>
  <c r="D67" i="2"/>
  <c r="D67" i="3" s="1"/>
  <c r="C67" i="2"/>
  <c r="C67" i="3" s="1"/>
  <c r="B67" i="2"/>
  <c r="B67" i="3" s="1"/>
  <c r="A67" i="2"/>
  <c r="A67" i="3" s="1"/>
  <c r="U66" i="2"/>
  <c r="R66" i="2"/>
  <c r="G66" i="2"/>
  <c r="G66" i="3" s="1"/>
  <c r="F66" i="2"/>
  <c r="F66" i="3" s="1"/>
  <c r="E66" i="2"/>
  <c r="E66" i="3" s="1"/>
  <c r="K66" i="3" s="1"/>
  <c r="D66" i="2"/>
  <c r="D66" i="3" s="1"/>
  <c r="C66" i="2"/>
  <c r="C66" i="3" s="1"/>
  <c r="B66" i="2"/>
  <c r="B66" i="3" s="1"/>
  <c r="A66" i="2"/>
  <c r="A66" i="3" s="1"/>
  <c r="U65" i="2"/>
  <c r="T65" i="2"/>
  <c r="S65" i="2"/>
  <c r="G65" i="2"/>
  <c r="G65" i="3" s="1"/>
  <c r="F65" i="2"/>
  <c r="F65" i="3" s="1"/>
  <c r="E65" i="2"/>
  <c r="E65" i="3" s="1"/>
  <c r="K65" i="3" s="1"/>
  <c r="D65" i="2"/>
  <c r="D65" i="3" s="1"/>
  <c r="C65" i="2"/>
  <c r="C65" i="3" s="1"/>
  <c r="B65" i="2"/>
  <c r="B65" i="3" s="1"/>
  <c r="A65" i="2"/>
  <c r="A65" i="3" s="1"/>
  <c r="S64" i="2"/>
  <c r="R64" i="2"/>
  <c r="G64" i="2"/>
  <c r="G64" i="3" s="1"/>
  <c r="F64" i="2"/>
  <c r="F64" i="3" s="1"/>
  <c r="E64" i="2"/>
  <c r="E64" i="3" s="1"/>
  <c r="K64" i="3" s="1"/>
  <c r="D64" i="2"/>
  <c r="D64" i="3" s="1"/>
  <c r="C64" i="2"/>
  <c r="C64" i="3" s="1"/>
  <c r="B64" i="2"/>
  <c r="B64" i="3" s="1"/>
  <c r="A64" i="2"/>
  <c r="A64" i="3" s="1"/>
  <c r="T63" i="2"/>
  <c r="G63" i="2"/>
  <c r="G63" i="3" s="1"/>
  <c r="F63" i="2"/>
  <c r="F63" i="3" s="1"/>
  <c r="E63" i="2"/>
  <c r="E63" i="3" s="1"/>
  <c r="D63" i="2"/>
  <c r="D63" i="3" s="1"/>
  <c r="C63" i="2"/>
  <c r="C63" i="3" s="1"/>
  <c r="B63" i="2"/>
  <c r="B63" i="3" s="1"/>
  <c r="A63" i="2"/>
  <c r="A63" i="3" s="1"/>
  <c r="U62" i="2"/>
  <c r="R62" i="2"/>
  <c r="G62" i="2"/>
  <c r="G62" i="3" s="1"/>
  <c r="F62" i="2"/>
  <c r="F62" i="3" s="1"/>
  <c r="E62" i="2"/>
  <c r="E62" i="3" s="1"/>
  <c r="K62" i="3" s="1"/>
  <c r="D62" i="2"/>
  <c r="D62" i="3" s="1"/>
  <c r="C62" i="2"/>
  <c r="C62" i="3" s="1"/>
  <c r="B62" i="2"/>
  <c r="B62" i="3" s="1"/>
  <c r="A62" i="2"/>
  <c r="A62" i="3" s="1"/>
  <c r="U61" i="2"/>
  <c r="T61" i="2"/>
  <c r="S61" i="2"/>
  <c r="G61" i="2"/>
  <c r="G61" i="3" s="1"/>
  <c r="F61" i="2"/>
  <c r="F61" i="3" s="1"/>
  <c r="E61" i="2"/>
  <c r="E61" i="3" s="1"/>
  <c r="K61" i="3" s="1"/>
  <c r="D61" i="2"/>
  <c r="D61" i="3" s="1"/>
  <c r="C61" i="2"/>
  <c r="C61" i="3" s="1"/>
  <c r="B61" i="2"/>
  <c r="B61" i="3" s="1"/>
  <c r="A61" i="2"/>
  <c r="A61" i="3" s="1"/>
  <c r="S60" i="2"/>
  <c r="R60" i="2"/>
  <c r="G60" i="2"/>
  <c r="G60" i="3" s="1"/>
  <c r="F60" i="2"/>
  <c r="F60" i="3" s="1"/>
  <c r="E60" i="2"/>
  <c r="E60" i="3" s="1"/>
  <c r="K60" i="3" s="1"/>
  <c r="D60" i="2"/>
  <c r="D60" i="3" s="1"/>
  <c r="C60" i="2"/>
  <c r="C60" i="3" s="1"/>
  <c r="B60" i="2"/>
  <c r="B60" i="3" s="1"/>
  <c r="A60" i="2"/>
  <c r="A60" i="3" s="1"/>
  <c r="T59" i="2"/>
  <c r="G59" i="2"/>
  <c r="G59" i="3" s="1"/>
  <c r="F59" i="2"/>
  <c r="F59" i="3" s="1"/>
  <c r="E59" i="2"/>
  <c r="E59" i="3" s="1"/>
  <c r="D59" i="2"/>
  <c r="D59" i="3" s="1"/>
  <c r="C59" i="2"/>
  <c r="C59" i="3" s="1"/>
  <c r="B59" i="2"/>
  <c r="B59" i="3" s="1"/>
  <c r="A59" i="2"/>
  <c r="A59" i="3" s="1"/>
  <c r="U58" i="2"/>
  <c r="R58" i="2"/>
  <c r="G58" i="2"/>
  <c r="G58" i="3" s="1"/>
  <c r="F58" i="2"/>
  <c r="F58" i="3" s="1"/>
  <c r="E58" i="2"/>
  <c r="E58" i="3" s="1"/>
  <c r="K58" i="3" s="1"/>
  <c r="D58" i="2"/>
  <c r="D58" i="3" s="1"/>
  <c r="C58" i="2"/>
  <c r="C58" i="3" s="1"/>
  <c r="B58" i="2"/>
  <c r="B58" i="3" s="1"/>
  <c r="A58" i="2"/>
  <c r="A58" i="3" s="1"/>
  <c r="U57" i="2"/>
  <c r="T57" i="2"/>
  <c r="S57" i="2"/>
  <c r="G57" i="2"/>
  <c r="G57" i="3" s="1"/>
  <c r="F57" i="2"/>
  <c r="F57" i="3" s="1"/>
  <c r="E57" i="2"/>
  <c r="E57" i="3" s="1"/>
  <c r="K57" i="3" s="1"/>
  <c r="D57" i="2"/>
  <c r="D57" i="3" s="1"/>
  <c r="C57" i="2"/>
  <c r="C57" i="3" s="1"/>
  <c r="B57" i="2"/>
  <c r="B57" i="3" s="1"/>
  <c r="A57" i="2"/>
  <c r="A57" i="3" s="1"/>
  <c r="S56" i="2"/>
  <c r="R56" i="2"/>
  <c r="G56" i="2"/>
  <c r="G56" i="3" s="1"/>
  <c r="F56" i="2"/>
  <c r="F56" i="3" s="1"/>
  <c r="E56" i="2"/>
  <c r="E56" i="3" s="1"/>
  <c r="K56" i="3" s="1"/>
  <c r="D56" i="2"/>
  <c r="D56" i="3" s="1"/>
  <c r="C56" i="2"/>
  <c r="C56" i="3" s="1"/>
  <c r="B56" i="2"/>
  <c r="B56" i="3" s="1"/>
  <c r="A56" i="2"/>
  <c r="A56" i="3" s="1"/>
  <c r="T55" i="2"/>
  <c r="G55" i="2"/>
  <c r="G55" i="3" s="1"/>
  <c r="F55" i="2"/>
  <c r="F55" i="3" s="1"/>
  <c r="E55" i="2"/>
  <c r="E55" i="3" s="1"/>
  <c r="D55" i="2"/>
  <c r="D55" i="3" s="1"/>
  <c r="C55" i="2"/>
  <c r="C55" i="3" s="1"/>
  <c r="B55" i="2"/>
  <c r="B55" i="3" s="1"/>
  <c r="A55" i="2"/>
  <c r="A55" i="3" s="1"/>
  <c r="U54" i="2"/>
  <c r="R54" i="2"/>
  <c r="G54" i="2"/>
  <c r="G54" i="3" s="1"/>
  <c r="F54" i="2"/>
  <c r="F54" i="3" s="1"/>
  <c r="E54" i="2"/>
  <c r="E54" i="3" s="1"/>
  <c r="K54" i="3" s="1"/>
  <c r="D54" i="2"/>
  <c r="D54" i="3" s="1"/>
  <c r="C54" i="2"/>
  <c r="C54" i="3" s="1"/>
  <c r="B54" i="2"/>
  <c r="B54" i="3" s="1"/>
  <c r="A54" i="2"/>
  <c r="A54" i="3" s="1"/>
  <c r="U53" i="2"/>
  <c r="T53" i="2"/>
  <c r="S53" i="2"/>
  <c r="G53" i="2"/>
  <c r="G53" i="3" s="1"/>
  <c r="F53" i="2"/>
  <c r="F53" i="3" s="1"/>
  <c r="E53" i="2"/>
  <c r="E53" i="3" s="1"/>
  <c r="K53" i="3" s="1"/>
  <c r="D53" i="2"/>
  <c r="D53" i="3" s="1"/>
  <c r="C53" i="2"/>
  <c r="C53" i="3" s="1"/>
  <c r="B53" i="2"/>
  <c r="B53" i="3" s="1"/>
  <c r="A53" i="2"/>
  <c r="A53" i="3" s="1"/>
  <c r="S52" i="2"/>
  <c r="R52" i="2"/>
  <c r="G52" i="2"/>
  <c r="G52" i="3" s="1"/>
  <c r="F52" i="2"/>
  <c r="F52" i="3" s="1"/>
  <c r="E52" i="2"/>
  <c r="E52" i="3" s="1"/>
  <c r="K52" i="3" s="1"/>
  <c r="D52" i="2"/>
  <c r="D52" i="3" s="1"/>
  <c r="C52" i="2"/>
  <c r="C52" i="3" s="1"/>
  <c r="B52" i="2"/>
  <c r="B52" i="3" s="1"/>
  <c r="A52" i="2"/>
  <c r="A52" i="3" s="1"/>
  <c r="T51" i="2"/>
  <c r="G51" i="2"/>
  <c r="G51" i="3" s="1"/>
  <c r="F51" i="2"/>
  <c r="F51" i="3" s="1"/>
  <c r="E51" i="2"/>
  <c r="E51" i="3" s="1"/>
  <c r="D51" i="2"/>
  <c r="D51" i="3" s="1"/>
  <c r="C51" i="2"/>
  <c r="C51" i="3" s="1"/>
  <c r="B51" i="2"/>
  <c r="B51" i="3" s="1"/>
  <c r="A51" i="2"/>
  <c r="A51" i="3" s="1"/>
  <c r="U50" i="2"/>
  <c r="R50" i="2"/>
  <c r="G50" i="2"/>
  <c r="G50" i="3" s="1"/>
  <c r="F50" i="2"/>
  <c r="F50" i="3" s="1"/>
  <c r="E50" i="2"/>
  <c r="E50" i="3" s="1"/>
  <c r="K50" i="3" s="1"/>
  <c r="D50" i="2"/>
  <c r="D50" i="3" s="1"/>
  <c r="C50" i="2"/>
  <c r="C50" i="3" s="1"/>
  <c r="B50" i="2"/>
  <c r="B50" i="3" s="1"/>
  <c r="A50" i="2"/>
  <c r="A50" i="3" s="1"/>
  <c r="U49" i="2"/>
  <c r="T49" i="2"/>
  <c r="S49" i="2"/>
  <c r="G49" i="2"/>
  <c r="G49" i="3" s="1"/>
  <c r="F49" i="2"/>
  <c r="F49" i="3" s="1"/>
  <c r="E49" i="2"/>
  <c r="E49" i="3" s="1"/>
  <c r="K49" i="3" s="1"/>
  <c r="D49" i="2"/>
  <c r="D49" i="3" s="1"/>
  <c r="C49" i="2"/>
  <c r="C49" i="3" s="1"/>
  <c r="B49" i="2"/>
  <c r="B49" i="3" s="1"/>
  <c r="A49" i="2"/>
  <c r="A49" i="3" s="1"/>
  <c r="S48" i="2"/>
  <c r="R48" i="2"/>
  <c r="G48" i="2"/>
  <c r="G48" i="3" s="1"/>
  <c r="F48" i="2"/>
  <c r="F48" i="3" s="1"/>
  <c r="E48" i="2"/>
  <c r="E48" i="3" s="1"/>
  <c r="K48" i="3" s="1"/>
  <c r="D48" i="2"/>
  <c r="D48" i="3" s="1"/>
  <c r="C48" i="2"/>
  <c r="C48" i="3" s="1"/>
  <c r="B48" i="2"/>
  <c r="B48" i="3" s="1"/>
  <c r="A48" i="2"/>
  <c r="A48" i="3" s="1"/>
  <c r="T47" i="2"/>
  <c r="G47" i="2"/>
  <c r="G47" i="3" s="1"/>
  <c r="F47" i="2"/>
  <c r="F47" i="3" s="1"/>
  <c r="E47" i="2"/>
  <c r="E47" i="3" s="1"/>
  <c r="D47" i="2"/>
  <c r="D47" i="3" s="1"/>
  <c r="C47" i="2"/>
  <c r="C47" i="3" s="1"/>
  <c r="B47" i="2"/>
  <c r="B47" i="3" s="1"/>
  <c r="A47" i="2"/>
  <c r="A47" i="3" s="1"/>
  <c r="U46" i="2"/>
  <c r="R46" i="2"/>
  <c r="G46" i="2"/>
  <c r="G46" i="3" s="1"/>
  <c r="F46" i="2"/>
  <c r="F46" i="3" s="1"/>
  <c r="E46" i="2"/>
  <c r="E46" i="3" s="1"/>
  <c r="K46" i="3" s="1"/>
  <c r="D46" i="2"/>
  <c r="D46" i="3" s="1"/>
  <c r="C46" i="2"/>
  <c r="C46" i="3" s="1"/>
  <c r="B46" i="2"/>
  <c r="B46" i="3" s="1"/>
  <c r="A46" i="2"/>
  <c r="A46" i="3" s="1"/>
  <c r="U45" i="2"/>
  <c r="T45" i="2"/>
  <c r="S45" i="2"/>
  <c r="G45" i="2"/>
  <c r="G45" i="3" s="1"/>
  <c r="F45" i="2"/>
  <c r="F45" i="3" s="1"/>
  <c r="E45" i="2"/>
  <c r="E45" i="3" s="1"/>
  <c r="K45" i="3" s="1"/>
  <c r="D45" i="2"/>
  <c r="D45" i="3" s="1"/>
  <c r="C45" i="2"/>
  <c r="C45" i="3" s="1"/>
  <c r="B45" i="2"/>
  <c r="B45" i="3" s="1"/>
  <c r="A45" i="2"/>
  <c r="A45" i="3" s="1"/>
  <c r="S44" i="2"/>
  <c r="R44" i="2"/>
  <c r="G44" i="2"/>
  <c r="G44" i="3" s="1"/>
  <c r="F44" i="2"/>
  <c r="F44" i="3" s="1"/>
  <c r="E44" i="2"/>
  <c r="E44" i="3" s="1"/>
  <c r="K44" i="3" s="1"/>
  <c r="D44" i="2"/>
  <c r="D44" i="3" s="1"/>
  <c r="C44" i="2"/>
  <c r="C44" i="3" s="1"/>
  <c r="B44" i="2"/>
  <c r="B44" i="3" s="1"/>
  <c r="A44" i="2"/>
  <c r="A44" i="3" s="1"/>
  <c r="T43" i="2"/>
  <c r="G43" i="2"/>
  <c r="G43" i="3" s="1"/>
  <c r="F43" i="2"/>
  <c r="F43" i="3" s="1"/>
  <c r="E43" i="2"/>
  <c r="E43" i="3" s="1"/>
  <c r="D43" i="2"/>
  <c r="D43" i="3" s="1"/>
  <c r="C43" i="2"/>
  <c r="C43" i="3" s="1"/>
  <c r="B43" i="2"/>
  <c r="B43" i="3" s="1"/>
  <c r="A43" i="2"/>
  <c r="A43" i="3" s="1"/>
  <c r="U42" i="2"/>
  <c r="R42" i="2"/>
  <c r="G42" i="2"/>
  <c r="G42" i="3" s="1"/>
  <c r="F42" i="2"/>
  <c r="F42" i="3" s="1"/>
  <c r="E42" i="2"/>
  <c r="E42" i="3" s="1"/>
  <c r="K42" i="3" s="1"/>
  <c r="D42" i="2"/>
  <c r="D42" i="3" s="1"/>
  <c r="C42" i="2"/>
  <c r="C42" i="3" s="1"/>
  <c r="B42" i="2"/>
  <c r="B42" i="3" s="1"/>
  <c r="A42" i="2"/>
  <c r="A42" i="3" s="1"/>
  <c r="U41" i="2"/>
  <c r="T41" i="2"/>
  <c r="S41" i="2"/>
  <c r="G41" i="2"/>
  <c r="G41" i="3" s="1"/>
  <c r="F41" i="2"/>
  <c r="F41" i="3" s="1"/>
  <c r="E41" i="2"/>
  <c r="E41" i="3" s="1"/>
  <c r="K41" i="3" s="1"/>
  <c r="D41" i="2"/>
  <c r="D41" i="3" s="1"/>
  <c r="C41" i="2"/>
  <c r="C41" i="3" s="1"/>
  <c r="B41" i="2"/>
  <c r="B41" i="3" s="1"/>
  <c r="A41" i="2"/>
  <c r="A41" i="3" s="1"/>
  <c r="S40" i="2"/>
  <c r="R40" i="2"/>
  <c r="G40" i="2"/>
  <c r="G40" i="3" s="1"/>
  <c r="F40" i="2"/>
  <c r="F40" i="3" s="1"/>
  <c r="E40" i="2"/>
  <c r="E40" i="3" s="1"/>
  <c r="K40" i="3" s="1"/>
  <c r="D40" i="2"/>
  <c r="D40" i="3" s="1"/>
  <c r="C40" i="2"/>
  <c r="C40" i="3" s="1"/>
  <c r="B40" i="2"/>
  <c r="B40" i="3" s="1"/>
  <c r="A40" i="2"/>
  <c r="A40" i="3" s="1"/>
  <c r="T39" i="2"/>
  <c r="G39" i="2"/>
  <c r="G39" i="3" s="1"/>
  <c r="F39" i="2"/>
  <c r="F39" i="3" s="1"/>
  <c r="E39" i="2"/>
  <c r="E39" i="3" s="1"/>
  <c r="D39" i="2"/>
  <c r="D39" i="3" s="1"/>
  <c r="C39" i="2"/>
  <c r="C39" i="3" s="1"/>
  <c r="B39" i="2"/>
  <c r="B39" i="3" s="1"/>
  <c r="A39" i="2"/>
  <c r="A39" i="3" s="1"/>
  <c r="U38" i="2"/>
  <c r="R38" i="2"/>
  <c r="G38" i="2"/>
  <c r="G38" i="3" s="1"/>
  <c r="F38" i="2"/>
  <c r="F38" i="3" s="1"/>
  <c r="E38" i="2"/>
  <c r="E38" i="3" s="1"/>
  <c r="K38" i="3" s="1"/>
  <c r="D38" i="2"/>
  <c r="D38" i="3" s="1"/>
  <c r="C38" i="2"/>
  <c r="C38" i="3" s="1"/>
  <c r="B38" i="2"/>
  <c r="B38" i="3" s="1"/>
  <c r="A38" i="2"/>
  <c r="A38" i="3" s="1"/>
  <c r="U37" i="2"/>
  <c r="T37" i="2"/>
  <c r="S37" i="2"/>
  <c r="G37" i="2"/>
  <c r="G37" i="3" s="1"/>
  <c r="F37" i="2"/>
  <c r="F37" i="3" s="1"/>
  <c r="E37" i="2"/>
  <c r="E37" i="3" s="1"/>
  <c r="K37" i="3" s="1"/>
  <c r="D37" i="2"/>
  <c r="D37" i="3" s="1"/>
  <c r="C37" i="2"/>
  <c r="C37" i="3" s="1"/>
  <c r="B37" i="2"/>
  <c r="B37" i="3" s="1"/>
  <c r="A37" i="2"/>
  <c r="A37" i="3" s="1"/>
  <c r="S36" i="2"/>
  <c r="R36" i="2"/>
  <c r="G36" i="2"/>
  <c r="G36" i="3" s="1"/>
  <c r="F36" i="2"/>
  <c r="F36" i="3" s="1"/>
  <c r="E36" i="2"/>
  <c r="E36" i="3" s="1"/>
  <c r="K36" i="3" s="1"/>
  <c r="D36" i="2"/>
  <c r="D36" i="3" s="1"/>
  <c r="C36" i="2"/>
  <c r="C36" i="3" s="1"/>
  <c r="B36" i="2"/>
  <c r="B36" i="3" s="1"/>
  <c r="A36" i="2"/>
  <c r="A36" i="3" s="1"/>
  <c r="T35" i="2"/>
  <c r="G35" i="2"/>
  <c r="G35" i="3" s="1"/>
  <c r="F35" i="2"/>
  <c r="F35" i="3" s="1"/>
  <c r="E35" i="2"/>
  <c r="E35" i="3" s="1"/>
  <c r="D35" i="2"/>
  <c r="D35" i="3" s="1"/>
  <c r="C35" i="2"/>
  <c r="C35" i="3" s="1"/>
  <c r="B35" i="2"/>
  <c r="B35" i="3" s="1"/>
  <c r="A35" i="2"/>
  <c r="A35" i="3" s="1"/>
  <c r="U34" i="2"/>
  <c r="R34" i="2"/>
  <c r="G34" i="2"/>
  <c r="G34" i="3" s="1"/>
  <c r="F34" i="2"/>
  <c r="F34" i="3" s="1"/>
  <c r="E34" i="2"/>
  <c r="E34" i="3" s="1"/>
  <c r="K34" i="3" s="1"/>
  <c r="D34" i="2"/>
  <c r="D34" i="3" s="1"/>
  <c r="C34" i="2"/>
  <c r="C34" i="3" s="1"/>
  <c r="B34" i="2"/>
  <c r="B34" i="3" s="1"/>
  <c r="A34" i="2"/>
  <c r="A34" i="3" s="1"/>
  <c r="U33" i="2"/>
  <c r="T33" i="2"/>
  <c r="S33" i="2"/>
  <c r="G33" i="2"/>
  <c r="G33" i="3" s="1"/>
  <c r="F33" i="2"/>
  <c r="F33" i="3" s="1"/>
  <c r="E33" i="2"/>
  <c r="E33" i="3" s="1"/>
  <c r="K33" i="3" s="1"/>
  <c r="D33" i="2"/>
  <c r="D33" i="3" s="1"/>
  <c r="C33" i="2"/>
  <c r="C33" i="3" s="1"/>
  <c r="B33" i="2"/>
  <c r="B33" i="3" s="1"/>
  <c r="A33" i="2"/>
  <c r="A33" i="3" s="1"/>
  <c r="S32" i="2"/>
  <c r="R32" i="2"/>
  <c r="G32" i="2"/>
  <c r="G32" i="3" s="1"/>
  <c r="F32" i="2"/>
  <c r="F32" i="3" s="1"/>
  <c r="E32" i="2"/>
  <c r="E32" i="3" s="1"/>
  <c r="K32" i="3" s="1"/>
  <c r="D32" i="2"/>
  <c r="D32" i="3" s="1"/>
  <c r="C32" i="2"/>
  <c r="C32" i="3" s="1"/>
  <c r="B32" i="2"/>
  <c r="B32" i="3" s="1"/>
  <c r="A32" i="2"/>
  <c r="A32" i="3" s="1"/>
  <c r="T31" i="2"/>
  <c r="G31" i="2"/>
  <c r="G31" i="3" s="1"/>
  <c r="F31" i="2"/>
  <c r="F31" i="3" s="1"/>
  <c r="E31" i="2"/>
  <c r="E31" i="3" s="1"/>
  <c r="D31" i="2"/>
  <c r="D31" i="3" s="1"/>
  <c r="C31" i="2"/>
  <c r="C31" i="3" s="1"/>
  <c r="B31" i="2"/>
  <c r="B31" i="3" s="1"/>
  <c r="A31" i="2"/>
  <c r="A31" i="3" s="1"/>
  <c r="U30" i="2"/>
  <c r="R30" i="2"/>
  <c r="G30" i="2"/>
  <c r="G30" i="3" s="1"/>
  <c r="F30" i="2"/>
  <c r="F30" i="3" s="1"/>
  <c r="E30" i="2"/>
  <c r="E30" i="3" s="1"/>
  <c r="K30" i="3" s="1"/>
  <c r="D30" i="2"/>
  <c r="D30" i="3" s="1"/>
  <c r="C30" i="2"/>
  <c r="C30" i="3" s="1"/>
  <c r="B30" i="2"/>
  <c r="B30" i="3" s="1"/>
  <c r="A30" i="2"/>
  <c r="A30" i="3" s="1"/>
  <c r="U29" i="2"/>
  <c r="T29" i="2"/>
  <c r="S29" i="2"/>
  <c r="G29" i="2"/>
  <c r="G29" i="3" s="1"/>
  <c r="F29" i="2"/>
  <c r="F29" i="3" s="1"/>
  <c r="E29" i="2"/>
  <c r="E29" i="3" s="1"/>
  <c r="K29" i="3" s="1"/>
  <c r="D29" i="2"/>
  <c r="D29" i="3" s="1"/>
  <c r="C29" i="2"/>
  <c r="C29" i="3" s="1"/>
  <c r="B29" i="2"/>
  <c r="B29" i="3" s="1"/>
  <c r="A29" i="2"/>
  <c r="A29" i="3" s="1"/>
  <c r="S28" i="2"/>
  <c r="R28" i="2"/>
  <c r="G28" i="2"/>
  <c r="G28" i="3" s="1"/>
  <c r="F28" i="2"/>
  <c r="F28" i="3" s="1"/>
  <c r="E28" i="2"/>
  <c r="E28" i="3" s="1"/>
  <c r="K28" i="3" s="1"/>
  <c r="D28" i="2"/>
  <c r="D28" i="3" s="1"/>
  <c r="C28" i="2"/>
  <c r="C28" i="3" s="1"/>
  <c r="B28" i="2"/>
  <c r="B28" i="3" s="1"/>
  <c r="A28" i="2"/>
  <c r="A28" i="3" s="1"/>
  <c r="T27" i="2"/>
  <c r="G27" i="2"/>
  <c r="G27" i="3" s="1"/>
  <c r="F27" i="2"/>
  <c r="F27" i="3" s="1"/>
  <c r="E27" i="2"/>
  <c r="E27" i="3" s="1"/>
  <c r="D27" i="2"/>
  <c r="D27" i="3" s="1"/>
  <c r="C27" i="2"/>
  <c r="C27" i="3" s="1"/>
  <c r="B27" i="2"/>
  <c r="B27" i="3" s="1"/>
  <c r="A27" i="2"/>
  <c r="A27" i="3" s="1"/>
  <c r="U26" i="2"/>
  <c r="R26" i="2"/>
  <c r="G26" i="2"/>
  <c r="G26" i="3" s="1"/>
  <c r="F26" i="2"/>
  <c r="F26" i="3" s="1"/>
  <c r="E26" i="2"/>
  <c r="E26" i="3" s="1"/>
  <c r="K26" i="3" s="1"/>
  <c r="D26" i="2"/>
  <c r="D26" i="3" s="1"/>
  <c r="C26" i="2"/>
  <c r="C26" i="3" s="1"/>
  <c r="B26" i="2"/>
  <c r="B26" i="3" s="1"/>
  <c r="A26" i="2"/>
  <c r="A26" i="3" s="1"/>
  <c r="U25" i="2"/>
  <c r="T25" i="2"/>
  <c r="S25" i="2"/>
  <c r="G25" i="2"/>
  <c r="G25" i="3" s="1"/>
  <c r="F25" i="2"/>
  <c r="F25" i="3" s="1"/>
  <c r="E25" i="2"/>
  <c r="E25" i="3" s="1"/>
  <c r="K25" i="3" s="1"/>
  <c r="D25" i="2"/>
  <c r="D25" i="3" s="1"/>
  <c r="C25" i="2"/>
  <c r="C25" i="3" s="1"/>
  <c r="B25" i="2"/>
  <c r="B25" i="3" s="1"/>
  <c r="A25" i="2"/>
  <c r="A25" i="3" s="1"/>
  <c r="U24" i="2"/>
  <c r="S24" i="2"/>
  <c r="R24" i="2"/>
  <c r="G24" i="2"/>
  <c r="G24" i="3" s="1"/>
  <c r="F24" i="2"/>
  <c r="F24" i="3" s="1"/>
  <c r="E24" i="2"/>
  <c r="E24" i="3" s="1"/>
  <c r="K24" i="3" s="1"/>
  <c r="D24" i="2"/>
  <c r="D24" i="3" s="1"/>
  <c r="C24" i="2"/>
  <c r="C24" i="3" s="1"/>
  <c r="B24" i="2"/>
  <c r="B24" i="3" s="1"/>
  <c r="A24" i="2"/>
  <c r="A24" i="3" s="1"/>
  <c r="T23" i="2"/>
  <c r="S23" i="2"/>
  <c r="G23" i="2"/>
  <c r="G23" i="3" s="1"/>
  <c r="F23" i="2"/>
  <c r="F23" i="3" s="1"/>
  <c r="E23" i="2"/>
  <c r="E23" i="3" s="1"/>
  <c r="D23" i="2"/>
  <c r="D23" i="3" s="1"/>
  <c r="C23" i="2"/>
  <c r="C23" i="3" s="1"/>
  <c r="B23" i="2"/>
  <c r="B23" i="3" s="1"/>
  <c r="A23" i="2"/>
  <c r="A23" i="3" s="1"/>
  <c r="U22" i="2"/>
  <c r="R22" i="2"/>
  <c r="G22" i="2"/>
  <c r="G22" i="3" s="1"/>
  <c r="F22" i="2"/>
  <c r="F22" i="3" s="1"/>
  <c r="E22" i="2"/>
  <c r="E22" i="3" s="1"/>
  <c r="K22" i="3" s="1"/>
  <c r="D22" i="2"/>
  <c r="D22" i="3" s="1"/>
  <c r="C22" i="2"/>
  <c r="C22" i="3" s="1"/>
  <c r="B22" i="2"/>
  <c r="B22" i="3" s="1"/>
  <c r="A22" i="2"/>
  <c r="A22" i="3" s="1"/>
  <c r="U21" i="2"/>
  <c r="T21" i="2"/>
  <c r="S21" i="2"/>
  <c r="G21" i="2"/>
  <c r="G21" i="3" s="1"/>
  <c r="F21" i="2"/>
  <c r="F21" i="3" s="1"/>
  <c r="E21" i="2"/>
  <c r="E21" i="3" s="1"/>
  <c r="K21" i="3" s="1"/>
  <c r="D21" i="2"/>
  <c r="D21" i="3" s="1"/>
  <c r="C21" i="2"/>
  <c r="C21" i="3" s="1"/>
  <c r="B21" i="2"/>
  <c r="B21" i="3" s="1"/>
  <c r="A21" i="2"/>
  <c r="A21" i="3" s="1"/>
  <c r="U20" i="2"/>
  <c r="S20" i="2"/>
  <c r="R20" i="2"/>
  <c r="G20" i="2"/>
  <c r="G20" i="3" s="1"/>
  <c r="F20" i="2"/>
  <c r="F20" i="3" s="1"/>
  <c r="E20" i="2"/>
  <c r="E20" i="3" s="1"/>
  <c r="K20" i="3" s="1"/>
  <c r="D20" i="2"/>
  <c r="D20" i="3" s="1"/>
  <c r="C20" i="2"/>
  <c r="C20" i="3" s="1"/>
  <c r="B20" i="2"/>
  <c r="B20" i="3" s="1"/>
  <c r="A20" i="2"/>
  <c r="A20" i="3" s="1"/>
  <c r="T19" i="2"/>
  <c r="S19" i="2"/>
  <c r="G19" i="2"/>
  <c r="G19" i="3" s="1"/>
  <c r="F19" i="2"/>
  <c r="F19" i="3" s="1"/>
  <c r="E19" i="2"/>
  <c r="E19" i="3" s="1"/>
  <c r="D19" i="2"/>
  <c r="D19" i="3" s="1"/>
  <c r="C19" i="2"/>
  <c r="C19" i="3" s="1"/>
  <c r="B19" i="2"/>
  <c r="B19" i="3" s="1"/>
  <c r="A19" i="2"/>
  <c r="A19" i="3" s="1"/>
  <c r="U18" i="2"/>
  <c r="R18" i="2"/>
  <c r="G18" i="2"/>
  <c r="G18" i="3" s="1"/>
  <c r="F18" i="2"/>
  <c r="F18" i="3" s="1"/>
  <c r="E18" i="2"/>
  <c r="E18" i="3" s="1"/>
  <c r="K18" i="3" s="1"/>
  <c r="D18" i="2"/>
  <c r="D18" i="3" s="1"/>
  <c r="C18" i="2"/>
  <c r="C18" i="3" s="1"/>
  <c r="B18" i="2"/>
  <c r="B18" i="3" s="1"/>
  <c r="A18" i="2"/>
  <c r="A18" i="3" s="1"/>
  <c r="U17" i="2"/>
  <c r="T17" i="2"/>
  <c r="S17" i="2"/>
  <c r="G17" i="2"/>
  <c r="G17" i="3" s="1"/>
  <c r="F17" i="2"/>
  <c r="F17" i="3" s="1"/>
  <c r="E17" i="2"/>
  <c r="E17" i="3" s="1"/>
  <c r="K17" i="3" s="1"/>
  <c r="D17" i="2"/>
  <c r="D17" i="3" s="1"/>
  <c r="C17" i="2"/>
  <c r="C17" i="3" s="1"/>
  <c r="B17" i="2"/>
  <c r="B17" i="3" s="1"/>
  <c r="A17" i="2"/>
  <c r="A17" i="3" s="1"/>
  <c r="U16" i="2"/>
  <c r="S16" i="2"/>
  <c r="R16" i="2"/>
  <c r="G16" i="2"/>
  <c r="G16" i="3" s="1"/>
  <c r="F16" i="2"/>
  <c r="F16" i="3" s="1"/>
  <c r="E16" i="2"/>
  <c r="E16" i="3" s="1"/>
  <c r="K16" i="3" s="1"/>
  <c r="D16" i="2"/>
  <c r="D16" i="3" s="1"/>
  <c r="C16" i="2"/>
  <c r="C16" i="3" s="1"/>
  <c r="B16" i="2"/>
  <c r="B16" i="3" s="1"/>
  <c r="A16" i="2"/>
  <c r="A16" i="3" s="1"/>
  <c r="S15" i="2"/>
  <c r="G15" i="2"/>
  <c r="G15" i="3" s="1"/>
  <c r="F15" i="2"/>
  <c r="F15" i="3" s="1"/>
  <c r="E15" i="2"/>
  <c r="E15" i="3" s="1"/>
  <c r="D15" i="2"/>
  <c r="D15" i="3" s="1"/>
  <c r="C15" i="2"/>
  <c r="C15" i="3" s="1"/>
  <c r="B15" i="2"/>
  <c r="B15" i="3" s="1"/>
  <c r="A15" i="2"/>
  <c r="A15" i="3" s="1"/>
  <c r="U14" i="2"/>
  <c r="R14" i="2"/>
  <c r="G14" i="2"/>
  <c r="G14" i="3" s="1"/>
  <c r="F14" i="2"/>
  <c r="F14" i="3" s="1"/>
  <c r="E14" i="2"/>
  <c r="E14" i="3" s="1"/>
  <c r="K14" i="3" s="1"/>
  <c r="D14" i="2"/>
  <c r="D14" i="3" s="1"/>
  <c r="C14" i="2"/>
  <c r="C14" i="3" s="1"/>
  <c r="B14" i="2"/>
  <c r="B14" i="3" s="1"/>
  <c r="A14" i="2"/>
  <c r="A14" i="3" s="1"/>
  <c r="U13" i="2"/>
  <c r="T13" i="2"/>
  <c r="S13" i="2"/>
  <c r="R13" i="2"/>
  <c r="G13" i="2"/>
  <c r="G13" i="3" s="1"/>
  <c r="F13" i="2"/>
  <c r="F13" i="3" s="1"/>
  <c r="E13" i="2"/>
  <c r="E13" i="3" s="1"/>
  <c r="K13" i="3" s="1"/>
  <c r="D13" i="2"/>
  <c r="D13" i="3" s="1"/>
  <c r="C13" i="2"/>
  <c r="C13" i="3" s="1"/>
  <c r="B13" i="2"/>
  <c r="B13" i="3" s="1"/>
  <c r="A13" i="2"/>
  <c r="A13" i="3" s="1"/>
  <c r="U12" i="2"/>
  <c r="S12" i="2"/>
  <c r="R12" i="2"/>
  <c r="G12" i="2"/>
  <c r="G12" i="3" s="1"/>
  <c r="F12" i="2"/>
  <c r="F12" i="3" s="1"/>
  <c r="E12" i="2"/>
  <c r="E12" i="3" s="1"/>
  <c r="K12" i="3" s="1"/>
  <c r="D12" i="2"/>
  <c r="D12" i="3" s="1"/>
  <c r="C12" i="2"/>
  <c r="C12" i="3" s="1"/>
  <c r="B12" i="2"/>
  <c r="B12" i="3" s="1"/>
  <c r="A12" i="2"/>
  <c r="A12" i="3" s="1"/>
  <c r="S11" i="2"/>
  <c r="G11" i="2"/>
  <c r="G11" i="3" s="1"/>
  <c r="F11" i="2"/>
  <c r="F11" i="3" s="1"/>
  <c r="E11" i="2"/>
  <c r="E11" i="3" s="1"/>
  <c r="D11" i="2"/>
  <c r="D11" i="3" s="1"/>
  <c r="C11" i="2"/>
  <c r="C11" i="3" s="1"/>
  <c r="B11" i="2"/>
  <c r="B11" i="3" s="1"/>
  <c r="A11" i="2"/>
  <c r="A11" i="3" s="1"/>
  <c r="U10" i="2"/>
  <c r="R10" i="2"/>
  <c r="G10" i="2"/>
  <c r="G10" i="3" s="1"/>
  <c r="F10" i="2"/>
  <c r="F10" i="3" s="1"/>
  <c r="E10" i="2"/>
  <c r="E10" i="3" s="1"/>
  <c r="K10" i="3" s="1"/>
  <c r="D10" i="2"/>
  <c r="D10" i="3" s="1"/>
  <c r="C10" i="2"/>
  <c r="C10" i="3" s="1"/>
  <c r="B10" i="2"/>
  <c r="B10" i="3" s="1"/>
  <c r="A10" i="2"/>
  <c r="A10" i="3" s="1"/>
  <c r="U9" i="2"/>
  <c r="T9" i="2"/>
  <c r="S9" i="2"/>
  <c r="R9" i="2"/>
  <c r="G9" i="2"/>
  <c r="G9" i="3" s="1"/>
  <c r="F9" i="2"/>
  <c r="F9" i="3" s="1"/>
  <c r="E9" i="2"/>
  <c r="E9" i="3" s="1"/>
  <c r="K9" i="3" s="1"/>
  <c r="D9" i="2"/>
  <c r="D9" i="3" s="1"/>
  <c r="C9" i="2"/>
  <c r="C9" i="3" s="1"/>
  <c r="B9" i="2"/>
  <c r="B9" i="3" s="1"/>
  <c r="A9" i="2"/>
  <c r="A9" i="3" s="1"/>
  <c r="U8" i="2"/>
  <c r="S8" i="2"/>
  <c r="R8" i="2"/>
  <c r="G8" i="2"/>
  <c r="G8" i="3" s="1"/>
  <c r="F8" i="2"/>
  <c r="F8" i="3" s="1"/>
  <c r="E8" i="2"/>
  <c r="E8" i="3" s="1"/>
  <c r="K8" i="3" s="1"/>
  <c r="D8" i="2"/>
  <c r="D8" i="3" s="1"/>
  <c r="C8" i="2"/>
  <c r="C8" i="3" s="1"/>
  <c r="B8" i="2"/>
  <c r="B8" i="3" s="1"/>
  <c r="A8" i="2"/>
  <c r="A8" i="3" s="1"/>
  <c r="S7" i="2"/>
  <c r="G7" i="2"/>
  <c r="G7" i="3" s="1"/>
  <c r="F7" i="2"/>
  <c r="F7" i="3" s="1"/>
  <c r="E7" i="2"/>
  <c r="E7" i="3" s="1"/>
  <c r="D7" i="2"/>
  <c r="D7" i="3" s="1"/>
  <c r="C7" i="2"/>
  <c r="C7" i="3" s="1"/>
  <c r="B7" i="2"/>
  <c r="B7" i="3" s="1"/>
  <c r="A7" i="2"/>
  <c r="A7" i="3" s="1"/>
  <c r="U6" i="2"/>
  <c r="R6" i="2"/>
  <c r="G6" i="2"/>
  <c r="G6" i="3" s="1"/>
  <c r="F6" i="2"/>
  <c r="F6" i="3" s="1"/>
  <c r="E6" i="2"/>
  <c r="E6" i="3" s="1"/>
  <c r="K6" i="3" s="1"/>
  <c r="D6" i="2"/>
  <c r="D6" i="3" s="1"/>
  <c r="C6" i="2"/>
  <c r="C6" i="3" s="1"/>
  <c r="B6" i="2"/>
  <c r="B6" i="3" s="1"/>
  <c r="A6" i="2"/>
  <c r="A6" i="3" s="1"/>
  <c r="U5" i="2"/>
  <c r="T5" i="2"/>
  <c r="S5" i="2"/>
  <c r="R5" i="2"/>
  <c r="G5" i="2"/>
  <c r="G5" i="3" s="1"/>
  <c r="F5" i="2"/>
  <c r="F5" i="3" s="1"/>
  <c r="E5" i="2"/>
  <c r="E5" i="3" s="1"/>
  <c r="K5" i="3" s="1"/>
  <c r="D5" i="2"/>
  <c r="D5" i="3" s="1"/>
  <c r="C5" i="2"/>
  <c r="C5" i="3" s="1"/>
  <c r="B5" i="2"/>
  <c r="B5" i="3" s="1"/>
  <c r="A5" i="2"/>
  <c r="A5" i="3" s="1"/>
  <c r="S4" i="2"/>
  <c r="R4" i="2"/>
  <c r="G4" i="2"/>
  <c r="F4" i="2"/>
  <c r="U4" i="2" s="1"/>
  <c r="E4" i="2"/>
  <c r="T4" i="2" s="1"/>
  <c r="D4" i="2"/>
  <c r="C4" i="2"/>
  <c r="B4" i="2"/>
  <c r="A4" i="2"/>
  <c r="A4" i="3" s="1"/>
  <c r="L22" i="3" l="1"/>
  <c r="J22" i="3"/>
  <c r="I22" i="3"/>
  <c r="H22" i="3"/>
  <c r="M22" i="3"/>
  <c r="S22" i="3" s="1"/>
  <c r="L30" i="3"/>
  <c r="J30" i="3"/>
  <c r="I30" i="3"/>
  <c r="H30" i="3"/>
  <c r="M30" i="3"/>
  <c r="S30" i="3" s="1"/>
  <c r="J42" i="3"/>
  <c r="I42" i="3"/>
  <c r="H42" i="3"/>
  <c r="M42" i="3"/>
  <c r="S42" i="3" s="1"/>
  <c r="L42" i="3"/>
  <c r="J50" i="3"/>
  <c r="I50" i="3"/>
  <c r="H50" i="3"/>
  <c r="M50" i="3"/>
  <c r="S50" i="3" s="1"/>
  <c r="L50" i="3"/>
  <c r="M62" i="3"/>
  <c r="S62" i="3" s="1"/>
  <c r="L62" i="3"/>
  <c r="J62" i="3"/>
  <c r="I62" i="3"/>
  <c r="H62" i="3"/>
  <c r="M86" i="3"/>
  <c r="S86" i="3" s="1"/>
  <c r="L86" i="3"/>
  <c r="J86" i="3"/>
  <c r="I86" i="3"/>
  <c r="H86" i="3"/>
  <c r="J90" i="3"/>
  <c r="I90" i="3"/>
  <c r="H90" i="3"/>
  <c r="M90" i="3"/>
  <c r="S90" i="3" s="1"/>
  <c r="L90" i="3"/>
  <c r="M102" i="3"/>
  <c r="S102" i="3" s="1"/>
  <c r="L102" i="3"/>
  <c r="J102" i="3"/>
  <c r="I102" i="3"/>
  <c r="H102" i="3"/>
  <c r="C172" i="3"/>
  <c r="G186" i="3"/>
  <c r="R186" i="2"/>
  <c r="D206" i="3"/>
  <c r="S206" i="2"/>
  <c r="B72" i="5"/>
  <c r="B78" i="5"/>
  <c r="B70" i="5"/>
  <c r="B69" i="5"/>
  <c r="B71" i="5"/>
  <c r="B77" i="5"/>
  <c r="B76" i="5"/>
  <c r="K9" i="5"/>
  <c r="B73" i="5"/>
  <c r="B75" i="5"/>
  <c r="E6" i="5"/>
  <c r="B74" i="5"/>
  <c r="G4" i="3"/>
  <c r="T6" i="2"/>
  <c r="K7" i="3"/>
  <c r="T10" i="2"/>
  <c r="K11" i="3"/>
  <c r="T14" i="2"/>
  <c r="K15" i="3"/>
  <c r="R17" i="2"/>
  <c r="T18" i="2"/>
  <c r="K19" i="3"/>
  <c r="R21" i="2"/>
  <c r="T22" i="2"/>
  <c r="K23" i="3"/>
  <c r="R25" i="2"/>
  <c r="T26" i="2"/>
  <c r="K27" i="3"/>
  <c r="R29" i="2"/>
  <c r="T30" i="2"/>
  <c r="K31" i="3"/>
  <c r="R33" i="2"/>
  <c r="T34" i="2"/>
  <c r="K35" i="3"/>
  <c r="R37" i="2"/>
  <c r="T38" i="2"/>
  <c r="K39" i="3"/>
  <c r="R41" i="2"/>
  <c r="T42" i="2"/>
  <c r="K43" i="3"/>
  <c r="R45" i="2"/>
  <c r="T46" i="2"/>
  <c r="K47" i="3"/>
  <c r="R49" i="2"/>
  <c r="T50" i="2"/>
  <c r="K51" i="3"/>
  <c r="R53" i="2"/>
  <c r="T54" i="2"/>
  <c r="K55" i="3"/>
  <c r="R57" i="2"/>
  <c r="T58" i="2"/>
  <c r="K59" i="3"/>
  <c r="R61" i="2"/>
  <c r="T62" i="2"/>
  <c r="K63" i="3"/>
  <c r="R65" i="2"/>
  <c r="T66" i="2"/>
  <c r="K67" i="3"/>
  <c r="R69" i="2"/>
  <c r="T70" i="2"/>
  <c r="K71" i="3"/>
  <c r="R73" i="2"/>
  <c r="T74" i="2"/>
  <c r="K75" i="3"/>
  <c r="R77" i="2"/>
  <c r="T78" i="2"/>
  <c r="K79" i="3"/>
  <c r="R81" i="2"/>
  <c r="T82" i="2"/>
  <c r="K83" i="3"/>
  <c r="R85" i="2"/>
  <c r="T86" i="2"/>
  <c r="K87" i="3"/>
  <c r="R89" i="2"/>
  <c r="T90" i="2"/>
  <c r="K91" i="3"/>
  <c r="R93" i="2"/>
  <c r="T94" i="2"/>
  <c r="K95" i="3"/>
  <c r="R97" i="2"/>
  <c r="T98" i="2"/>
  <c r="K99" i="3"/>
  <c r="R101" i="2"/>
  <c r="T102" i="2"/>
  <c r="K103" i="3"/>
  <c r="R105" i="2"/>
  <c r="T106" i="2"/>
  <c r="K107" i="3"/>
  <c r="R109" i="2"/>
  <c r="T110" i="2"/>
  <c r="K111" i="3"/>
  <c r="C113" i="3"/>
  <c r="C117" i="3"/>
  <c r="C121" i="3"/>
  <c r="C125" i="3"/>
  <c r="E128" i="3"/>
  <c r="K128" i="3" s="1"/>
  <c r="C129" i="3"/>
  <c r="E132" i="3"/>
  <c r="K132" i="3" s="1"/>
  <c r="C133" i="3"/>
  <c r="H133" i="2"/>
  <c r="E136" i="3"/>
  <c r="K136" i="3" s="1"/>
  <c r="C137" i="3"/>
  <c r="E140" i="3"/>
  <c r="K140" i="3" s="1"/>
  <c r="C141" i="3"/>
  <c r="E144" i="3"/>
  <c r="K144" i="3" s="1"/>
  <c r="C145" i="3"/>
  <c r="E148" i="3"/>
  <c r="K148" i="3" s="1"/>
  <c r="C149" i="3"/>
  <c r="E152" i="3"/>
  <c r="K152" i="3" s="1"/>
  <c r="C153" i="3"/>
  <c r="E156" i="3"/>
  <c r="K156" i="3" s="1"/>
  <c r="C157" i="3"/>
  <c r="E160" i="3"/>
  <c r="K160" i="3" s="1"/>
  <c r="C161" i="3"/>
  <c r="E164" i="3"/>
  <c r="K164" i="3" s="1"/>
  <c r="C165" i="3"/>
  <c r="E168" i="3"/>
  <c r="K168" i="3" s="1"/>
  <c r="C169" i="3"/>
  <c r="C170" i="3"/>
  <c r="M170" i="2"/>
  <c r="C171" i="3"/>
  <c r="C173" i="3"/>
  <c r="D174" i="3"/>
  <c r="S174" i="2"/>
  <c r="F175" i="3"/>
  <c r="U175" i="2"/>
  <c r="E179" i="3"/>
  <c r="T179" i="2"/>
  <c r="G180" i="3"/>
  <c r="R180" i="2"/>
  <c r="G190" i="3"/>
  <c r="R190" i="2"/>
  <c r="E197" i="3"/>
  <c r="K197" i="3" s="1"/>
  <c r="T197" i="2"/>
  <c r="F199" i="3"/>
  <c r="U199" i="2"/>
  <c r="C204" i="3"/>
  <c r="D210" i="3"/>
  <c r="S210" i="2"/>
  <c r="E223" i="3"/>
  <c r="K223" i="3" s="1"/>
  <c r="T223" i="2"/>
  <c r="E231" i="3"/>
  <c r="K231" i="3" s="1"/>
  <c r="T231" i="2"/>
  <c r="C262" i="3"/>
  <c r="G272" i="3"/>
  <c r="R272" i="2"/>
  <c r="E274" i="3"/>
  <c r="K274" i="3" s="1"/>
  <c r="T274" i="2"/>
  <c r="L6" i="3"/>
  <c r="J6" i="3"/>
  <c r="I6" i="3"/>
  <c r="H6" i="3"/>
  <c r="M6" i="3"/>
  <c r="S6" i="3" s="1"/>
  <c r="H18" i="3"/>
  <c r="M18" i="3"/>
  <c r="S18" i="3" s="1"/>
  <c r="L18" i="3"/>
  <c r="J18" i="3"/>
  <c r="I18" i="3"/>
  <c r="H26" i="3"/>
  <c r="M26" i="3"/>
  <c r="S26" i="3" s="1"/>
  <c r="L26" i="3"/>
  <c r="J26" i="3"/>
  <c r="I26" i="3"/>
  <c r="H34" i="3"/>
  <c r="M34" i="3"/>
  <c r="S34" i="3" s="1"/>
  <c r="L34" i="3"/>
  <c r="J34" i="3"/>
  <c r="I34" i="3"/>
  <c r="J98" i="3"/>
  <c r="I98" i="3"/>
  <c r="H98" i="3"/>
  <c r="M98" i="3"/>
  <c r="S98" i="3" s="1"/>
  <c r="L98" i="3"/>
  <c r="K113" i="3"/>
  <c r="K121" i="3"/>
  <c r="K123" i="3"/>
  <c r="R128" i="2"/>
  <c r="R132" i="2"/>
  <c r="R136" i="2"/>
  <c r="K137" i="3"/>
  <c r="R140" i="2"/>
  <c r="R144" i="2"/>
  <c r="K145" i="3"/>
  <c r="R148" i="2"/>
  <c r="R152" i="2"/>
  <c r="R156" i="2"/>
  <c r="R160" i="2"/>
  <c r="R164" i="2"/>
  <c r="R168" i="2"/>
  <c r="E169" i="3"/>
  <c r="K169" i="3" s="1"/>
  <c r="E170" i="3"/>
  <c r="K170" i="3" s="1"/>
  <c r="N170" i="2"/>
  <c r="K171" i="3"/>
  <c r="E173" i="3"/>
  <c r="K173" i="3" s="1"/>
  <c r="C178" i="3"/>
  <c r="G182" i="3"/>
  <c r="R182" i="2"/>
  <c r="E189" i="3"/>
  <c r="K189" i="3" s="1"/>
  <c r="T189" i="2"/>
  <c r="F191" i="3"/>
  <c r="U191" i="2"/>
  <c r="C196" i="3"/>
  <c r="D202" i="3"/>
  <c r="S202" i="2"/>
  <c r="G214" i="3"/>
  <c r="R214" i="2"/>
  <c r="E221" i="3"/>
  <c r="K221" i="3" s="1"/>
  <c r="F226" i="3"/>
  <c r="U226" i="2"/>
  <c r="F236" i="3"/>
  <c r="U236" i="2"/>
  <c r="C263" i="3"/>
  <c r="H10" i="3"/>
  <c r="M10" i="3"/>
  <c r="S10" i="3" s="1"/>
  <c r="L10" i="3"/>
  <c r="J10" i="3"/>
  <c r="I10" i="3"/>
  <c r="J74" i="3"/>
  <c r="I74" i="3"/>
  <c r="H74" i="3"/>
  <c r="M74" i="3"/>
  <c r="S74" i="3" s="1"/>
  <c r="L74" i="3"/>
  <c r="J82" i="3"/>
  <c r="I82" i="3"/>
  <c r="H82" i="3"/>
  <c r="M82" i="3"/>
  <c r="S82" i="3" s="1"/>
  <c r="L82" i="3"/>
  <c r="M113" i="3"/>
  <c r="S113" i="3" s="1"/>
  <c r="J113" i="3"/>
  <c r="E229" i="3"/>
  <c r="K229" i="3" s="1"/>
  <c r="A6" i="5"/>
  <c r="C78" i="6"/>
  <c r="B4" i="3"/>
  <c r="M41" i="3"/>
  <c r="S41" i="3" s="1"/>
  <c r="L41" i="3"/>
  <c r="J41" i="3"/>
  <c r="I41" i="3"/>
  <c r="H41" i="3"/>
  <c r="I45" i="3"/>
  <c r="H45" i="3"/>
  <c r="M45" i="3"/>
  <c r="S45" i="3" s="1"/>
  <c r="L45" i="3"/>
  <c r="J45" i="3"/>
  <c r="M49" i="3"/>
  <c r="S49" i="3" s="1"/>
  <c r="L49" i="3"/>
  <c r="J49" i="3"/>
  <c r="I49" i="3"/>
  <c r="H49" i="3"/>
  <c r="I53" i="3"/>
  <c r="H53" i="3"/>
  <c r="M53" i="3"/>
  <c r="S53" i="3" s="1"/>
  <c r="L53" i="3"/>
  <c r="J53" i="3"/>
  <c r="M57" i="3"/>
  <c r="S57" i="3" s="1"/>
  <c r="L57" i="3"/>
  <c r="J57" i="3"/>
  <c r="I57" i="3"/>
  <c r="H57" i="3"/>
  <c r="I61" i="3"/>
  <c r="H61" i="3"/>
  <c r="M61" i="3"/>
  <c r="S61" i="3" s="1"/>
  <c r="L61" i="3"/>
  <c r="J61" i="3"/>
  <c r="M65" i="3"/>
  <c r="S65" i="3" s="1"/>
  <c r="L65" i="3"/>
  <c r="J65" i="3"/>
  <c r="I65" i="3"/>
  <c r="H65" i="3"/>
  <c r="I69" i="3"/>
  <c r="H69" i="3"/>
  <c r="M69" i="3"/>
  <c r="S69" i="3" s="1"/>
  <c r="L69" i="3"/>
  <c r="J69" i="3"/>
  <c r="M73" i="3"/>
  <c r="S73" i="3" s="1"/>
  <c r="L73" i="3"/>
  <c r="J73" i="3"/>
  <c r="I73" i="3"/>
  <c r="H73" i="3"/>
  <c r="I77" i="3"/>
  <c r="H77" i="3"/>
  <c r="M77" i="3"/>
  <c r="S77" i="3" s="1"/>
  <c r="L77" i="3"/>
  <c r="J77" i="3"/>
  <c r="M81" i="3"/>
  <c r="S81" i="3" s="1"/>
  <c r="L81" i="3"/>
  <c r="J81" i="3"/>
  <c r="I81" i="3"/>
  <c r="H81" i="3"/>
  <c r="I85" i="3"/>
  <c r="H85" i="3"/>
  <c r="M85" i="3"/>
  <c r="S85" i="3" s="1"/>
  <c r="L85" i="3"/>
  <c r="J85" i="3"/>
  <c r="M89" i="3"/>
  <c r="S89" i="3" s="1"/>
  <c r="L89" i="3"/>
  <c r="J89" i="3"/>
  <c r="I89" i="3"/>
  <c r="H89" i="3"/>
  <c r="I93" i="3"/>
  <c r="H93" i="3"/>
  <c r="M93" i="3"/>
  <c r="S93" i="3" s="1"/>
  <c r="L93" i="3"/>
  <c r="J93" i="3"/>
  <c r="M97" i="3"/>
  <c r="S97" i="3" s="1"/>
  <c r="L97" i="3"/>
  <c r="J97" i="3"/>
  <c r="I97" i="3"/>
  <c r="H97" i="3"/>
  <c r="I101" i="3"/>
  <c r="H101" i="3"/>
  <c r="M101" i="3"/>
  <c r="S101" i="3" s="1"/>
  <c r="L101" i="3"/>
  <c r="J101" i="3"/>
  <c r="M105" i="3"/>
  <c r="S105" i="3" s="1"/>
  <c r="L105" i="3"/>
  <c r="J105" i="3"/>
  <c r="I105" i="3"/>
  <c r="H105" i="3"/>
  <c r="I109" i="3"/>
  <c r="H109" i="3"/>
  <c r="M109" i="3"/>
  <c r="S109" i="3" s="1"/>
  <c r="L109" i="3"/>
  <c r="J109" i="3"/>
  <c r="F113" i="3"/>
  <c r="I113" i="3" s="1"/>
  <c r="F115" i="3"/>
  <c r="K115" i="3" s="1"/>
  <c r="U115" i="2"/>
  <c r="F117" i="3"/>
  <c r="K117" i="3" s="1"/>
  <c r="F119" i="3"/>
  <c r="K119" i="3" s="1"/>
  <c r="U119" i="2"/>
  <c r="F121" i="3"/>
  <c r="F123" i="3"/>
  <c r="U123" i="2"/>
  <c r="F125" i="3"/>
  <c r="K125" i="3" s="1"/>
  <c r="U125" i="2"/>
  <c r="D126" i="3"/>
  <c r="S126" i="2"/>
  <c r="F129" i="3"/>
  <c r="K129" i="3" s="1"/>
  <c r="U129" i="2"/>
  <c r="D130" i="3"/>
  <c r="S130" i="2"/>
  <c r="F133" i="3"/>
  <c r="K133" i="3" s="1"/>
  <c r="U133" i="2"/>
  <c r="D134" i="3"/>
  <c r="S134" i="2"/>
  <c r="F137" i="3"/>
  <c r="U137" i="2"/>
  <c r="D138" i="3"/>
  <c r="S138" i="2"/>
  <c r="F141" i="3"/>
  <c r="K141" i="3" s="1"/>
  <c r="U141" i="2"/>
  <c r="D142" i="3"/>
  <c r="S142" i="2"/>
  <c r="F145" i="3"/>
  <c r="U145" i="2"/>
  <c r="D146" i="3"/>
  <c r="S146" i="2"/>
  <c r="F149" i="3"/>
  <c r="K149" i="3" s="1"/>
  <c r="U149" i="2"/>
  <c r="D150" i="3"/>
  <c r="S150" i="2"/>
  <c r="F153" i="3"/>
  <c r="K153" i="3" s="1"/>
  <c r="U153" i="2"/>
  <c r="D154" i="3"/>
  <c r="S154" i="2"/>
  <c r="F157" i="3"/>
  <c r="K157" i="3" s="1"/>
  <c r="U157" i="2"/>
  <c r="D158" i="3"/>
  <c r="S158" i="2"/>
  <c r="F161" i="3"/>
  <c r="K161" i="3" s="1"/>
  <c r="U161" i="2"/>
  <c r="D162" i="3"/>
  <c r="S162" i="2"/>
  <c r="F165" i="3"/>
  <c r="K165" i="3" s="1"/>
  <c r="U165" i="2"/>
  <c r="D166" i="3"/>
  <c r="S166" i="2"/>
  <c r="F171" i="3"/>
  <c r="U171" i="2"/>
  <c r="G174" i="3"/>
  <c r="R174" i="2"/>
  <c r="C177" i="3"/>
  <c r="D178" i="3"/>
  <c r="S178" i="2"/>
  <c r="E181" i="3"/>
  <c r="K181" i="3" s="1"/>
  <c r="T181" i="2"/>
  <c r="E185" i="3"/>
  <c r="K185" i="3" s="1"/>
  <c r="T185" i="2"/>
  <c r="F187" i="3"/>
  <c r="U187" i="2"/>
  <c r="C192" i="3"/>
  <c r="D198" i="3"/>
  <c r="S198" i="2"/>
  <c r="G210" i="3"/>
  <c r="R210" i="2"/>
  <c r="E217" i="3"/>
  <c r="K217" i="3" s="1"/>
  <c r="T217" i="2"/>
  <c r="F219" i="3"/>
  <c r="U219" i="2"/>
  <c r="F224" i="3"/>
  <c r="U224" i="2"/>
  <c r="F232" i="3"/>
  <c r="U232" i="2"/>
  <c r="G275" i="3"/>
  <c r="R275" i="2"/>
  <c r="F280" i="3"/>
  <c r="U280" i="2"/>
  <c r="F292" i="3"/>
  <c r="U292" i="2"/>
  <c r="M70" i="3"/>
  <c r="S70" i="3" s="1"/>
  <c r="L70" i="3"/>
  <c r="J70" i="3"/>
  <c r="I70" i="3"/>
  <c r="H70" i="3"/>
  <c r="F195" i="3"/>
  <c r="U195" i="2"/>
  <c r="M5" i="3"/>
  <c r="S5" i="3" s="1"/>
  <c r="L5" i="3"/>
  <c r="J5" i="3"/>
  <c r="I5" i="3"/>
  <c r="H5" i="3"/>
  <c r="J25" i="3"/>
  <c r="I25" i="3"/>
  <c r="H25" i="3"/>
  <c r="M25" i="3"/>
  <c r="S25" i="3" s="1"/>
  <c r="L25" i="3"/>
  <c r="M37" i="3"/>
  <c r="S37" i="3" s="1"/>
  <c r="L37" i="3"/>
  <c r="J37" i="3"/>
  <c r="I37" i="3"/>
  <c r="H37" i="3"/>
  <c r="D46" i="7"/>
  <c r="M31" i="2" s="1"/>
  <c r="N31" i="2" s="1"/>
  <c r="H44" i="7" a="1"/>
  <c r="H44" i="7" s="1"/>
  <c r="B44" i="7"/>
  <c r="I44" i="7" s="1"/>
  <c r="E43" i="7"/>
  <c r="O334" i="2" s="1"/>
  <c r="G42" i="7" a="1"/>
  <c r="G42" i="7" s="1"/>
  <c r="C41" i="7"/>
  <c r="F40" i="7"/>
  <c r="D38" i="7"/>
  <c r="H36" i="7" a="1"/>
  <c r="H36" i="7" s="1"/>
  <c r="B36" i="7"/>
  <c r="I36" i="7" s="1"/>
  <c r="E35" i="7"/>
  <c r="G34" i="7" a="1"/>
  <c r="G34" i="7" s="1"/>
  <c r="C33" i="7"/>
  <c r="K263" i="2" s="1"/>
  <c r="L263" i="2" s="1"/>
  <c r="F32" i="7"/>
  <c r="D30" i="7"/>
  <c r="M578" i="2" s="1"/>
  <c r="H28" i="7" a="1"/>
  <c r="H28" i="7" s="1"/>
  <c r="B28" i="7"/>
  <c r="I28" i="7" s="1"/>
  <c r="E27" i="7"/>
  <c r="G26" i="7" a="1"/>
  <c r="G26" i="7" s="1"/>
  <c r="C25" i="7"/>
  <c r="K13" i="2" s="1"/>
  <c r="L13" i="2" s="1"/>
  <c r="F24" i="7"/>
  <c r="D22" i="7"/>
  <c r="M145" i="2" s="1"/>
  <c r="N145" i="2" s="1"/>
  <c r="H20" i="7" a="1"/>
  <c r="H20" i="7" s="1"/>
  <c r="B20" i="7"/>
  <c r="I20" i="7" s="1"/>
  <c r="E19" i="7"/>
  <c r="G18" i="7" a="1"/>
  <c r="G18" i="7" s="1"/>
  <c r="C17" i="7"/>
  <c r="F16" i="7"/>
  <c r="D14" i="7"/>
  <c r="H12" i="7" a="1"/>
  <c r="H12" i="7" s="1"/>
  <c r="B12" i="7"/>
  <c r="I12" i="7" s="1"/>
  <c r="E11" i="7"/>
  <c r="O50" i="2" s="1"/>
  <c r="G10" i="7" a="1"/>
  <c r="G10" i="7" s="1"/>
  <c r="C9" i="7"/>
  <c r="F8" i="7"/>
  <c r="D6" i="7"/>
  <c r="M35" i="2" s="1"/>
  <c r="N35" i="2" s="1"/>
  <c r="H4" i="7" a="1"/>
  <c r="H4" i="7" s="1"/>
  <c r="C46" i="7"/>
  <c r="K61" i="2" s="1"/>
  <c r="L61" i="2" s="1"/>
  <c r="F45" i="7"/>
  <c r="D43" i="7"/>
  <c r="M334" i="2" s="1"/>
  <c r="H41" i="7" a="1"/>
  <c r="H41" i="7" s="1"/>
  <c r="B41" i="7"/>
  <c r="I41" i="7" s="1"/>
  <c r="E40" i="7"/>
  <c r="G39" i="7" a="1"/>
  <c r="G39" i="7" s="1"/>
  <c r="C38" i="7"/>
  <c r="F37" i="7"/>
  <c r="H141" i="2" s="1"/>
  <c r="I141" i="2" s="1"/>
  <c r="D35" i="7"/>
  <c r="H33" i="7" a="1"/>
  <c r="H33" i="7" s="1"/>
  <c r="B33" i="7"/>
  <c r="I33" i="7" s="1"/>
  <c r="E32" i="7"/>
  <c r="G31" i="7" a="1"/>
  <c r="G31" i="7" s="1"/>
  <c r="C30" i="7"/>
  <c r="F29" i="7"/>
  <c r="D27" i="7"/>
  <c r="H25" i="7" a="1"/>
  <c r="H25" i="7" s="1"/>
  <c r="B25" i="7"/>
  <c r="I25" i="7" s="1"/>
  <c r="E24" i="7"/>
  <c r="O562" i="2" s="1"/>
  <c r="P562" i="2" s="1"/>
  <c r="G23" i="7" a="1"/>
  <c r="G23" i="7" s="1"/>
  <c r="C22" i="7"/>
  <c r="F21" i="7"/>
  <c r="H125" i="2" s="1"/>
  <c r="I125" i="2" s="1"/>
  <c r="D19" i="7"/>
  <c r="M91" i="2" s="1"/>
  <c r="N91" i="2" s="1"/>
  <c r="H17" i="7" a="1"/>
  <c r="H17" i="7" s="1"/>
  <c r="B17" i="7"/>
  <c r="I17" i="7" s="1"/>
  <c r="E16" i="7"/>
  <c r="G15" i="7" a="1"/>
  <c r="G15" i="7" s="1"/>
  <c r="C14" i="7"/>
  <c r="F13" i="7"/>
  <c r="J13" i="7" s="1"/>
  <c r="D11" i="7"/>
  <c r="H9" i="7" a="1"/>
  <c r="H9" i="7" s="1"/>
  <c r="B9" i="7"/>
  <c r="I9" i="7" s="1"/>
  <c r="E8" i="7"/>
  <c r="G7" i="7" a="1"/>
  <c r="G7" i="7" s="1"/>
  <c r="C6" i="7"/>
  <c r="F5" i="7"/>
  <c r="D3" i="7"/>
  <c r="M12" i="2" s="1"/>
  <c r="H46" i="7" a="1"/>
  <c r="H46" i="7" s="1"/>
  <c r="B46" i="7"/>
  <c r="I46" i="7" s="1"/>
  <c r="E45" i="7"/>
  <c r="O498" i="2" s="1"/>
  <c r="P498" i="2" s="1"/>
  <c r="G44" i="7" a="1"/>
  <c r="G44" i="7" s="1"/>
  <c r="C43" i="7"/>
  <c r="F42" i="7"/>
  <c r="D40" i="7"/>
  <c r="H38" i="7" a="1"/>
  <c r="H38" i="7" s="1"/>
  <c r="B38" i="7"/>
  <c r="I38" i="7" s="1"/>
  <c r="E37" i="7"/>
  <c r="G36" i="7" a="1"/>
  <c r="G36" i="7" s="1"/>
  <c r="C35" i="7"/>
  <c r="F34" i="7"/>
  <c r="H117" i="2" s="1"/>
  <c r="I117" i="2" s="1"/>
  <c r="D32" i="7"/>
  <c r="H30" i="7" a="1"/>
  <c r="H30" i="7" s="1"/>
  <c r="B30" i="7"/>
  <c r="I30" i="7" s="1"/>
  <c r="E29" i="7"/>
  <c r="G28" i="7" a="1"/>
  <c r="G28" i="7" s="1"/>
  <c r="C27" i="7"/>
  <c r="K119" i="2" s="1"/>
  <c r="L119" i="2" s="1"/>
  <c r="F26" i="7"/>
  <c r="D24" i="7"/>
  <c r="M562" i="2" s="1"/>
  <c r="H22" i="7" a="1"/>
  <c r="H22" i="7" s="1"/>
  <c r="B22" i="7"/>
  <c r="I22" i="7" s="1"/>
  <c r="E21" i="7"/>
  <c r="G20" i="7" a="1"/>
  <c r="G20" i="7" s="1"/>
  <c r="C19" i="7"/>
  <c r="K49" i="2" s="1"/>
  <c r="L49" i="2" s="1"/>
  <c r="D45" i="7"/>
  <c r="M165" i="2" s="1"/>
  <c r="N165" i="2" s="1"/>
  <c r="H43" i="7" a="1"/>
  <c r="H43" i="7" s="1"/>
  <c r="B43" i="7"/>
  <c r="I43" i="7" s="1"/>
  <c r="E42" i="7"/>
  <c r="G41" i="7" a="1"/>
  <c r="G41" i="7" s="1"/>
  <c r="C40" i="7"/>
  <c r="F39" i="7"/>
  <c r="H137" i="2" s="1"/>
  <c r="I137" i="2" s="1"/>
  <c r="D37" i="7"/>
  <c r="M141" i="2" s="1"/>
  <c r="N141" i="2" s="1"/>
  <c r="H35" i="7" a="1"/>
  <c r="H35" i="7" s="1"/>
  <c r="B35" i="7"/>
  <c r="I35" i="7" s="1"/>
  <c r="E34" i="7"/>
  <c r="G33" i="7" a="1"/>
  <c r="G33" i="7" s="1"/>
  <c r="C32" i="7"/>
  <c r="F31" i="7"/>
  <c r="D29" i="7"/>
  <c r="H27" i="7" a="1"/>
  <c r="H27" i="7" s="1"/>
  <c r="B27" i="7"/>
  <c r="I27" i="7" s="1"/>
  <c r="E26" i="7"/>
  <c r="O567" i="2" s="1"/>
  <c r="P567" i="2" s="1"/>
  <c r="G25" i="7" a="1"/>
  <c r="G25" i="7" s="1"/>
  <c r="C24" i="7"/>
  <c r="K464" i="2" s="1"/>
  <c r="F23" i="7"/>
  <c r="J23" i="7" s="1"/>
  <c r="D21" i="7"/>
  <c r="H19" i="7" a="1"/>
  <c r="H19" i="7" s="1"/>
  <c r="B19" i="7"/>
  <c r="I19" i="7" s="1"/>
  <c r="E18" i="7"/>
  <c r="O166" i="2" s="1"/>
  <c r="P166" i="2" s="1"/>
  <c r="G17" i="7" a="1"/>
  <c r="G17" i="7" s="1"/>
  <c r="C16" i="7"/>
  <c r="F15" i="7"/>
  <c r="D13" i="7"/>
  <c r="H11" i="7" a="1"/>
  <c r="H11" i="7" s="1"/>
  <c r="B11" i="7"/>
  <c r="I11" i="7" s="1"/>
  <c r="E10" i="7"/>
  <c r="G9" i="7" a="1"/>
  <c r="G9" i="7" s="1"/>
  <c r="C8" i="7"/>
  <c r="K30" i="2" s="1"/>
  <c r="L30" i="2" s="1"/>
  <c r="F7" i="7"/>
  <c r="D5" i="7"/>
  <c r="M494" i="2" s="1"/>
  <c r="H3" i="7" a="1"/>
  <c r="H3" i="7" s="1"/>
  <c r="B3" i="7"/>
  <c r="I3" i="7" s="1"/>
  <c r="E2" i="7"/>
  <c r="G46" i="7" a="1"/>
  <c r="G46" i="7" s="1"/>
  <c r="C45" i="7"/>
  <c r="F44" i="7"/>
  <c r="D42" i="7"/>
  <c r="H40" i="7" a="1"/>
  <c r="H40" i="7" s="1"/>
  <c r="B40" i="7"/>
  <c r="I40" i="7" s="1"/>
  <c r="E39" i="7"/>
  <c r="G38" i="7" a="1"/>
  <c r="G38" i="7" s="1"/>
  <c r="C37" i="7"/>
  <c r="F36" i="7"/>
  <c r="H279" i="2" s="1"/>
  <c r="I279" i="2" s="1"/>
  <c r="D34" i="7"/>
  <c r="M129" i="2" s="1"/>
  <c r="N129" i="2" s="1"/>
  <c r="H32" i="7" a="1"/>
  <c r="H32" i="7" s="1"/>
  <c r="B32" i="7"/>
  <c r="I32" i="7" s="1"/>
  <c r="E31" i="7"/>
  <c r="G30" i="7" a="1"/>
  <c r="G30" i="7" s="1"/>
  <c r="C29" i="7"/>
  <c r="K109" i="2" s="1"/>
  <c r="L109" i="2" s="1"/>
  <c r="F28" i="7"/>
  <c r="D26" i="7"/>
  <c r="M544" i="2" s="1"/>
  <c r="N544" i="2" s="1"/>
  <c r="H24" i="7" a="1"/>
  <c r="H24" i="7" s="1"/>
  <c r="B24" i="7"/>
  <c r="I24" i="7" s="1"/>
  <c r="E23" i="7"/>
  <c r="O720" i="2" s="1"/>
  <c r="P720" i="2" s="1"/>
  <c r="G22" i="7" a="1"/>
  <c r="G22" i="7" s="1"/>
  <c r="C21" i="7"/>
  <c r="F20" i="7"/>
  <c r="H173" i="2" s="1"/>
  <c r="I173" i="2" s="1"/>
  <c r="D18" i="7"/>
  <c r="H16" i="7" a="1"/>
  <c r="H16" i="7" s="1"/>
  <c r="B16" i="7"/>
  <c r="I16" i="7" s="1"/>
  <c r="E15" i="7"/>
  <c r="G14" i="7" a="1"/>
  <c r="G14" i="7" s="1"/>
  <c r="C13" i="7"/>
  <c r="F12" i="7"/>
  <c r="J12" i="7" s="1"/>
  <c r="D10" i="7"/>
  <c r="H8" i="7" a="1"/>
  <c r="H8" i="7" s="1"/>
  <c r="B8" i="7"/>
  <c r="I8" i="7" s="1"/>
  <c r="E7" i="7"/>
  <c r="O176" i="2" s="1"/>
  <c r="P176" i="2" s="1"/>
  <c r="G6" i="7" a="1"/>
  <c r="G6" i="7" s="1"/>
  <c r="H45" i="7" a="1"/>
  <c r="H45" i="7" s="1"/>
  <c r="B45" i="7"/>
  <c r="I45" i="7" s="1"/>
  <c r="E44" i="7"/>
  <c r="G43" i="7" a="1"/>
  <c r="G43" i="7" s="1"/>
  <c r="C42" i="7"/>
  <c r="K593" i="2" s="1"/>
  <c r="F41" i="7"/>
  <c r="H323" i="2" s="1"/>
  <c r="I323" i="2" s="1"/>
  <c r="D39" i="7"/>
  <c r="M137" i="2" s="1"/>
  <c r="N137" i="2" s="1"/>
  <c r="H37" i="7" a="1"/>
  <c r="H37" i="7" s="1"/>
  <c r="B37" i="7"/>
  <c r="I37" i="7" s="1"/>
  <c r="E36" i="7"/>
  <c r="G35" i="7" a="1"/>
  <c r="G35" i="7" s="1"/>
  <c r="C34" i="7"/>
  <c r="K46" i="2" s="1"/>
  <c r="L46" i="2" s="1"/>
  <c r="F33" i="7"/>
  <c r="J33" i="7" s="1"/>
  <c r="D31" i="7"/>
  <c r="M568" i="2" s="1"/>
  <c r="N568" i="2" s="1"/>
  <c r="H29" i="7" a="1"/>
  <c r="H29" i="7" s="1"/>
  <c r="B29" i="7"/>
  <c r="I29" i="7" s="1"/>
  <c r="E28" i="7"/>
  <c r="G27" i="7" a="1"/>
  <c r="G27" i="7" s="1"/>
  <c r="C26" i="7"/>
  <c r="K662" i="2" s="1"/>
  <c r="F25" i="7"/>
  <c r="H149" i="2" s="1"/>
  <c r="I149" i="2" s="1"/>
  <c r="D23" i="7"/>
  <c r="M720" i="2" s="1"/>
  <c r="H21" i="7" a="1"/>
  <c r="H21" i="7" s="1"/>
  <c r="B21" i="7"/>
  <c r="I21" i="7" s="1"/>
  <c r="E20" i="7"/>
  <c r="G19" i="7" a="1"/>
  <c r="G19" i="7" s="1"/>
  <c r="C18" i="7"/>
  <c r="F17" i="7"/>
  <c r="D15" i="7"/>
  <c r="M547" i="2" s="1"/>
  <c r="H13" i="7" a="1"/>
  <c r="H13" i="7" s="1"/>
  <c r="F46" i="7"/>
  <c r="H679" i="2" s="1"/>
  <c r="I679" i="2" s="1"/>
  <c r="D44" i="7"/>
  <c r="M637" i="2" s="1"/>
  <c r="N637" i="2" s="1"/>
  <c r="H42" i="7" a="1"/>
  <c r="H42" i="7" s="1"/>
  <c r="B42" i="7"/>
  <c r="I42" i="7" s="1"/>
  <c r="E46" i="7"/>
  <c r="G45" i="7" a="1"/>
  <c r="G45" i="7" s="1"/>
  <c r="C44" i="7"/>
  <c r="K501" i="2" s="1"/>
  <c r="F43" i="7"/>
  <c r="J43" i="7" s="1"/>
  <c r="D41" i="7"/>
  <c r="M219" i="2" s="1"/>
  <c r="N219" i="2" s="1"/>
  <c r="H39" i="7" a="1"/>
  <c r="H39" i="7" s="1"/>
  <c r="B39" i="7"/>
  <c r="I39" i="7" s="1"/>
  <c r="E38" i="7"/>
  <c r="O351" i="2" s="1"/>
  <c r="G37" i="7" a="1"/>
  <c r="G37" i="7" s="1"/>
  <c r="C36" i="7"/>
  <c r="F35" i="7"/>
  <c r="E41" i="7"/>
  <c r="H31" i="7" a="1"/>
  <c r="H31" i="7" s="1"/>
  <c r="B23" i="7"/>
  <c r="I23" i="7" s="1"/>
  <c r="C20" i="7"/>
  <c r="H15" i="7" a="1"/>
  <c r="H15" i="7" s="1"/>
  <c r="G40" i="7" a="1"/>
  <c r="G40" i="7" s="1"/>
  <c r="H34" i="7" a="1"/>
  <c r="H34" i="7" s="1"/>
  <c r="B34" i="7"/>
  <c r="I34" i="7" s="1"/>
  <c r="B31" i="7"/>
  <c r="I31" i="7" s="1"/>
  <c r="C28" i="7"/>
  <c r="K492" i="2" s="1"/>
  <c r="L492" i="2" s="1"/>
  <c r="D25" i="7"/>
  <c r="M149" i="2" s="1"/>
  <c r="N149" i="2" s="1"/>
  <c r="E22" i="7"/>
  <c r="F19" i="7"/>
  <c r="D17" i="7"/>
  <c r="C15" i="7"/>
  <c r="E13" i="7"/>
  <c r="F10" i="7"/>
  <c r="B6" i="7"/>
  <c r="I6" i="7" s="1"/>
  <c r="C39" i="7"/>
  <c r="K211" i="2" s="1"/>
  <c r="L211" i="2" s="1"/>
  <c r="E33" i="7"/>
  <c r="O263" i="2" s="1"/>
  <c r="P263" i="2" s="1"/>
  <c r="F30" i="7"/>
  <c r="G24" i="7" a="1"/>
  <c r="G24" i="7" s="1"/>
  <c r="H18" i="7" a="1"/>
  <c r="H18" i="7" s="1"/>
  <c r="G32" i="7" a="1"/>
  <c r="G32" i="7" s="1"/>
  <c r="H26" i="7" a="1"/>
  <c r="H26" i="7" s="1"/>
  <c r="G29" i="7" a="1"/>
  <c r="G29" i="7" s="1"/>
  <c r="H23" i="7" a="1"/>
  <c r="H23" i="7" s="1"/>
  <c r="F38" i="7"/>
  <c r="F27" i="7"/>
  <c r="E17" i="7"/>
  <c r="H14" i="7" a="1"/>
  <c r="H14" i="7" s="1"/>
  <c r="C11" i="7"/>
  <c r="K50" i="2" s="1"/>
  <c r="L50" i="2" s="1"/>
  <c r="F9" i="7"/>
  <c r="E6" i="7"/>
  <c r="O45" i="2" s="1"/>
  <c r="P45" i="2" s="1"/>
  <c r="G3" i="7" a="1"/>
  <c r="G3" i="7" s="1"/>
  <c r="G2" i="7" a="1"/>
  <c r="G2" i="7" s="1"/>
  <c r="D36" i="7"/>
  <c r="B26" i="7"/>
  <c r="I26" i="7" s="1"/>
  <c r="F14" i="7"/>
  <c r="G12" i="7" a="1"/>
  <c r="G12" i="7" s="1"/>
  <c r="E9" i="7"/>
  <c r="H7" i="7" a="1"/>
  <c r="H7" i="7" s="1"/>
  <c r="G4" i="7" a="1"/>
  <c r="G4" i="7" s="1"/>
  <c r="D33" i="7"/>
  <c r="E25" i="7"/>
  <c r="D20" i="7"/>
  <c r="G16" i="7" a="1"/>
  <c r="G16" i="7" s="1"/>
  <c r="E14" i="7"/>
  <c r="E12" i="7"/>
  <c r="H10" i="7" a="1"/>
  <c r="H10" i="7" s="1"/>
  <c r="D9" i="7"/>
  <c r="M712" i="2" s="1"/>
  <c r="D7" i="7"/>
  <c r="H5" i="7" a="1"/>
  <c r="H5" i="7" s="1"/>
  <c r="F4" i="7"/>
  <c r="J4" i="7" s="1"/>
  <c r="F3" i="7"/>
  <c r="B14" i="7"/>
  <c r="I14" i="7" s="1"/>
  <c r="D12" i="7"/>
  <c r="M157" i="2" s="1"/>
  <c r="N157" i="2" s="1"/>
  <c r="C7" i="7"/>
  <c r="K176" i="2" s="1"/>
  <c r="L176" i="2" s="1"/>
  <c r="E4" i="7"/>
  <c r="E3" i="7"/>
  <c r="C2" i="7"/>
  <c r="C31" i="7"/>
  <c r="D16" i="7"/>
  <c r="C12" i="7"/>
  <c r="K102" i="2" s="1"/>
  <c r="L102" i="2" s="1"/>
  <c r="C10" i="7"/>
  <c r="G8" i="7" a="1"/>
  <c r="G8" i="7" s="1"/>
  <c r="B7" i="7"/>
  <c r="I7" i="7" s="1"/>
  <c r="G5" i="7" a="1"/>
  <c r="G5" i="7" s="1"/>
  <c r="D4" i="7"/>
  <c r="C3" i="7"/>
  <c r="B2" i="7"/>
  <c r="I2" i="7" s="1"/>
  <c r="E30" i="7"/>
  <c r="O578" i="2" s="1"/>
  <c r="P578" i="2" s="1"/>
  <c r="C23" i="7"/>
  <c r="K710" i="2" s="1"/>
  <c r="F18" i="7"/>
  <c r="H724" i="2" s="1"/>
  <c r="I724" i="2" s="1"/>
  <c r="G13" i="7" a="1"/>
  <c r="G13" i="7" s="1"/>
  <c r="G11" i="7" a="1"/>
  <c r="G11" i="7" s="1"/>
  <c r="B10" i="7"/>
  <c r="I10" i="7" s="1"/>
  <c r="H6" i="7" a="1"/>
  <c r="H6" i="7" s="1"/>
  <c r="E5" i="7"/>
  <c r="D28" i="7"/>
  <c r="G21" i="7" a="1"/>
  <c r="G21" i="7" s="1"/>
  <c r="B15" i="7"/>
  <c r="I15" i="7" s="1"/>
  <c r="F11" i="7"/>
  <c r="F6" i="7"/>
  <c r="B5" i="7"/>
  <c r="I5" i="7" s="1"/>
  <c r="D2" i="7"/>
  <c r="F22" i="7"/>
  <c r="C5" i="7"/>
  <c r="K216" i="2" s="1"/>
  <c r="B18" i="7"/>
  <c r="I18" i="7" s="1"/>
  <c r="C4" i="7"/>
  <c r="K599" i="2" s="1"/>
  <c r="L599" i="2" s="1"/>
  <c r="B4" i="7"/>
  <c r="I4" i="7" s="1"/>
  <c r="B13" i="7"/>
  <c r="I13" i="7" s="1"/>
  <c r="D8" i="7"/>
  <c r="M51" i="2" s="1"/>
  <c r="N51" i="2" s="1"/>
  <c r="F2" i="7"/>
  <c r="H2" i="7" a="1"/>
  <c r="H2" i="7" s="1"/>
  <c r="C4" i="3"/>
  <c r="R7" i="2"/>
  <c r="T8" i="2"/>
  <c r="O10" i="2"/>
  <c r="T12" i="2"/>
  <c r="R15" i="2"/>
  <c r="T16" i="2"/>
  <c r="R19" i="2"/>
  <c r="O22" i="2"/>
  <c r="K24" i="2"/>
  <c r="L24" i="2" s="1"/>
  <c r="T24" i="2"/>
  <c r="M25" i="2"/>
  <c r="N25" i="2" s="1"/>
  <c r="M29" i="2"/>
  <c r="O30" i="2"/>
  <c r="P30" i="2" s="1"/>
  <c r="T32" i="2"/>
  <c r="O34" i="2"/>
  <c r="R35" i="2"/>
  <c r="K36" i="2"/>
  <c r="T36" i="2"/>
  <c r="R39" i="2"/>
  <c r="M41" i="2"/>
  <c r="N41" i="2" s="1"/>
  <c r="R43" i="2"/>
  <c r="T44" i="2"/>
  <c r="K48" i="2"/>
  <c r="T48" i="2"/>
  <c r="M49" i="2"/>
  <c r="R51" i="2"/>
  <c r="K60" i="2"/>
  <c r="T60" i="2"/>
  <c r="M65" i="2"/>
  <c r="N65" i="2" s="1"/>
  <c r="R67" i="2"/>
  <c r="K68" i="2"/>
  <c r="T68" i="2"/>
  <c r="R71" i="2"/>
  <c r="K72" i="2"/>
  <c r="L72" i="2" s="1"/>
  <c r="T72" i="2"/>
  <c r="M73" i="2"/>
  <c r="N73" i="2" s="1"/>
  <c r="R75" i="2"/>
  <c r="K76" i="2"/>
  <c r="T76" i="2"/>
  <c r="M77" i="2"/>
  <c r="N77" i="2" s="1"/>
  <c r="R79" i="2"/>
  <c r="K80" i="2"/>
  <c r="L80" i="2" s="1"/>
  <c r="T80" i="2"/>
  <c r="R83" i="2"/>
  <c r="K84" i="2"/>
  <c r="T84" i="2"/>
  <c r="M85" i="2"/>
  <c r="N85" i="2" s="1"/>
  <c r="R87" i="2"/>
  <c r="K88" i="2"/>
  <c r="L88" i="2" s="1"/>
  <c r="T88" i="2"/>
  <c r="M89" i="2"/>
  <c r="N89" i="2" s="1"/>
  <c r="R91" i="2"/>
  <c r="T92" i="2"/>
  <c r="M93" i="2"/>
  <c r="N93" i="2" s="1"/>
  <c r="R95" i="2"/>
  <c r="K96" i="2"/>
  <c r="L96" i="2" s="1"/>
  <c r="T96" i="2"/>
  <c r="M97" i="2"/>
  <c r="R99" i="2"/>
  <c r="K100" i="2"/>
  <c r="T100" i="2"/>
  <c r="M101" i="2"/>
  <c r="N101" i="2" s="1"/>
  <c r="R103" i="2"/>
  <c r="K104" i="2"/>
  <c r="L104" i="2" s="1"/>
  <c r="T104" i="2"/>
  <c r="M105" i="2"/>
  <c r="N105" i="2" s="1"/>
  <c r="R107" i="2"/>
  <c r="T108" i="2"/>
  <c r="M109" i="2"/>
  <c r="N109" i="2" s="1"/>
  <c r="R111" i="2"/>
  <c r="K112" i="2"/>
  <c r="L112" i="2" s="1"/>
  <c r="R113" i="2"/>
  <c r="K116" i="2"/>
  <c r="L116" i="2" s="1"/>
  <c r="R117" i="2"/>
  <c r="K120" i="2"/>
  <c r="R121" i="2"/>
  <c r="K124" i="2"/>
  <c r="L124" i="2" s="1"/>
  <c r="E126" i="3"/>
  <c r="K126" i="3" s="1"/>
  <c r="O126" i="2"/>
  <c r="P126" i="2" s="1"/>
  <c r="C127" i="3"/>
  <c r="H127" i="2"/>
  <c r="I127" i="2" s="1"/>
  <c r="M127" i="2"/>
  <c r="E130" i="3"/>
  <c r="K130" i="3" s="1"/>
  <c r="O130" i="2"/>
  <c r="P130" i="2" s="1"/>
  <c r="C131" i="3"/>
  <c r="H131" i="2"/>
  <c r="I131" i="2" s="1"/>
  <c r="M131" i="2"/>
  <c r="N131" i="2" s="1"/>
  <c r="E134" i="3"/>
  <c r="K134" i="3" s="1"/>
  <c r="O134" i="2"/>
  <c r="P134" i="2" s="1"/>
  <c r="C135" i="3"/>
  <c r="H135" i="2"/>
  <c r="I135" i="2" s="1"/>
  <c r="M135" i="2"/>
  <c r="E138" i="3"/>
  <c r="K138" i="3" s="1"/>
  <c r="O138" i="2"/>
  <c r="P138" i="2" s="1"/>
  <c r="C139" i="3"/>
  <c r="H139" i="2"/>
  <c r="I139" i="2" s="1"/>
  <c r="E142" i="3"/>
  <c r="K142" i="3" s="1"/>
  <c r="O142" i="2"/>
  <c r="P142" i="2" s="1"/>
  <c r="C143" i="3"/>
  <c r="H143" i="2"/>
  <c r="I143" i="2" s="1"/>
  <c r="M143" i="2"/>
  <c r="E146" i="3"/>
  <c r="K146" i="3" s="1"/>
  <c r="O146" i="2"/>
  <c r="P146" i="2" s="1"/>
  <c r="C147" i="3"/>
  <c r="H147" i="2"/>
  <c r="I147" i="2" s="1"/>
  <c r="M147" i="2"/>
  <c r="N147" i="2" s="1"/>
  <c r="E150" i="3"/>
  <c r="K150" i="3" s="1"/>
  <c r="O150" i="2"/>
  <c r="P150" i="2" s="1"/>
  <c r="C151" i="3"/>
  <c r="H151" i="2"/>
  <c r="I151" i="2" s="1"/>
  <c r="E154" i="3"/>
  <c r="K154" i="3" s="1"/>
  <c r="O154" i="2"/>
  <c r="P154" i="2" s="1"/>
  <c r="C155" i="3"/>
  <c r="H155" i="2"/>
  <c r="I155" i="2" s="1"/>
  <c r="M155" i="2"/>
  <c r="N155" i="2" s="1"/>
  <c r="E158" i="3"/>
  <c r="K158" i="3" s="1"/>
  <c r="O158" i="2"/>
  <c r="P158" i="2" s="1"/>
  <c r="C159" i="3"/>
  <c r="H159" i="2"/>
  <c r="I159" i="2" s="1"/>
  <c r="M159" i="2"/>
  <c r="E162" i="3"/>
  <c r="K162" i="3" s="1"/>
  <c r="O162" i="2"/>
  <c r="P162" i="2" s="1"/>
  <c r="C163" i="3"/>
  <c r="H163" i="2"/>
  <c r="I163" i="2" s="1"/>
  <c r="M163" i="2"/>
  <c r="N163" i="2" s="1"/>
  <c r="E166" i="3"/>
  <c r="K166" i="3" s="1"/>
  <c r="C167" i="3"/>
  <c r="H167" i="2"/>
  <c r="I167" i="2" s="1"/>
  <c r="M167" i="2"/>
  <c r="T169" i="2"/>
  <c r="T171" i="2"/>
  <c r="C176" i="3"/>
  <c r="M176" i="2"/>
  <c r="E178" i="3"/>
  <c r="K178" i="3" s="1"/>
  <c r="C180" i="3"/>
  <c r="M180" i="2"/>
  <c r="F183" i="3"/>
  <c r="M183" i="3" s="1"/>
  <c r="S183" i="3" s="1"/>
  <c r="U183" i="2"/>
  <c r="C188" i="3"/>
  <c r="O188" i="2"/>
  <c r="P188" i="2" s="1"/>
  <c r="D194" i="3"/>
  <c r="S194" i="2"/>
  <c r="G206" i="3"/>
  <c r="R206" i="2"/>
  <c r="E213" i="3"/>
  <c r="K213" i="3" s="1"/>
  <c r="T213" i="2"/>
  <c r="F215" i="3"/>
  <c r="U215" i="2"/>
  <c r="C220" i="3"/>
  <c r="M220" i="2"/>
  <c r="O220" i="2"/>
  <c r="P220" i="2" s="1"/>
  <c r="E227" i="3"/>
  <c r="K227" i="3" s="1"/>
  <c r="T227" i="2"/>
  <c r="N231" i="2"/>
  <c r="D243" i="3"/>
  <c r="S243" i="2"/>
  <c r="D247" i="3"/>
  <c r="S247" i="2"/>
  <c r="D251" i="3"/>
  <c r="S251" i="2"/>
  <c r="L251" i="2"/>
  <c r="D255" i="3"/>
  <c r="S255" i="2"/>
  <c r="K301" i="2"/>
  <c r="M46" i="3"/>
  <c r="S46" i="3" s="1"/>
  <c r="L46" i="3"/>
  <c r="J46" i="3"/>
  <c r="I46" i="3"/>
  <c r="H46" i="3"/>
  <c r="J58" i="3"/>
  <c r="I58" i="3"/>
  <c r="H58" i="3"/>
  <c r="M58" i="3"/>
  <c r="S58" i="3" s="1"/>
  <c r="L58" i="3"/>
  <c r="M78" i="3"/>
  <c r="S78" i="3" s="1"/>
  <c r="L78" i="3"/>
  <c r="J78" i="3"/>
  <c r="I78" i="3"/>
  <c r="H78" i="3"/>
  <c r="J106" i="3"/>
  <c r="I106" i="3"/>
  <c r="H106" i="3"/>
  <c r="M106" i="3"/>
  <c r="S106" i="3" s="1"/>
  <c r="L106" i="3"/>
  <c r="O172" i="2"/>
  <c r="P172" i="2" s="1"/>
  <c r="E174" i="3"/>
  <c r="K174" i="3" s="1"/>
  <c r="E193" i="3"/>
  <c r="K193" i="3" s="1"/>
  <c r="T193" i="2"/>
  <c r="G218" i="3"/>
  <c r="R218" i="2"/>
  <c r="K399" i="2"/>
  <c r="K9" i="2"/>
  <c r="K81" i="2"/>
  <c r="L81" i="2" s="1"/>
  <c r="L9" i="2"/>
  <c r="M13" i="3"/>
  <c r="S13" i="3" s="1"/>
  <c r="L13" i="3"/>
  <c r="J13" i="3"/>
  <c r="I13" i="3"/>
  <c r="H13" i="3"/>
  <c r="M21" i="3"/>
  <c r="S21" i="3" s="1"/>
  <c r="L21" i="3"/>
  <c r="J21" i="3"/>
  <c r="I21" i="3"/>
  <c r="H21" i="3"/>
  <c r="M29" i="3"/>
  <c r="S29" i="3" s="1"/>
  <c r="L29" i="3"/>
  <c r="J29" i="3"/>
  <c r="I29" i="3"/>
  <c r="H29" i="3"/>
  <c r="J33" i="3"/>
  <c r="I33" i="3"/>
  <c r="H33" i="3"/>
  <c r="M33" i="3"/>
  <c r="S33" i="3" s="1"/>
  <c r="L33" i="3"/>
  <c r="K4" i="2"/>
  <c r="M5" i="2"/>
  <c r="O6" i="2"/>
  <c r="M9" i="2"/>
  <c r="N9" i="2" s="1"/>
  <c r="R11" i="2"/>
  <c r="K12" i="2"/>
  <c r="O14" i="2"/>
  <c r="K16" i="2"/>
  <c r="M17" i="2"/>
  <c r="O18" i="2"/>
  <c r="P18" i="2" s="1"/>
  <c r="T20" i="2"/>
  <c r="R23" i="2"/>
  <c r="O26" i="2"/>
  <c r="R27" i="2"/>
  <c r="K28" i="2"/>
  <c r="L28" i="2" s="1"/>
  <c r="T28" i="2"/>
  <c r="R31" i="2"/>
  <c r="K32" i="2"/>
  <c r="M37" i="2"/>
  <c r="N37" i="2" s="1"/>
  <c r="O38" i="2"/>
  <c r="P38" i="2" s="1"/>
  <c r="T40" i="2"/>
  <c r="M45" i="2"/>
  <c r="N45" i="2" s="1"/>
  <c r="R47" i="2"/>
  <c r="K52" i="2"/>
  <c r="L52" i="2" s="1"/>
  <c r="T52" i="2"/>
  <c r="M53" i="2"/>
  <c r="R55" i="2"/>
  <c r="K56" i="2"/>
  <c r="T56" i="2"/>
  <c r="R59" i="2"/>
  <c r="M61" i="2"/>
  <c r="N61" i="2" s="1"/>
  <c r="R63" i="2"/>
  <c r="T64" i="2"/>
  <c r="B64" i="5"/>
  <c r="G6" i="5"/>
  <c r="D4" i="3"/>
  <c r="L4" i="2"/>
  <c r="N5" i="2"/>
  <c r="P6" i="2"/>
  <c r="M8" i="3"/>
  <c r="S8" i="3" s="1"/>
  <c r="L8" i="3"/>
  <c r="J8" i="3"/>
  <c r="I8" i="3"/>
  <c r="H8" i="3"/>
  <c r="H10" i="2"/>
  <c r="I10" i="2" s="1"/>
  <c r="P10" i="2"/>
  <c r="J12" i="3"/>
  <c r="I12" i="3"/>
  <c r="H12" i="3"/>
  <c r="M12" i="3"/>
  <c r="S12" i="3" s="1"/>
  <c r="L12" i="3"/>
  <c r="L12" i="2"/>
  <c r="H14" i="2"/>
  <c r="I14" i="2" s="1"/>
  <c r="P14" i="2"/>
  <c r="M16" i="3"/>
  <c r="S16" i="3" s="1"/>
  <c r="L16" i="3"/>
  <c r="J16" i="3"/>
  <c r="I16" i="3"/>
  <c r="H16" i="3"/>
  <c r="L16" i="2"/>
  <c r="N17" i="2"/>
  <c r="H18" i="2"/>
  <c r="I18" i="2" s="1"/>
  <c r="J20" i="3"/>
  <c r="I20" i="3"/>
  <c r="H20" i="3"/>
  <c r="M20" i="3"/>
  <c r="S20" i="3" s="1"/>
  <c r="L20" i="3"/>
  <c r="H22" i="2"/>
  <c r="I22" i="2" s="1"/>
  <c r="P22" i="2"/>
  <c r="M24" i="3"/>
  <c r="S24" i="3" s="1"/>
  <c r="L24" i="3"/>
  <c r="J24" i="3"/>
  <c r="I24" i="3"/>
  <c r="H24" i="3"/>
  <c r="H26" i="2"/>
  <c r="I26" i="2" s="1"/>
  <c r="P26" i="2"/>
  <c r="S27" i="2"/>
  <c r="J28" i="3"/>
  <c r="I28" i="3"/>
  <c r="H28" i="3"/>
  <c r="M28" i="3"/>
  <c r="S28" i="3" s="1"/>
  <c r="L28" i="3"/>
  <c r="U28" i="2"/>
  <c r="N29" i="2"/>
  <c r="H30" i="2"/>
  <c r="I30" i="2" s="1"/>
  <c r="S31" i="2"/>
  <c r="M32" i="3"/>
  <c r="S32" i="3" s="1"/>
  <c r="L32" i="3"/>
  <c r="J32" i="3"/>
  <c r="I32" i="3"/>
  <c r="H32" i="3"/>
  <c r="L32" i="2"/>
  <c r="U32" i="2"/>
  <c r="H34" i="2"/>
  <c r="I34" i="2" s="1"/>
  <c r="P34" i="2"/>
  <c r="S35" i="2"/>
  <c r="J36" i="3"/>
  <c r="I36" i="3"/>
  <c r="H36" i="3"/>
  <c r="M36" i="3"/>
  <c r="S36" i="3" s="1"/>
  <c r="L36" i="3"/>
  <c r="L36" i="2"/>
  <c r="U36" i="2"/>
  <c r="H38" i="2"/>
  <c r="I38" i="2" s="1"/>
  <c r="S39" i="2"/>
  <c r="H40" i="3"/>
  <c r="M40" i="3"/>
  <c r="S40" i="3" s="1"/>
  <c r="L40" i="3"/>
  <c r="I40" i="3"/>
  <c r="J40" i="3"/>
  <c r="U40" i="2"/>
  <c r="H42" i="2"/>
  <c r="I42" i="2" s="1"/>
  <c r="S43" i="2"/>
  <c r="L44" i="3"/>
  <c r="J44" i="3"/>
  <c r="I44" i="3"/>
  <c r="H44" i="3"/>
  <c r="M44" i="3"/>
  <c r="S44" i="3" s="1"/>
  <c r="U44" i="2"/>
  <c r="H46" i="2"/>
  <c r="I46" i="2" s="1"/>
  <c r="S47" i="2"/>
  <c r="H48" i="3"/>
  <c r="M48" i="3"/>
  <c r="S48" i="3" s="1"/>
  <c r="L48" i="3"/>
  <c r="J48" i="3"/>
  <c r="I48" i="3"/>
  <c r="L48" i="2"/>
  <c r="U48" i="2"/>
  <c r="N49" i="2"/>
  <c r="P50" i="2"/>
  <c r="S51" i="2"/>
  <c r="L52" i="3"/>
  <c r="J52" i="3"/>
  <c r="I52" i="3"/>
  <c r="H52" i="3"/>
  <c r="M52" i="3"/>
  <c r="S52" i="3" s="1"/>
  <c r="U52" i="2"/>
  <c r="N53" i="2"/>
  <c r="H54" i="2"/>
  <c r="I54" i="2" s="1"/>
  <c r="S55" i="2"/>
  <c r="H56" i="3"/>
  <c r="M56" i="3"/>
  <c r="S56" i="3" s="1"/>
  <c r="L56" i="3"/>
  <c r="J56" i="3"/>
  <c r="I56" i="3"/>
  <c r="L56" i="2"/>
  <c r="U56" i="2"/>
  <c r="H58" i="2"/>
  <c r="I58" i="2" s="1"/>
  <c r="S59" i="2"/>
  <c r="L60" i="3"/>
  <c r="J60" i="3"/>
  <c r="I60" i="3"/>
  <c r="H60" i="3"/>
  <c r="M60" i="3"/>
  <c r="S60" i="3" s="1"/>
  <c r="L60" i="2"/>
  <c r="U60" i="2"/>
  <c r="H62" i="2"/>
  <c r="I62" i="2" s="1"/>
  <c r="S63" i="2"/>
  <c r="H64" i="3"/>
  <c r="M64" i="3"/>
  <c r="S64" i="3" s="1"/>
  <c r="L64" i="3"/>
  <c r="J64" i="3"/>
  <c r="I64" i="3"/>
  <c r="U64" i="2"/>
  <c r="H66" i="2"/>
  <c r="I66" i="2" s="1"/>
  <c r="S67" i="2"/>
  <c r="L68" i="3"/>
  <c r="J68" i="3"/>
  <c r="I68" i="3"/>
  <c r="H68" i="3"/>
  <c r="M68" i="3"/>
  <c r="S68" i="3" s="1"/>
  <c r="L68" i="2"/>
  <c r="U68" i="2"/>
  <c r="H70" i="2"/>
  <c r="I70" i="2" s="1"/>
  <c r="S71" i="2"/>
  <c r="H72" i="3"/>
  <c r="M72" i="3"/>
  <c r="S72" i="3" s="1"/>
  <c r="L72" i="3"/>
  <c r="J72" i="3"/>
  <c r="I72" i="3"/>
  <c r="U72" i="2"/>
  <c r="H74" i="2"/>
  <c r="I74" i="2" s="1"/>
  <c r="S75" i="2"/>
  <c r="L76" i="3"/>
  <c r="J76" i="3"/>
  <c r="I76" i="3"/>
  <c r="H76" i="3"/>
  <c r="M76" i="3"/>
  <c r="S76" i="3" s="1"/>
  <c r="L76" i="2"/>
  <c r="U76" i="2"/>
  <c r="H78" i="2"/>
  <c r="I78" i="2" s="1"/>
  <c r="S79" i="2"/>
  <c r="H80" i="3"/>
  <c r="M80" i="3"/>
  <c r="S80" i="3" s="1"/>
  <c r="L80" i="3"/>
  <c r="J80" i="3"/>
  <c r="I80" i="3"/>
  <c r="U80" i="2"/>
  <c r="H82" i="2"/>
  <c r="I82" i="2" s="1"/>
  <c r="S83" i="2"/>
  <c r="L84" i="3"/>
  <c r="J84" i="3"/>
  <c r="I84" i="3"/>
  <c r="H84" i="3"/>
  <c r="M84" i="3"/>
  <c r="S84" i="3" s="1"/>
  <c r="L84" i="2"/>
  <c r="U84" i="2"/>
  <c r="H86" i="2"/>
  <c r="I86" i="2" s="1"/>
  <c r="S87" i="2"/>
  <c r="H88" i="3"/>
  <c r="M88" i="3"/>
  <c r="S88" i="3" s="1"/>
  <c r="L88" i="3"/>
  <c r="J88" i="3"/>
  <c r="I88" i="3"/>
  <c r="U88" i="2"/>
  <c r="H90" i="2"/>
  <c r="I90" i="2" s="1"/>
  <c r="S91" i="2"/>
  <c r="L92" i="3"/>
  <c r="J92" i="3"/>
  <c r="I92" i="3"/>
  <c r="H92" i="3"/>
  <c r="M92" i="3"/>
  <c r="S92" i="3" s="1"/>
  <c r="U92" i="2"/>
  <c r="S95" i="2"/>
  <c r="H96" i="3"/>
  <c r="M96" i="3"/>
  <c r="S96" i="3" s="1"/>
  <c r="L96" i="3"/>
  <c r="J96" i="3"/>
  <c r="I96" i="3"/>
  <c r="U96" i="2"/>
  <c r="N97" i="2"/>
  <c r="H98" i="2"/>
  <c r="I98" i="2" s="1"/>
  <c r="S99" i="2"/>
  <c r="L100" i="3"/>
  <c r="J100" i="3"/>
  <c r="I100" i="3"/>
  <c r="H100" i="3"/>
  <c r="M100" i="3"/>
  <c r="S100" i="3" s="1"/>
  <c r="L100" i="2"/>
  <c r="U100" i="2"/>
  <c r="H102" i="2"/>
  <c r="I102" i="2" s="1"/>
  <c r="S103" i="2"/>
  <c r="H104" i="3"/>
  <c r="M104" i="3"/>
  <c r="S104" i="3" s="1"/>
  <c r="L104" i="3"/>
  <c r="J104" i="3"/>
  <c r="I104" i="3"/>
  <c r="U104" i="2"/>
  <c r="H106" i="2"/>
  <c r="I106" i="2" s="1"/>
  <c r="S107" i="2"/>
  <c r="L108" i="3"/>
  <c r="J108" i="3"/>
  <c r="I108" i="3"/>
  <c r="H108" i="3"/>
  <c r="M108" i="3"/>
  <c r="S108" i="3" s="1"/>
  <c r="U108" i="2"/>
  <c r="H110" i="2"/>
  <c r="I110" i="2" s="1"/>
  <c r="S111" i="2"/>
  <c r="M112" i="3"/>
  <c r="S112" i="3" s="1"/>
  <c r="L112" i="3"/>
  <c r="I112" i="3"/>
  <c r="S113" i="2"/>
  <c r="D114" i="3"/>
  <c r="S114" i="2"/>
  <c r="M114" i="2"/>
  <c r="N114" i="2" s="1"/>
  <c r="H115" i="2"/>
  <c r="I115" i="2" s="1"/>
  <c r="R115" i="2"/>
  <c r="L116" i="3"/>
  <c r="H116" i="3"/>
  <c r="M116" i="3"/>
  <c r="S116" i="3" s="1"/>
  <c r="S117" i="2"/>
  <c r="D118" i="3"/>
  <c r="S118" i="2"/>
  <c r="M118" i="2"/>
  <c r="N118" i="2" s="1"/>
  <c r="H119" i="2"/>
  <c r="I119" i="2" s="1"/>
  <c r="R119" i="2"/>
  <c r="L120" i="3"/>
  <c r="I120" i="3"/>
  <c r="L120" i="2"/>
  <c r="S121" i="2"/>
  <c r="D122" i="3"/>
  <c r="S122" i="2"/>
  <c r="H123" i="2"/>
  <c r="I123" i="2" s="1"/>
  <c r="R123" i="2"/>
  <c r="L124" i="3"/>
  <c r="J124" i="3"/>
  <c r="I124" i="3"/>
  <c r="H124" i="3"/>
  <c r="T125" i="2"/>
  <c r="N127" i="2"/>
  <c r="T129" i="2"/>
  <c r="K132" i="2"/>
  <c r="L132" i="2" s="1"/>
  <c r="I133" i="2"/>
  <c r="T133" i="2"/>
  <c r="N135" i="2"/>
  <c r="T137" i="2"/>
  <c r="K140" i="2"/>
  <c r="L140" i="2" s="1"/>
  <c r="T141" i="2"/>
  <c r="N143" i="2"/>
  <c r="T145" i="2"/>
  <c r="T149" i="2"/>
  <c r="K152" i="2"/>
  <c r="L152" i="2" s="1"/>
  <c r="T153" i="2"/>
  <c r="K156" i="2"/>
  <c r="L156" i="2" s="1"/>
  <c r="T157" i="2"/>
  <c r="N159" i="2"/>
  <c r="K160" i="2"/>
  <c r="L160" i="2" s="1"/>
  <c r="T161" i="2"/>
  <c r="K164" i="2"/>
  <c r="L164" i="2" s="1"/>
  <c r="T165" i="2"/>
  <c r="N167" i="2"/>
  <c r="K168" i="2"/>
  <c r="L168" i="2" s="1"/>
  <c r="E177" i="3"/>
  <c r="C184" i="3"/>
  <c r="M184" i="2"/>
  <c r="N184" i="2" s="1"/>
  <c r="O184" i="2"/>
  <c r="P184" i="2" s="1"/>
  <c r="D190" i="3"/>
  <c r="S190" i="2"/>
  <c r="G202" i="3"/>
  <c r="R202" i="2"/>
  <c r="E209" i="3"/>
  <c r="K209" i="3" s="1"/>
  <c r="T209" i="2"/>
  <c r="F211" i="3"/>
  <c r="U211" i="2"/>
  <c r="C216" i="3"/>
  <c r="M216" i="2"/>
  <c r="O216" i="2"/>
  <c r="P216" i="2" s="1"/>
  <c r="E225" i="3"/>
  <c r="K225" i="3" s="1"/>
  <c r="F242" i="3"/>
  <c r="U242" i="2"/>
  <c r="F246" i="3"/>
  <c r="K246" i="3" s="1"/>
  <c r="U246" i="2"/>
  <c r="F250" i="3"/>
  <c r="U250" i="2"/>
  <c r="F254" i="3"/>
  <c r="L254" i="3" s="1"/>
  <c r="U254" i="2"/>
  <c r="F258" i="3"/>
  <c r="U258" i="2"/>
  <c r="M262" i="2"/>
  <c r="C264" i="3"/>
  <c r="H264" i="2"/>
  <c r="I264" i="2" s="1"/>
  <c r="K264" i="2"/>
  <c r="L264" i="2" s="1"/>
  <c r="O264" i="2"/>
  <c r="M264" i="2"/>
  <c r="N264" i="2" s="1"/>
  <c r="M268" i="2"/>
  <c r="N268" i="2" s="1"/>
  <c r="G299" i="3"/>
  <c r="R299" i="2"/>
  <c r="L14" i="3"/>
  <c r="J14" i="3"/>
  <c r="I14" i="3"/>
  <c r="H14" i="3"/>
  <c r="M14" i="3"/>
  <c r="S14" i="3" s="1"/>
  <c r="M94" i="3"/>
  <c r="S94" i="3" s="1"/>
  <c r="L94" i="3"/>
  <c r="J94" i="3"/>
  <c r="I94" i="3"/>
  <c r="H94" i="3"/>
  <c r="F179" i="3"/>
  <c r="U179" i="2"/>
  <c r="C200" i="3"/>
  <c r="M200" i="2"/>
  <c r="O200" i="2"/>
  <c r="P200" i="2" s="1"/>
  <c r="I6" i="5"/>
  <c r="B65" i="5"/>
  <c r="E4" i="3"/>
  <c r="K4" i="3" s="1"/>
  <c r="O9" i="2"/>
  <c r="K11" i="2"/>
  <c r="L11" i="2" s="1"/>
  <c r="O13" i="2"/>
  <c r="P13" i="2" s="1"/>
  <c r="K15" i="2"/>
  <c r="L15" i="2" s="1"/>
  <c r="T15" i="2"/>
  <c r="K19" i="2"/>
  <c r="K23" i="2"/>
  <c r="L23" i="2" s="1"/>
  <c r="K31" i="2"/>
  <c r="L31" i="2" s="1"/>
  <c r="O37" i="2"/>
  <c r="K47" i="2"/>
  <c r="L47" i="2" s="1"/>
  <c r="O49" i="2"/>
  <c r="P49" i="2" s="1"/>
  <c r="O53" i="2"/>
  <c r="P53" i="2" s="1"/>
  <c r="O57" i="2"/>
  <c r="P57" i="2" s="1"/>
  <c r="K59" i="2"/>
  <c r="K63" i="2"/>
  <c r="L63" i="2" s="1"/>
  <c r="O69" i="2"/>
  <c r="O81" i="2"/>
  <c r="P81" i="2" s="1"/>
  <c r="K83" i="2"/>
  <c r="O85" i="2"/>
  <c r="P85" i="2" s="1"/>
  <c r="K87" i="2"/>
  <c r="L87" i="2" s="1"/>
  <c r="O89" i="2"/>
  <c r="P89" i="2" s="1"/>
  <c r="K91" i="2"/>
  <c r="O93" i="2"/>
  <c r="P93" i="2" s="1"/>
  <c r="K95" i="2"/>
  <c r="O97" i="2"/>
  <c r="P97" i="2" s="1"/>
  <c r="K99" i="2"/>
  <c r="L99" i="2" s="1"/>
  <c r="O101" i="2"/>
  <c r="P101" i="2" s="1"/>
  <c r="K103" i="2"/>
  <c r="O105" i="2"/>
  <c r="P105" i="2" s="1"/>
  <c r="O109" i="2"/>
  <c r="P109" i="2" s="1"/>
  <c r="K111" i="2"/>
  <c r="L111" i="2" s="1"/>
  <c r="E112" i="3"/>
  <c r="K112" i="3" s="1"/>
  <c r="T113" i="2"/>
  <c r="E116" i="3"/>
  <c r="K116" i="3" s="1"/>
  <c r="T117" i="2"/>
  <c r="E120" i="3"/>
  <c r="K120" i="3" s="1"/>
  <c r="T121" i="2"/>
  <c r="E124" i="3"/>
  <c r="K124" i="3" s="1"/>
  <c r="R126" i="2"/>
  <c r="R130" i="2"/>
  <c r="R134" i="2"/>
  <c r="K135" i="3"/>
  <c r="R138" i="2"/>
  <c r="R142" i="2"/>
  <c r="R146" i="2"/>
  <c r="K147" i="3"/>
  <c r="R150" i="2"/>
  <c r="R154" i="2"/>
  <c r="K155" i="3"/>
  <c r="R158" i="2"/>
  <c r="O159" i="2"/>
  <c r="P159" i="2" s="1"/>
  <c r="R162" i="2"/>
  <c r="O163" i="2"/>
  <c r="R166" i="2"/>
  <c r="O167" i="2"/>
  <c r="K170" i="2"/>
  <c r="H172" i="2"/>
  <c r="I172" i="2" s="1"/>
  <c r="R175" i="2"/>
  <c r="R176" i="2"/>
  <c r="T177" i="2"/>
  <c r="G178" i="3"/>
  <c r="R178" i="2"/>
  <c r="D186" i="3"/>
  <c r="S186" i="2"/>
  <c r="G198" i="3"/>
  <c r="R198" i="2"/>
  <c r="H200" i="2"/>
  <c r="K204" i="2"/>
  <c r="E205" i="3"/>
  <c r="K205" i="3" s="1"/>
  <c r="T205" i="2"/>
  <c r="F207" i="3"/>
  <c r="U207" i="2"/>
  <c r="C212" i="3"/>
  <c r="O212" i="2"/>
  <c r="P212" i="2" s="1"/>
  <c r="D218" i="3"/>
  <c r="S218" i="2"/>
  <c r="F222" i="3"/>
  <c r="U222" i="2"/>
  <c r="F230" i="3"/>
  <c r="L230" i="3" s="1"/>
  <c r="U230" i="2"/>
  <c r="F238" i="3"/>
  <c r="U238" i="2"/>
  <c r="E259" i="3"/>
  <c r="K259" i="3" s="1"/>
  <c r="T259" i="2"/>
  <c r="G270" i="3"/>
  <c r="R270" i="2"/>
  <c r="G282" i="3"/>
  <c r="R282" i="2"/>
  <c r="O285" i="2"/>
  <c r="P285" i="2" s="1"/>
  <c r="M38" i="3"/>
  <c r="S38" i="3" s="1"/>
  <c r="L38" i="3"/>
  <c r="J38" i="3"/>
  <c r="I38" i="3"/>
  <c r="H38" i="3"/>
  <c r="M54" i="3"/>
  <c r="S54" i="3" s="1"/>
  <c r="L54" i="3"/>
  <c r="J54" i="3"/>
  <c r="I54" i="3"/>
  <c r="H54" i="3"/>
  <c r="J66" i="3"/>
  <c r="I66" i="3"/>
  <c r="H66" i="3"/>
  <c r="M66" i="3"/>
  <c r="S66" i="3" s="1"/>
  <c r="L66" i="3"/>
  <c r="M110" i="3"/>
  <c r="S110" i="3" s="1"/>
  <c r="L110" i="3"/>
  <c r="J110" i="3"/>
  <c r="I110" i="3"/>
  <c r="H110" i="3"/>
  <c r="I117" i="3"/>
  <c r="H117" i="3"/>
  <c r="M117" i="3"/>
  <c r="S117" i="3" s="1"/>
  <c r="L117" i="3"/>
  <c r="J117" i="3"/>
  <c r="M121" i="3"/>
  <c r="S121" i="3" s="1"/>
  <c r="L121" i="3"/>
  <c r="J121" i="3"/>
  <c r="I121" i="3"/>
  <c r="H121" i="3"/>
  <c r="D170" i="3"/>
  <c r="S170" i="2"/>
  <c r="F240" i="3"/>
  <c r="U240" i="2"/>
  <c r="K5" i="2"/>
  <c r="L5" i="2" s="1"/>
  <c r="K69" i="2"/>
  <c r="L69" i="2" s="1"/>
  <c r="K89" i="2"/>
  <c r="L89" i="2" s="1"/>
  <c r="J9" i="3"/>
  <c r="I9" i="3"/>
  <c r="H9" i="3"/>
  <c r="M9" i="3"/>
  <c r="S9" i="3" s="1"/>
  <c r="L9" i="3"/>
  <c r="J17" i="3"/>
  <c r="I17" i="3"/>
  <c r="H17" i="3"/>
  <c r="M17" i="3"/>
  <c r="S17" i="3" s="1"/>
  <c r="L17" i="3"/>
  <c r="O5" i="2"/>
  <c r="P5" i="2" s="1"/>
  <c r="K7" i="2"/>
  <c r="L7" i="2" s="1"/>
  <c r="T7" i="2"/>
  <c r="T11" i="2"/>
  <c r="O17" i="2"/>
  <c r="O21" i="2"/>
  <c r="P21" i="2" s="1"/>
  <c r="O25" i="2"/>
  <c r="P25" i="2" s="1"/>
  <c r="K27" i="2"/>
  <c r="O29" i="2"/>
  <c r="P29" i="2" s="1"/>
  <c r="O33" i="2"/>
  <c r="P33" i="2" s="1"/>
  <c r="K35" i="2"/>
  <c r="K39" i="2"/>
  <c r="O41" i="2"/>
  <c r="P41" i="2" s="1"/>
  <c r="K43" i="2"/>
  <c r="L43" i="2" s="1"/>
  <c r="O61" i="2"/>
  <c r="O65" i="2"/>
  <c r="P65" i="2" s="1"/>
  <c r="K67" i="2"/>
  <c r="L67" i="2" s="1"/>
  <c r="K71" i="2"/>
  <c r="O73" i="2"/>
  <c r="P73" i="2" s="1"/>
  <c r="K75" i="2"/>
  <c r="O77" i="2"/>
  <c r="P77" i="2" s="1"/>
  <c r="K79" i="2"/>
  <c r="L79" i="2" s="1"/>
  <c r="K6" i="5"/>
  <c r="B66" i="5"/>
  <c r="F4" i="3"/>
  <c r="H5" i="2"/>
  <c r="I5" i="2" s="1"/>
  <c r="S6" i="2"/>
  <c r="I7" i="3"/>
  <c r="H7" i="3"/>
  <c r="M7" i="3"/>
  <c r="S7" i="3" s="1"/>
  <c r="L7" i="3"/>
  <c r="J7" i="3"/>
  <c r="U7" i="2"/>
  <c r="H9" i="2"/>
  <c r="I9" i="2" s="1"/>
  <c r="P9" i="2"/>
  <c r="S10" i="2"/>
  <c r="M11" i="3"/>
  <c r="S11" i="3" s="1"/>
  <c r="L11" i="3"/>
  <c r="J11" i="3"/>
  <c r="I11" i="3"/>
  <c r="H11" i="3"/>
  <c r="U11" i="2"/>
  <c r="N12" i="2"/>
  <c r="H13" i="2"/>
  <c r="I13" i="2" s="1"/>
  <c r="S14" i="2"/>
  <c r="I15" i="3"/>
  <c r="H15" i="3"/>
  <c r="M15" i="3"/>
  <c r="S15" i="3" s="1"/>
  <c r="L15" i="3"/>
  <c r="J15" i="3"/>
  <c r="U15" i="2"/>
  <c r="H17" i="2"/>
  <c r="I17" i="2" s="1"/>
  <c r="P17" i="2"/>
  <c r="S18" i="2"/>
  <c r="M19" i="3"/>
  <c r="S19" i="3" s="1"/>
  <c r="L19" i="3"/>
  <c r="J19" i="3"/>
  <c r="I19" i="3"/>
  <c r="H19" i="3"/>
  <c r="L19" i="2"/>
  <c r="U19" i="2"/>
  <c r="H21" i="2"/>
  <c r="I21" i="2" s="1"/>
  <c r="S22" i="2"/>
  <c r="I23" i="3"/>
  <c r="H23" i="3"/>
  <c r="M23" i="3"/>
  <c r="S23" i="3" s="1"/>
  <c r="L23" i="3"/>
  <c r="J23" i="3"/>
  <c r="U23" i="2"/>
  <c r="H25" i="2"/>
  <c r="I25" i="2" s="1"/>
  <c r="S26" i="2"/>
  <c r="M27" i="3"/>
  <c r="S27" i="3" s="1"/>
  <c r="L27" i="3"/>
  <c r="J27" i="3"/>
  <c r="I27" i="3"/>
  <c r="H27" i="3"/>
  <c r="L27" i="2"/>
  <c r="U27" i="2"/>
  <c r="H29" i="2"/>
  <c r="I29" i="2" s="1"/>
  <c r="S30" i="2"/>
  <c r="I31" i="3"/>
  <c r="H31" i="3"/>
  <c r="M31" i="3"/>
  <c r="S31" i="3" s="1"/>
  <c r="L31" i="3"/>
  <c r="J31" i="3"/>
  <c r="U31" i="2"/>
  <c r="H33" i="2"/>
  <c r="I33" i="2" s="1"/>
  <c r="S34" i="2"/>
  <c r="M35" i="3"/>
  <c r="S35" i="3" s="1"/>
  <c r="L35" i="3"/>
  <c r="J35" i="3"/>
  <c r="I35" i="3"/>
  <c r="H35" i="3"/>
  <c r="L35" i="2"/>
  <c r="U35" i="2"/>
  <c r="H37" i="2"/>
  <c r="I37" i="2" s="1"/>
  <c r="P37" i="2"/>
  <c r="S38" i="2"/>
  <c r="J39" i="3"/>
  <c r="I39" i="3"/>
  <c r="H39" i="3"/>
  <c r="L39" i="3"/>
  <c r="M39" i="3"/>
  <c r="S39" i="3" s="1"/>
  <c r="L39" i="2"/>
  <c r="U39" i="2"/>
  <c r="H41" i="2"/>
  <c r="I41" i="2" s="1"/>
  <c r="S42" i="2"/>
  <c r="M43" i="3"/>
  <c r="S43" i="3" s="1"/>
  <c r="L43" i="3"/>
  <c r="J43" i="3"/>
  <c r="H43" i="3"/>
  <c r="I43" i="3"/>
  <c r="U43" i="2"/>
  <c r="H45" i="2"/>
  <c r="I45" i="2" s="1"/>
  <c r="S46" i="2"/>
  <c r="J47" i="3"/>
  <c r="I47" i="3"/>
  <c r="H47" i="3"/>
  <c r="L47" i="3"/>
  <c r="M47" i="3"/>
  <c r="S47" i="3" s="1"/>
  <c r="U47" i="2"/>
  <c r="H49" i="2"/>
  <c r="I49" i="2" s="1"/>
  <c r="S50" i="2"/>
  <c r="M51" i="3"/>
  <c r="S51" i="3" s="1"/>
  <c r="L51" i="3"/>
  <c r="J51" i="3"/>
  <c r="I51" i="3"/>
  <c r="H51" i="3"/>
  <c r="U51" i="2"/>
  <c r="H53" i="2"/>
  <c r="I53" i="2" s="1"/>
  <c r="S54" i="2"/>
  <c r="J55" i="3"/>
  <c r="I55" i="3"/>
  <c r="H55" i="3"/>
  <c r="M55" i="3"/>
  <c r="S55" i="3" s="1"/>
  <c r="L55" i="3"/>
  <c r="U55" i="2"/>
  <c r="H57" i="2"/>
  <c r="I57" i="2" s="1"/>
  <c r="S58" i="2"/>
  <c r="M59" i="3"/>
  <c r="S59" i="3" s="1"/>
  <c r="L59" i="3"/>
  <c r="J59" i="3"/>
  <c r="I59" i="3"/>
  <c r="H59" i="3"/>
  <c r="L59" i="2"/>
  <c r="U59" i="2"/>
  <c r="H61" i="2"/>
  <c r="I61" i="2" s="1"/>
  <c r="P61" i="2"/>
  <c r="S62" i="2"/>
  <c r="J63" i="3"/>
  <c r="I63" i="3"/>
  <c r="H63" i="3"/>
  <c r="M63" i="3"/>
  <c r="S63" i="3" s="1"/>
  <c r="L63" i="3"/>
  <c r="U63" i="2"/>
  <c r="H65" i="2"/>
  <c r="I65" i="2" s="1"/>
  <c r="S66" i="2"/>
  <c r="M67" i="3"/>
  <c r="S67" i="3" s="1"/>
  <c r="L67" i="3"/>
  <c r="J67" i="3"/>
  <c r="I67" i="3"/>
  <c r="H67" i="3"/>
  <c r="U67" i="2"/>
  <c r="H69" i="2"/>
  <c r="I69" i="2" s="1"/>
  <c r="P69" i="2"/>
  <c r="S70" i="2"/>
  <c r="J71" i="3"/>
  <c r="I71" i="3"/>
  <c r="H71" i="3"/>
  <c r="M71" i="3"/>
  <c r="S71" i="3" s="1"/>
  <c r="L71" i="3"/>
  <c r="L71" i="2"/>
  <c r="U71" i="2"/>
  <c r="H73" i="2"/>
  <c r="I73" i="2" s="1"/>
  <c r="S74" i="2"/>
  <c r="M75" i="3"/>
  <c r="S75" i="3" s="1"/>
  <c r="L75" i="3"/>
  <c r="J75" i="3"/>
  <c r="I75" i="3"/>
  <c r="H75" i="3"/>
  <c r="L75" i="2"/>
  <c r="U75" i="2"/>
  <c r="H77" i="2"/>
  <c r="I77" i="2" s="1"/>
  <c r="S78" i="2"/>
  <c r="J79" i="3"/>
  <c r="I79" i="3"/>
  <c r="H79" i="3"/>
  <c r="M79" i="3"/>
  <c r="S79" i="3" s="1"/>
  <c r="L79" i="3"/>
  <c r="U79" i="2"/>
  <c r="H81" i="2"/>
  <c r="I81" i="2" s="1"/>
  <c r="S82" i="2"/>
  <c r="M83" i="3"/>
  <c r="S83" i="3" s="1"/>
  <c r="L83" i="3"/>
  <c r="J83" i="3"/>
  <c r="I83" i="3"/>
  <c r="H83" i="3"/>
  <c r="L83" i="2"/>
  <c r="U83" i="2"/>
  <c r="H85" i="2"/>
  <c r="I85" i="2" s="1"/>
  <c r="S86" i="2"/>
  <c r="J87" i="3"/>
  <c r="I87" i="3"/>
  <c r="H87" i="3"/>
  <c r="M87" i="3"/>
  <c r="S87" i="3" s="1"/>
  <c r="L87" i="3"/>
  <c r="U87" i="2"/>
  <c r="H89" i="2"/>
  <c r="I89" i="2" s="1"/>
  <c r="S90" i="2"/>
  <c r="M91" i="3"/>
  <c r="S91" i="3" s="1"/>
  <c r="L91" i="3"/>
  <c r="J91" i="3"/>
  <c r="I91" i="3"/>
  <c r="H91" i="3"/>
  <c r="L91" i="2"/>
  <c r="U91" i="2"/>
  <c r="H93" i="2"/>
  <c r="I93" i="2" s="1"/>
  <c r="S94" i="2"/>
  <c r="J95" i="3"/>
  <c r="I95" i="3"/>
  <c r="H95" i="3"/>
  <c r="M95" i="3"/>
  <c r="S95" i="3" s="1"/>
  <c r="L95" i="3"/>
  <c r="L95" i="2"/>
  <c r="U95" i="2"/>
  <c r="H97" i="2"/>
  <c r="I97" i="2" s="1"/>
  <c r="S98" i="2"/>
  <c r="M99" i="3"/>
  <c r="S99" i="3" s="1"/>
  <c r="L99" i="3"/>
  <c r="J99" i="3"/>
  <c r="I99" i="3"/>
  <c r="H99" i="3"/>
  <c r="U99" i="2"/>
  <c r="H101" i="2"/>
  <c r="I101" i="2" s="1"/>
  <c r="S102" i="2"/>
  <c r="J103" i="3"/>
  <c r="I103" i="3"/>
  <c r="H103" i="3"/>
  <c r="M103" i="3"/>
  <c r="S103" i="3" s="1"/>
  <c r="L103" i="3"/>
  <c r="L103" i="2"/>
  <c r="U103" i="2"/>
  <c r="S106" i="2"/>
  <c r="M107" i="3"/>
  <c r="S107" i="3" s="1"/>
  <c r="L107" i="3"/>
  <c r="J107" i="3"/>
  <c r="I107" i="3"/>
  <c r="H107" i="3"/>
  <c r="U107" i="2"/>
  <c r="H109" i="2"/>
  <c r="I109" i="2" s="1"/>
  <c r="S110" i="2"/>
  <c r="J111" i="3"/>
  <c r="I111" i="3"/>
  <c r="H111" i="3"/>
  <c r="M111" i="3"/>
  <c r="S111" i="3" s="1"/>
  <c r="L111" i="3"/>
  <c r="U111" i="2"/>
  <c r="O112" i="2"/>
  <c r="P112" i="2" s="1"/>
  <c r="K113" i="2"/>
  <c r="L113" i="2" s="1"/>
  <c r="U113" i="2"/>
  <c r="O114" i="2"/>
  <c r="P114" i="2" s="1"/>
  <c r="T115" i="2"/>
  <c r="O116" i="2"/>
  <c r="P116" i="2" s="1"/>
  <c r="K117" i="2"/>
  <c r="L117" i="2" s="1"/>
  <c r="U117" i="2"/>
  <c r="O118" i="2"/>
  <c r="P118" i="2" s="1"/>
  <c r="T119" i="2"/>
  <c r="O120" i="2"/>
  <c r="P120" i="2" s="1"/>
  <c r="U121" i="2"/>
  <c r="O122" i="2"/>
  <c r="P122" i="2" s="1"/>
  <c r="T123" i="2"/>
  <c r="O124" i="2"/>
  <c r="P124" i="2" s="1"/>
  <c r="K125" i="2"/>
  <c r="L125" i="2" s="1"/>
  <c r="H126" i="2"/>
  <c r="I126" i="2" s="1"/>
  <c r="T126" i="2"/>
  <c r="F127" i="3"/>
  <c r="I127" i="3" s="1"/>
  <c r="U127" i="2"/>
  <c r="R127" i="2"/>
  <c r="D128" i="3"/>
  <c r="S128" i="2"/>
  <c r="M128" i="2"/>
  <c r="N128" i="2" s="1"/>
  <c r="K129" i="2"/>
  <c r="H130" i="2"/>
  <c r="I130" i="2" s="1"/>
  <c r="T130" i="2"/>
  <c r="F131" i="3"/>
  <c r="K131" i="3" s="1"/>
  <c r="U131" i="2"/>
  <c r="R131" i="2"/>
  <c r="D132" i="3"/>
  <c r="S132" i="2"/>
  <c r="M132" i="2"/>
  <c r="N132" i="2" s="1"/>
  <c r="H134" i="2"/>
  <c r="I134" i="2" s="1"/>
  <c r="T134" i="2"/>
  <c r="F135" i="3"/>
  <c r="U135" i="2"/>
  <c r="R135" i="2"/>
  <c r="D136" i="3"/>
  <c r="S136" i="2"/>
  <c r="H138" i="2"/>
  <c r="I138" i="2" s="1"/>
  <c r="T138" i="2"/>
  <c r="F139" i="3"/>
  <c r="I139" i="3" s="1"/>
  <c r="U139" i="2"/>
  <c r="R139" i="2"/>
  <c r="D140" i="3"/>
  <c r="S140" i="2"/>
  <c r="M140" i="2"/>
  <c r="N140" i="2" s="1"/>
  <c r="K141" i="2"/>
  <c r="L141" i="2" s="1"/>
  <c r="H142" i="2"/>
  <c r="I142" i="2" s="1"/>
  <c r="T142" i="2"/>
  <c r="F143" i="3"/>
  <c r="L143" i="3" s="1"/>
  <c r="U143" i="2"/>
  <c r="R143" i="2"/>
  <c r="D144" i="3"/>
  <c r="S144" i="2"/>
  <c r="M144" i="2"/>
  <c r="N144" i="2" s="1"/>
  <c r="K145" i="2"/>
  <c r="H146" i="2"/>
  <c r="I146" i="2" s="1"/>
  <c r="T146" i="2"/>
  <c r="F147" i="3"/>
  <c r="U147" i="2"/>
  <c r="R147" i="2"/>
  <c r="D148" i="3"/>
  <c r="S148" i="2"/>
  <c r="M148" i="2"/>
  <c r="N148" i="2" s="1"/>
  <c r="K149" i="2"/>
  <c r="H150" i="2"/>
  <c r="I150" i="2" s="1"/>
  <c r="T150" i="2"/>
  <c r="F151" i="3"/>
  <c r="U151" i="2"/>
  <c r="R151" i="2"/>
  <c r="D152" i="3"/>
  <c r="S152" i="2"/>
  <c r="M152" i="2"/>
  <c r="N152" i="2" s="1"/>
  <c r="K153" i="2"/>
  <c r="H154" i="2"/>
  <c r="I154" i="2" s="1"/>
  <c r="T154" i="2"/>
  <c r="F155" i="3"/>
  <c r="U155" i="2"/>
  <c r="R155" i="2"/>
  <c r="D156" i="3"/>
  <c r="S156" i="2"/>
  <c r="M156" i="2"/>
  <c r="N156" i="2" s="1"/>
  <c r="K157" i="2"/>
  <c r="L157" i="2" s="1"/>
  <c r="T158" i="2"/>
  <c r="F159" i="3"/>
  <c r="I159" i="3" s="1"/>
  <c r="U159" i="2"/>
  <c r="R159" i="2"/>
  <c r="D160" i="3"/>
  <c r="S160" i="2"/>
  <c r="M160" i="2"/>
  <c r="N160" i="2" s="1"/>
  <c r="K161" i="2"/>
  <c r="H162" i="2"/>
  <c r="I162" i="2" s="1"/>
  <c r="T162" i="2"/>
  <c r="F163" i="3"/>
  <c r="K163" i="3" s="1"/>
  <c r="U163" i="2"/>
  <c r="P163" i="2"/>
  <c r="R163" i="2"/>
  <c r="D164" i="3"/>
  <c r="S164" i="2"/>
  <c r="T166" i="2"/>
  <c r="F167" i="3"/>
  <c r="U167" i="2"/>
  <c r="P167" i="2"/>
  <c r="R167" i="2"/>
  <c r="D168" i="3"/>
  <c r="S168" i="2"/>
  <c r="M168" i="2"/>
  <c r="N168" i="2" s="1"/>
  <c r="K169" i="2"/>
  <c r="L170" i="2"/>
  <c r="M171" i="2"/>
  <c r="N171" i="2" s="1"/>
  <c r="K173" i="2"/>
  <c r="C174" i="3"/>
  <c r="H174" i="2"/>
  <c r="I174" i="2" s="1"/>
  <c r="O174" i="2"/>
  <c r="P174" i="2" s="1"/>
  <c r="E175" i="3"/>
  <c r="K175" i="3" s="1"/>
  <c r="T175" i="2"/>
  <c r="K178" i="2"/>
  <c r="L178" i="2" s="1"/>
  <c r="D182" i="3"/>
  <c r="O11" i="3" s="1"/>
  <c r="S182" i="2"/>
  <c r="G194" i="3"/>
  <c r="R194" i="2"/>
  <c r="K200" i="2"/>
  <c r="L200" i="2" s="1"/>
  <c r="E201" i="3"/>
  <c r="T201" i="2"/>
  <c r="F203" i="3"/>
  <c r="U203" i="2"/>
  <c r="C208" i="3"/>
  <c r="M208" i="2"/>
  <c r="N208" i="2" s="1"/>
  <c r="O208" i="2"/>
  <c r="P208" i="2" s="1"/>
  <c r="D214" i="3"/>
  <c r="S214" i="2"/>
  <c r="F228" i="3"/>
  <c r="U228" i="2"/>
  <c r="T229" i="2"/>
  <c r="F234" i="3"/>
  <c r="K234" i="3" s="1"/>
  <c r="U234" i="2"/>
  <c r="E260" i="3"/>
  <c r="T260" i="2"/>
  <c r="M263" i="2"/>
  <c r="G271" i="3"/>
  <c r="R271" i="2"/>
  <c r="I271" i="2"/>
  <c r="D279" i="3"/>
  <c r="S279" i="2"/>
  <c r="F284" i="3"/>
  <c r="U284" i="2"/>
  <c r="K297" i="2"/>
  <c r="L297" i="2" s="1"/>
  <c r="E306" i="3"/>
  <c r="T306" i="2"/>
  <c r="K182" i="2"/>
  <c r="L182" i="2" s="1"/>
  <c r="K187" i="3"/>
  <c r="K190" i="2"/>
  <c r="L190" i="2" s="1"/>
  <c r="K191" i="3"/>
  <c r="K194" i="2"/>
  <c r="L194" i="2" s="1"/>
  <c r="K195" i="3"/>
  <c r="K198" i="2"/>
  <c r="L198" i="2" s="1"/>
  <c r="K199" i="3"/>
  <c r="K203" i="3"/>
  <c r="K210" i="2"/>
  <c r="L210" i="2" s="1"/>
  <c r="K211" i="3"/>
  <c r="K214" i="2"/>
  <c r="L214" i="2" s="1"/>
  <c r="K215" i="3"/>
  <c r="K219" i="3"/>
  <c r="K224" i="3"/>
  <c r="K226" i="3"/>
  <c r="K228" i="3"/>
  <c r="N228" i="2"/>
  <c r="K230" i="3"/>
  <c r="K232" i="3"/>
  <c r="T235" i="2"/>
  <c r="K236" i="3"/>
  <c r="K238" i="3"/>
  <c r="T239" i="2"/>
  <c r="K240" i="3"/>
  <c r="K242" i="3"/>
  <c r="R245" i="2"/>
  <c r="R249" i="2"/>
  <c r="K250" i="3"/>
  <c r="R253" i="2"/>
  <c r="K254" i="3"/>
  <c r="R257" i="2"/>
  <c r="K258" i="3"/>
  <c r="D259" i="3"/>
  <c r="S259" i="2"/>
  <c r="M261" i="2"/>
  <c r="F272" i="3"/>
  <c r="U272" i="2"/>
  <c r="E273" i="3"/>
  <c r="K273" i="3" s="1"/>
  <c r="C279" i="3"/>
  <c r="M279" i="2"/>
  <c r="N279" i="2" s="1"/>
  <c r="O279" i="2"/>
  <c r="P279" i="2" s="1"/>
  <c r="K280" i="3"/>
  <c r="E281" i="3"/>
  <c r="K281" i="3" s="1"/>
  <c r="T281" i="2"/>
  <c r="E284" i="3"/>
  <c r="T284" i="2"/>
  <c r="G285" i="3"/>
  <c r="R285" i="2"/>
  <c r="C289" i="3"/>
  <c r="M289" i="2"/>
  <c r="N289" i="2" s="1"/>
  <c r="E292" i="3"/>
  <c r="K292" i="3" s="1"/>
  <c r="T292" i="2"/>
  <c r="G293" i="3"/>
  <c r="R293" i="2"/>
  <c r="G303" i="3"/>
  <c r="R303" i="2"/>
  <c r="K371" i="2"/>
  <c r="K391" i="2"/>
  <c r="L391" i="2" s="1"/>
  <c r="M182" i="2"/>
  <c r="R184" i="2"/>
  <c r="K185" i="2"/>
  <c r="L185" i="2" s="1"/>
  <c r="M186" i="2"/>
  <c r="N186" i="2" s="1"/>
  <c r="R188" i="2"/>
  <c r="K189" i="2"/>
  <c r="L189" i="2" s="1"/>
  <c r="M190" i="2"/>
  <c r="R192" i="2"/>
  <c r="K193" i="2"/>
  <c r="R196" i="2"/>
  <c r="M198" i="2"/>
  <c r="N198" i="2" s="1"/>
  <c r="I200" i="2"/>
  <c r="R200" i="2"/>
  <c r="K201" i="2"/>
  <c r="L201" i="2" s="1"/>
  <c r="R204" i="2"/>
  <c r="K205" i="2"/>
  <c r="L205" i="2" s="1"/>
  <c r="M206" i="2"/>
  <c r="N206" i="2" s="1"/>
  <c r="R208" i="2"/>
  <c r="K209" i="2"/>
  <c r="M210" i="2"/>
  <c r="R212" i="2"/>
  <c r="K213" i="2"/>
  <c r="M214" i="2"/>
  <c r="R216" i="2"/>
  <c r="K217" i="2"/>
  <c r="L217" i="2" s="1"/>
  <c r="M218" i="2"/>
  <c r="N218" i="2" s="1"/>
  <c r="R220" i="2"/>
  <c r="K221" i="2"/>
  <c r="L221" i="2" s="1"/>
  <c r="U221" i="2"/>
  <c r="R222" i="2"/>
  <c r="K225" i="2"/>
  <c r="L225" i="2" s="1"/>
  <c r="R226" i="2"/>
  <c r="K229" i="2"/>
  <c r="R230" i="2"/>
  <c r="K233" i="2"/>
  <c r="L233" i="2" s="1"/>
  <c r="R234" i="2"/>
  <c r="K237" i="2"/>
  <c r="R238" i="2"/>
  <c r="K241" i="2"/>
  <c r="L241" i="2" s="1"/>
  <c r="E243" i="3"/>
  <c r="K243" i="3" s="1"/>
  <c r="O243" i="2"/>
  <c r="P243" i="2" s="1"/>
  <c r="C244" i="3"/>
  <c r="H244" i="2"/>
  <c r="I244" i="2" s="1"/>
  <c r="M244" i="2"/>
  <c r="N244" i="2" s="1"/>
  <c r="E247" i="3"/>
  <c r="K247" i="3" s="1"/>
  <c r="O247" i="2"/>
  <c r="P247" i="2" s="1"/>
  <c r="C248" i="3"/>
  <c r="H248" i="2"/>
  <c r="I248" i="2" s="1"/>
  <c r="M248" i="2"/>
  <c r="N248" i="2" s="1"/>
  <c r="E251" i="3"/>
  <c r="K251" i="3" s="1"/>
  <c r="O251" i="2"/>
  <c r="P251" i="2" s="1"/>
  <c r="C252" i="3"/>
  <c r="H252" i="2"/>
  <c r="I252" i="2" s="1"/>
  <c r="M252" i="2"/>
  <c r="N252" i="2" s="1"/>
  <c r="E255" i="3"/>
  <c r="K255" i="3" s="1"/>
  <c r="O255" i="2"/>
  <c r="P255" i="2" s="1"/>
  <c r="C256" i="3"/>
  <c r="H256" i="2"/>
  <c r="I256" i="2" s="1"/>
  <c r="M256" i="2"/>
  <c r="N256" i="2" s="1"/>
  <c r="F260" i="3"/>
  <c r="H260" i="3" s="1"/>
  <c r="U260" i="2"/>
  <c r="E261" i="3"/>
  <c r="K261" i="3" s="1"/>
  <c r="N261" i="2"/>
  <c r="D263" i="3"/>
  <c r="S263" i="2"/>
  <c r="M265" i="2"/>
  <c r="T273" i="2"/>
  <c r="M277" i="2"/>
  <c r="G281" i="3"/>
  <c r="R281" i="2"/>
  <c r="C283" i="3"/>
  <c r="H283" i="2"/>
  <c r="K285" i="2"/>
  <c r="G287" i="3"/>
  <c r="R287" i="2"/>
  <c r="I287" i="2"/>
  <c r="C291" i="3"/>
  <c r="H291" i="2"/>
  <c r="M291" i="2"/>
  <c r="K293" i="2"/>
  <c r="G295" i="3"/>
  <c r="R295" i="2"/>
  <c r="I295" i="2"/>
  <c r="H297" i="2"/>
  <c r="I297" i="2" s="1"/>
  <c r="E302" i="3"/>
  <c r="K302" i="3" s="1"/>
  <c r="T302" i="2"/>
  <c r="F304" i="3"/>
  <c r="U304" i="2"/>
  <c r="D307" i="3"/>
  <c r="S307" i="2"/>
  <c r="K344" i="2"/>
  <c r="M351" i="2"/>
  <c r="M384" i="2"/>
  <c r="N384" i="2" s="1"/>
  <c r="K392" i="2"/>
  <c r="L392" i="2" s="1"/>
  <c r="M400" i="2"/>
  <c r="N400" i="2" s="1"/>
  <c r="I125" i="3"/>
  <c r="H125" i="3"/>
  <c r="M125" i="3"/>
  <c r="S125" i="3" s="1"/>
  <c r="L125" i="3"/>
  <c r="J125" i="3"/>
  <c r="M129" i="3"/>
  <c r="S129" i="3" s="1"/>
  <c r="L129" i="3"/>
  <c r="J129" i="3"/>
  <c r="I129" i="3"/>
  <c r="H129" i="3"/>
  <c r="L129" i="2"/>
  <c r="I133" i="3"/>
  <c r="H133" i="3"/>
  <c r="M133" i="3"/>
  <c r="S133" i="3" s="1"/>
  <c r="L133" i="3"/>
  <c r="J133" i="3"/>
  <c r="M137" i="3"/>
  <c r="S137" i="3" s="1"/>
  <c r="L137" i="3"/>
  <c r="J137" i="3"/>
  <c r="I137" i="3"/>
  <c r="H137" i="3"/>
  <c r="I141" i="3"/>
  <c r="H141" i="3"/>
  <c r="M141" i="3"/>
  <c r="S141" i="3" s="1"/>
  <c r="L141" i="3"/>
  <c r="J141" i="3"/>
  <c r="M145" i="3"/>
  <c r="S145" i="3" s="1"/>
  <c r="L145" i="3"/>
  <c r="J145" i="3"/>
  <c r="I145" i="3"/>
  <c r="H145" i="3"/>
  <c r="L145" i="2"/>
  <c r="I149" i="3"/>
  <c r="H149" i="3"/>
  <c r="M149" i="3"/>
  <c r="S149" i="3" s="1"/>
  <c r="L149" i="3"/>
  <c r="J149" i="3"/>
  <c r="L149" i="2"/>
  <c r="M153" i="3"/>
  <c r="S153" i="3" s="1"/>
  <c r="L153" i="3"/>
  <c r="J153" i="3"/>
  <c r="I153" i="3"/>
  <c r="H153" i="3"/>
  <c r="L153" i="2"/>
  <c r="I157" i="3"/>
  <c r="H157" i="3"/>
  <c r="M157" i="3"/>
  <c r="S157" i="3" s="1"/>
  <c r="L157" i="3"/>
  <c r="J157" i="3"/>
  <c r="M161" i="3"/>
  <c r="S161" i="3" s="1"/>
  <c r="L161" i="3"/>
  <c r="J161" i="3"/>
  <c r="I161" i="3"/>
  <c r="H161" i="3"/>
  <c r="L161" i="2"/>
  <c r="I165" i="3"/>
  <c r="H165" i="3"/>
  <c r="M165" i="3"/>
  <c r="S165" i="3" s="1"/>
  <c r="L165" i="3"/>
  <c r="J165" i="3"/>
  <c r="M169" i="3"/>
  <c r="S169" i="3" s="1"/>
  <c r="L169" i="3"/>
  <c r="J169" i="3"/>
  <c r="I169" i="3"/>
  <c r="H169" i="3"/>
  <c r="L169" i="2"/>
  <c r="U169" i="2"/>
  <c r="S172" i="2"/>
  <c r="I173" i="3"/>
  <c r="H173" i="3"/>
  <c r="M173" i="3"/>
  <c r="S173" i="3" s="1"/>
  <c r="L173" i="3"/>
  <c r="J173" i="3"/>
  <c r="L173" i="2"/>
  <c r="U173" i="2"/>
  <c r="H175" i="2"/>
  <c r="I175" i="2" s="1"/>
  <c r="S176" i="2"/>
  <c r="M177" i="3"/>
  <c r="S177" i="3" s="1"/>
  <c r="L177" i="3"/>
  <c r="U177" i="2"/>
  <c r="H179" i="2"/>
  <c r="I179" i="2" s="1"/>
  <c r="S180" i="2"/>
  <c r="J181" i="3"/>
  <c r="I181" i="3"/>
  <c r="H181" i="3"/>
  <c r="M181" i="3"/>
  <c r="S181" i="3" s="1"/>
  <c r="L181" i="3"/>
  <c r="U181" i="2"/>
  <c r="N182" i="2"/>
  <c r="H183" i="2"/>
  <c r="I183" i="2" s="1"/>
  <c r="S184" i="2"/>
  <c r="M185" i="3"/>
  <c r="S185" i="3" s="1"/>
  <c r="L185" i="3"/>
  <c r="J185" i="3"/>
  <c r="I185" i="3"/>
  <c r="H185" i="3"/>
  <c r="U185" i="2"/>
  <c r="H187" i="2"/>
  <c r="I187" i="2" s="1"/>
  <c r="S188" i="2"/>
  <c r="J189" i="3"/>
  <c r="I189" i="3"/>
  <c r="H189" i="3"/>
  <c r="M189" i="3"/>
  <c r="S189" i="3" s="1"/>
  <c r="L189" i="3"/>
  <c r="U189" i="2"/>
  <c r="N190" i="2"/>
  <c r="H191" i="2"/>
  <c r="I191" i="2" s="1"/>
  <c r="S192" i="2"/>
  <c r="M193" i="3"/>
  <c r="S193" i="3" s="1"/>
  <c r="L193" i="3"/>
  <c r="H193" i="3"/>
  <c r="L193" i="2"/>
  <c r="U193" i="2"/>
  <c r="H195" i="2"/>
  <c r="I195" i="2" s="1"/>
  <c r="S196" i="2"/>
  <c r="J197" i="3"/>
  <c r="I197" i="3"/>
  <c r="H197" i="3"/>
  <c r="M197" i="3"/>
  <c r="S197" i="3" s="1"/>
  <c r="L197" i="3"/>
  <c r="U197" i="2"/>
  <c r="H199" i="2"/>
  <c r="I199" i="2" s="1"/>
  <c r="S200" i="2"/>
  <c r="L201" i="3"/>
  <c r="U201" i="2"/>
  <c r="H203" i="2"/>
  <c r="I203" i="2" s="1"/>
  <c r="S204" i="2"/>
  <c r="J205" i="3"/>
  <c r="I205" i="3"/>
  <c r="H205" i="3"/>
  <c r="M205" i="3"/>
  <c r="S205" i="3" s="1"/>
  <c r="L205" i="3"/>
  <c r="U205" i="2"/>
  <c r="H207" i="2"/>
  <c r="I207" i="2" s="1"/>
  <c r="S208" i="2"/>
  <c r="M209" i="3"/>
  <c r="S209" i="3" s="1"/>
  <c r="L209" i="3"/>
  <c r="J209" i="3"/>
  <c r="I209" i="3"/>
  <c r="H209" i="3"/>
  <c r="L209" i="2"/>
  <c r="U209" i="2"/>
  <c r="N210" i="2"/>
  <c r="H211" i="2"/>
  <c r="I211" i="2" s="1"/>
  <c r="S212" i="2"/>
  <c r="J213" i="3"/>
  <c r="I213" i="3"/>
  <c r="H213" i="3"/>
  <c r="L213" i="3"/>
  <c r="L213" i="2"/>
  <c r="U213" i="2"/>
  <c r="N214" i="2"/>
  <c r="H215" i="2"/>
  <c r="I215" i="2" s="1"/>
  <c r="S216" i="2"/>
  <c r="M217" i="3"/>
  <c r="S217" i="3" s="1"/>
  <c r="L217" i="3"/>
  <c r="J217" i="3"/>
  <c r="I217" i="3"/>
  <c r="H217" i="3"/>
  <c r="U217" i="2"/>
  <c r="S220" i="2"/>
  <c r="J221" i="3"/>
  <c r="I221" i="3"/>
  <c r="H221" i="3"/>
  <c r="M221" i="3"/>
  <c r="S221" i="3" s="1"/>
  <c r="L221" i="3"/>
  <c r="D223" i="3"/>
  <c r="S223" i="2"/>
  <c r="M223" i="2"/>
  <c r="N223" i="2" s="1"/>
  <c r="H224" i="2"/>
  <c r="I224" i="2" s="1"/>
  <c r="R224" i="2"/>
  <c r="M225" i="3"/>
  <c r="S225" i="3" s="1"/>
  <c r="L225" i="3"/>
  <c r="J225" i="3"/>
  <c r="I225" i="3"/>
  <c r="H225" i="3"/>
  <c r="I226" i="2"/>
  <c r="D227" i="3"/>
  <c r="S227" i="2"/>
  <c r="M227" i="2"/>
  <c r="N227" i="2" s="1"/>
  <c r="H228" i="2"/>
  <c r="I228" i="2" s="1"/>
  <c r="R228" i="2"/>
  <c r="J229" i="3"/>
  <c r="I229" i="3"/>
  <c r="H229" i="3"/>
  <c r="M229" i="3"/>
  <c r="S229" i="3" s="1"/>
  <c r="L229" i="3"/>
  <c r="L229" i="2"/>
  <c r="I230" i="2"/>
  <c r="D231" i="3"/>
  <c r="S231" i="2"/>
  <c r="M231" i="2"/>
  <c r="H232" i="2"/>
  <c r="I232" i="2" s="1"/>
  <c r="R232" i="2"/>
  <c r="M233" i="3"/>
  <c r="S233" i="3" s="1"/>
  <c r="L233" i="3"/>
  <c r="D235" i="3"/>
  <c r="S235" i="2"/>
  <c r="M235" i="2"/>
  <c r="N235" i="2" s="1"/>
  <c r="H236" i="2"/>
  <c r="I236" i="2" s="1"/>
  <c r="R236" i="2"/>
  <c r="J237" i="3"/>
  <c r="M237" i="3"/>
  <c r="S237" i="3" s="1"/>
  <c r="L237" i="3"/>
  <c r="L237" i="2"/>
  <c r="I238" i="2"/>
  <c r="D239" i="3"/>
  <c r="S239" i="2"/>
  <c r="H240" i="2"/>
  <c r="I240" i="2" s="1"/>
  <c r="R240" i="2"/>
  <c r="H241" i="3"/>
  <c r="L241" i="3"/>
  <c r="T242" i="2"/>
  <c r="K245" i="2"/>
  <c r="L245" i="2" s="1"/>
  <c r="T246" i="2"/>
  <c r="K249" i="2"/>
  <c r="L249" i="2" s="1"/>
  <c r="T250" i="2"/>
  <c r="K253" i="2"/>
  <c r="L253" i="2" s="1"/>
  <c r="T254" i="2"/>
  <c r="K257" i="2"/>
  <c r="L257" i="2" s="1"/>
  <c r="R261" i="2"/>
  <c r="E262" i="3"/>
  <c r="K262" i="3" s="1"/>
  <c r="N262" i="2"/>
  <c r="E263" i="3"/>
  <c r="K263" i="3" s="1"/>
  <c r="N263" i="2"/>
  <c r="K264" i="3"/>
  <c r="C266" i="3"/>
  <c r="H266" i="2"/>
  <c r="I266" i="2" s="1"/>
  <c r="M266" i="2"/>
  <c r="C267" i="3"/>
  <c r="H267" i="2"/>
  <c r="I267" i="2" s="1"/>
  <c r="M267" i="2"/>
  <c r="N267" i="2" s="1"/>
  <c r="C268" i="3"/>
  <c r="H268" i="2"/>
  <c r="I268" i="2" s="1"/>
  <c r="C276" i="3"/>
  <c r="H276" i="2"/>
  <c r="I276" i="2" s="1"/>
  <c r="O276" i="2"/>
  <c r="P276" i="2" s="1"/>
  <c r="O277" i="2"/>
  <c r="P277" i="2" s="1"/>
  <c r="D283" i="3"/>
  <c r="S283" i="2"/>
  <c r="E286" i="3"/>
  <c r="K286" i="3" s="1"/>
  <c r="T286" i="2"/>
  <c r="D291" i="3"/>
  <c r="S291" i="2"/>
  <c r="E294" i="3"/>
  <c r="T294" i="2"/>
  <c r="E298" i="3"/>
  <c r="K298" i="3" s="1"/>
  <c r="T298" i="2"/>
  <c r="F300" i="3"/>
  <c r="P300" i="2"/>
  <c r="U300" i="2"/>
  <c r="C305" i="3"/>
  <c r="L344" i="2"/>
  <c r="K428" i="2"/>
  <c r="L428" i="2" s="1"/>
  <c r="K460" i="2"/>
  <c r="L460" i="2" s="1"/>
  <c r="E233" i="3"/>
  <c r="K233" i="3" s="1"/>
  <c r="E237" i="3"/>
  <c r="K237" i="3" s="1"/>
  <c r="E241" i="3"/>
  <c r="K241" i="3" s="1"/>
  <c r="R243" i="2"/>
  <c r="R247" i="2"/>
  <c r="R251" i="2"/>
  <c r="R255" i="2"/>
  <c r="K256" i="3"/>
  <c r="F264" i="3"/>
  <c r="P264" i="2"/>
  <c r="U264" i="2"/>
  <c r="E265" i="3"/>
  <c r="K265" i="3" s="1"/>
  <c r="N265" i="2"/>
  <c r="D267" i="3"/>
  <c r="S267" i="2"/>
  <c r="M269" i="2"/>
  <c r="E278" i="3"/>
  <c r="K278" i="3" s="1"/>
  <c r="T278" i="2"/>
  <c r="C285" i="3"/>
  <c r="M285" i="2"/>
  <c r="N285" i="2" s="1"/>
  <c r="E288" i="3"/>
  <c r="T288" i="2"/>
  <c r="G289" i="3"/>
  <c r="R289" i="2"/>
  <c r="I289" i="2"/>
  <c r="C293" i="3"/>
  <c r="M293" i="2"/>
  <c r="N293" i="2" s="1"/>
  <c r="F296" i="3"/>
  <c r="M296" i="3" s="1"/>
  <c r="S296" i="3" s="1"/>
  <c r="U296" i="2"/>
  <c r="C301" i="3"/>
  <c r="M301" i="2"/>
  <c r="N301" i="2" s="1"/>
  <c r="O301" i="2"/>
  <c r="P301" i="2" s="1"/>
  <c r="K360" i="2"/>
  <c r="K376" i="2"/>
  <c r="K395" i="2"/>
  <c r="L172" i="3"/>
  <c r="J172" i="3"/>
  <c r="I172" i="3"/>
  <c r="H172" i="3"/>
  <c r="M172" i="3"/>
  <c r="S172" i="3" s="1"/>
  <c r="L176" i="3"/>
  <c r="H176" i="3"/>
  <c r="M176" i="3"/>
  <c r="S176" i="3" s="1"/>
  <c r="J176" i="3"/>
  <c r="I176" i="3"/>
  <c r="M180" i="3"/>
  <c r="S180" i="3" s="1"/>
  <c r="L180" i="3"/>
  <c r="J180" i="3"/>
  <c r="I180" i="3"/>
  <c r="H180" i="3"/>
  <c r="H182" i="2"/>
  <c r="I182" i="2" s="1"/>
  <c r="J184" i="3"/>
  <c r="I184" i="3"/>
  <c r="H184" i="3"/>
  <c r="M184" i="3"/>
  <c r="S184" i="3" s="1"/>
  <c r="L184" i="3"/>
  <c r="H186" i="2"/>
  <c r="I186" i="2" s="1"/>
  <c r="M188" i="3"/>
  <c r="S188" i="3" s="1"/>
  <c r="L188" i="3"/>
  <c r="J188" i="3"/>
  <c r="I188" i="3"/>
  <c r="H188" i="3"/>
  <c r="H190" i="2"/>
  <c r="I190" i="2" s="1"/>
  <c r="J192" i="3"/>
  <c r="I192" i="3"/>
  <c r="H192" i="3"/>
  <c r="M192" i="3"/>
  <c r="S192" i="3" s="1"/>
  <c r="L192" i="3"/>
  <c r="H194" i="2"/>
  <c r="I194" i="2" s="1"/>
  <c r="M196" i="3"/>
  <c r="S196" i="3" s="1"/>
  <c r="L196" i="3"/>
  <c r="J196" i="3"/>
  <c r="I196" i="3"/>
  <c r="H196" i="3"/>
  <c r="J200" i="3"/>
  <c r="I200" i="3"/>
  <c r="H200" i="3"/>
  <c r="M200" i="3"/>
  <c r="S200" i="3" s="1"/>
  <c r="L200" i="3"/>
  <c r="M204" i="3"/>
  <c r="S204" i="3" s="1"/>
  <c r="L204" i="3"/>
  <c r="J204" i="3"/>
  <c r="I204" i="3"/>
  <c r="H204" i="3"/>
  <c r="L204" i="2"/>
  <c r="J208" i="3"/>
  <c r="I208" i="3"/>
  <c r="H208" i="3"/>
  <c r="M208" i="3"/>
  <c r="S208" i="3" s="1"/>
  <c r="L208" i="3"/>
  <c r="M212" i="3"/>
  <c r="S212" i="3" s="1"/>
  <c r="L212" i="3"/>
  <c r="J212" i="3"/>
  <c r="I212" i="3"/>
  <c r="H212" i="3"/>
  <c r="J216" i="3"/>
  <c r="I216" i="3"/>
  <c r="H216" i="3"/>
  <c r="M216" i="3"/>
  <c r="S216" i="3" s="1"/>
  <c r="L216" i="3"/>
  <c r="L216" i="2"/>
  <c r="M220" i="3"/>
  <c r="S220" i="3" s="1"/>
  <c r="L220" i="3"/>
  <c r="J220" i="3"/>
  <c r="I220" i="3"/>
  <c r="H220" i="3"/>
  <c r="T232" i="2"/>
  <c r="T236" i="2"/>
  <c r="T240" i="2"/>
  <c r="H243" i="2"/>
  <c r="I243" i="2" s="1"/>
  <c r="F244" i="3"/>
  <c r="L244" i="3" s="1"/>
  <c r="U244" i="2"/>
  <c r="D245" i="3"/>
  <c r="S245" i="2"/>
  <c r="M245" i="2"/>
  <c r="H247" i="2"/>
  <c r="I247" i="2" s="1"/>
  <c r="F248" i="3"/>
  <c r="U248" i="2"/>
  <c r="D249" i="3"/>
  <c r="S249" i="2"/>
  <c r="H251" i="2"/>
  <c r="F252" i="3"/>
  <c r="H252" i="3" s="1"/>
  <c r="U252" i="2"/>
  <c r="D253" i="3"/>
  <c r="S253" i="2"/>
  <c r="H255" i="2"/>
  <c r="F256" i="3"/>
  <c r="U256" i="2"/>
  <c r="D257" i="3"/>
  <c r="S257" i="2"/>
  <c r="M257" i="2"/>
  <c r="H261" i="2"/>
  <c r="T262" i="2"/>
  <c r="T264" i="2"/>
  <c r="R265" i="2"/>
  <c r="E266" i="3"/>
  <c r="K266" i="3" s="1"/>
  <c r="N266" i="2"/>
  <c r="E267" i="3"/>
  <c r="K267" i="3" s="1"/>
  <c r="K268" i="3"/>
  <c r="O269" i="2"/>
  <c r="P269" i="2" s="1"/>
  <c r="C270" i="3"/>
  <c r="H270" i="2"/>
  <c r="I270" i="2" s="1"/>
  <c r="M270" i="2"/>
  <c r="N270" i="2" s="1"/>
  <c r="C271" i="3"/>
  <c r="H271" i="2"/>
  <c r="M271" i="2"/>
  <c r="C272" i="3"/>
  <c r="H272" i="2"/>
  <c r="I272" i="2" s="1"/>
  <c r="K273" i="2"/>
  <c r="C275" i="3"/>
  <c r="H275" i="2"/>
  <c r="I275" i="2" s="1"/>
  <c r="O275" i="2"/>
  <c r="P275" i="2" s="1"/>
  <c r="E277" i="3"/>
  <c r="K277" i="3" s="1"/>
  <c r="N277" i="2"/>
  <c r="T277" i="2"/>
  <c r="F288" i="3"/>
  <c r="U288" i="2"/>
  <c r="H289" i="2"/>
  <c r="C297" i="3"/>
  <c r="M297" i="2"/>
  <c r="O297" i="2"/>
  <c r="P297" i="2" s="1"/>
  <c r="D303" i="3"/>
  <c r="S303" i="2"/>
  <c r="K347" i="2"/>
  <c r="L347" i="2" s="1"/>
  <c r="L352" i="2"/>
  <c r="L360" i="2"/>
  <c r="L376" i="2"/>
  <c r="K424" i="2"/>
  <c r="K440" i="2"/>
  <c r="K456" i="2"/>
  <c r="K175" i="2"/>
  <c r="L175" i="2" s="1"/>
  <c r="O181" i="2"/>
  <c r="P181" i="2" s="1"/>
  <c r="K183" i="2"/>
  <c r="T183" i="2"/>
  <c r="O185" i="2"/>
  <c r="P185" i="2" s="1"/>
  <c r="T187" i="2"/>
  <c r="O189" i="2"/>
  <c r="T191" i="2"/>
  <c r="O193" i="2"/>
  <c r="P193" i="2" s="1"/>
  <c r="K195" i="2"/>
  <c r="L195" i="2" s="1"/>
  <c r="T195" i="2"/>
  <c r="O197" i="2"/>
  <c r="P197" i="2" s="1"/>
  <c r="T199" i="2"/>
  <c r="O201" i="2"/>
  <c r="P201" i="2" s="1"/>
  <c r="K203" i="2"/>
  <c r="L203" i="2" s="1"/>
  <c r="T203" i="2"/>
  <c r="O205" i="2"/>
  <c r="T207" i="2"/>
  <c r="O209" i="2"/>
  <c r="P209" i="2" s="1"/>
  <c r="T211" i="2"/>
  <c r="O213" i="2"/>
  <c r="P213" i="2" s="1"/>
  <c r="K215" i="2"/>
  <c r="T215" i="2"/>
  <c r="O217" i="2"/>
  <c r="P217" i="2" s="1"/>
  <c r="K219" i="2"/>
  <c r="L219" i="2" s="1"/>
  <c r="T219" i="2"/>
  <c r="C222" i="3"/>
  <c r="H222" i="2"/>
  <c r="I222" i="2" s="1"/>
  <c r="K224" i="2"/>
  <c r="C226" i="3"/>
  <c r="H226" i="2"/>
  <c r="K228" i="2"/>
  <c r="L228" i="2" s="1"/>
  <c r="C230" i="3"/>
  <c r="H230" i="2"/>
  <c r="K232" i="2"/>
  <c r="C234" i="3"/>
  <c r="H234" i="2"/>
  <c r="I234" i="2" s="1"/>
  <c r="K236" i="2"/>
  <c r="L236" i="2" s="1"/>
  <c r="C238" i="3"/>
  <c r="H238" i="2"/>
  <c r="C242" i="3"/>
  <c r="H242" i="2"/>
  <c r="I242" i="2" s="1"/>
  <c r="M242" i="2"/>
  <c r="E245" i="3"/>
  <c r="K245" i="3" s="1"/>
  <c r="N245" i="2"/>
  <c r="O245" i="2"/>
  <c r="P245" i="2" s="1"/>
  <c r="C246" i="3"/>
  <c r="H246" i="2"/>
  <c r="I246" i="2" s="1"/>
  <c r="M246" i="2"/>
  <c r="E249" i="3"/>
  <c r="K249" i="3" s="1"/>
  <c r="O249" i="2"/>
  <c r="P249" i="2" s="1"/>
  <c r="C250" i="3"/>
  <c r="H250" i="2"/>
  <c r="I250" i="2" s="1"/>
  <c r="M250" i="2"/>
  <c r="I251" i="2"/>
  <c r="E253" i="3"/>
  <c r="K253" i="3" s="1"/>
  <c r="O253" i="2"/>
  <c r="P253" i="2" s="1"/>
  <c r="C254" i="3"/>
  <c r="H254" i="2"/>
  <c r="I254" i="2" s="1"/>
  <c r="M254" i="2"/>
  <c r="I255" i="2"/>
  <c r="E257" i="3"/>
  <c r="K257" i="3" s="1"/>
  <c r="N257" i="2"/>
  <c r="O257" i="2"/>
  <c r="P257" i="2" s="1"/>
  <c r="C258" i="3"/>
  <c r="H258" i="2"/>
  <c r="I258" i="2" s="1"/>
  <c r="I261" i="2"/>
  <c r="T265" i="2"/>
  <c r="F268" i="3"/>
  <c r="H268" i="3" s="1"/>
  <c r="U268" i="2"/>
  <c r="E269" i="3"/>
  <c r="K269" i="3" s="1"/>
  <c r="N269" i="2"/>
  <c r="D271" i="3"/>
  <c r="S271" i="2"/>
  <c r="M273" i="2"/>
  <c r="N273" i="2" s="1"/>
  <c r="D275" i="3"/>
  <c r="S275" i="2"/>
  <c r="F276" i="3"/>
  <c r="K276" i="3" s="1"/>
  <c r="U276" i="2"/>
  <c r="K279" i="2"/>
  <c r="L279" i="2" s="1"/>
  <c r="C280" i="3"/>
  <c r="H280" i="2"/>
  <c r="I280" i="2" s="1"/>
  <c r="G283" i="3"/>
  <c r="R283" i="2"/>
  <c r="I283" i="2"/>
  <c r="C287" i="3"/>
  <c r="H287" i="2"/>
  <c r="M287" i="2"/>
  <c r="K289" i="2"/>
  <c r="G291" i="3"/>
  <c r="R291" i="2"/>
  <c r="I291" i="2"/>
  <c r="D299" i="3"/>
  <c r="S299" i="2"/>
  <c r="L307" i="2"/>
  <c r="F308" i="3"/>
  <c r="K308" i="3" s="1"/>
  <c r="U308" i="2"/>
  <c r="K379" i="2"/>
  <c r="L379" i="2" s="1"/>
  <c r="H382" i="2"/>
  <c r="I382" i="2" s="1"/>
  <c r="M388" i="2"/>
  <c r="M396" i="2"/>
  <c r="N396" i="2" s="1"/>
  <c r="H398" i="2"/>
  <c r="M115" i="3"/>
  <c r="S115" i="3" s="1"/>
  <c r="L115" i="3"/>
  <c r="J115" i="3"/>
  <c r="I115" i="3"/>
  <c r="H115" i="3"/>
  <c r="J119" i="3"/>
  <c r="I119" i="3"/>
  <c r="H119" i="3"/>
  <c r="M119" i="3"/>
  <c r="S119" i="3" s="1"/>
  <c r="L119" i="3"/>
  <c r="M123" i="3"/>
  <c r="S123" i="3" s="1"/>
  <c r="L123" i="3"/>
  <c r="J123" i="3"/>
  <c r="I123" i="3"/>
  <c r="H123" i="3"/>
  <c r="J127" i="3"/>
  <c r="M127" i="3"/>
  <c r="S127" i="3" s="1"/>
  <c r="L127" i="3"/>
  <c r="M131" i="3"/>
  <c r="S131" i="3" s="1"/>
  <c r="L131" i="3"/>
  <c r="J131" i="3"/>
  <c r="I131" i="3"/>
  <c r="H131" i="3"/>
  <c r="J135" i="3"/>
  <c r="L135" i="3"/>
  <c r="L139" i="3"/>
  <c r="J139" i="3"/>
  <c r="J143" i="3"/>
  <c r="I143" i="3"/>
  <c r="M147" i="3"/>
  <c r="S147" i="3" s="1"/>
  <c r="L147" i="3"/>
  <c r="J147" i="3"/>
  <c r="I147" i="3"/>
  <c r="H147" i="3"/>
  <c r="J151" i="3"/>
  <c r="I151" i="3"/>
  <c r="H151" i="3"/>
  <c r="L155" i="3"/>
  <c r="J155" i="3"/>
  <c r="I155" i="3"/>
  <c r="J159" i="3"/>
  <c r="M159" i="3"/>
  <c r="S159" i="3" s="1"/>
  <c r="L159" i="3"/>
  <c r="M163" i="3"/>
  <c r="S163" i="3" s="1"/>
  <c r="L163" i="3"/>
  <c r="J163" i="3"/>
  <c r="I163" i="3"/>
  <c r="H163" i="3"/>
  <c r="J167" i="3"/>
  <c r="L167" i="3"/>
  <c r="M171" i="3"/>
  <c r="S171" i="3" s="1"/>
  <c r="L171" i="3"/>
  <c r="J171" i="3"/>
  <c r="I171" i="3"/>
  <c r="H171" i="3"/>
  <c r="J175" i="3"/>
  <c r="I175" i="3"/>
  <c r="H175" i="3"/>
  <c r="M175" i="3"/>
  <c r="S175" i="3" s="1"/>
  <c r="L175" i="3"/>
  <c r="N176" i="2"/>
  <c r="L179" i="3"/>
  <c r="J179" i="3"/>
  <c r="N180" i="2"/>
  <c r="H181" i="2"/>
  <c r="I181" i="2" s="1"/>
  <c r="L183" i="3"/>
  <c r="J183" i="3"/>
  <c r="L183" i="2"/>
  <c r="H185" i="2"/>
  <c r="I185" i="2" s="1"/>
  <c r="I187" i="3"/>
  <c r="H187" i="3"/>
  <c r="M187" i="3"/>
  <c r="S187" i="3" s="1"/>
  <c r="L187" i="3"/>
  <c r="J187" i="3"/>
  <c r="H189" i="2"/>
  <c r="I189" i="2" s="1"/>
  <c r="P189" i="2"/>
  <c r="M191" i="3"/>
  <c r="S191" i="3" s="1"/>
  <c r="L191" i="3"/>
  <c r="J191" i="3"/>
  <c r="I191" i="3"/>
  <c r="H191" i="3"/>
  <c r="H193" i="2"/>
  <c r="I193" i="2" s="1"/>
  <c r="I195" i="3"/>
  <c r="H195" i="3"/>
  <c r="M195" i="3"/>
  <c r="S195" i="3" s="1"/>
  <c r="L195" i="3"/>
  <c r="J195" i="3"/>
  <c r="H197" i="2"/>
  <c r="I197" i="2" s="1"/>
  <c r="M199" i="3"/>
  <c r="S199" i="3" s="1"/>
  <c r="L199" i="3"/>
  <c r="J199" i="3"/>
  <c r="I199" i="3"/>
  <c r="H199" i="3"/>
  <c r="N200" i="2"/>
  <c r="I203" i="3"/>
  <c r="H203" i="3"/>
  <c r="M203" i="3"/>
  <c r="S203" i="3" s="1"/>
  <c r="J203" i="3"/>
  <c r="H205" i="2"/>
  <c r="I205" i="2" s="1"/>
  <c r="P205" i="2"/>
  <c r="J207" i="3"/>
  <c r="H209" i="2"/>
  <c r="I209" i="2" s="1"/>
  <c r="I211" i="3"/>
  <c r="H211" i="3"/>
  <c r="M211" i="3"/>
  <c r="S211" i="3" s="1"/>
  <c r="L211" i="3"/>
  <c r="J211" i="3"/>
  <c r="H213" i="2"/>
  <c r="I213" i="2" s="1"/>
  <c r="M215" i="3"/>
  <c r="S215" i="3" s="1"/>
  <c r="L215" i="3"/>
  <c r="J215" i="3"/>
  <c r="I215" i="3"/>
  <c r="H215" i="3"/>
  <c r="L215" i="2"/>
  <c r="N216" i="2"/>
  <c r="H217" i="2"/>
  <c r="I217" i="2" s="1"/>
  <c r="I219" i="3"/>
  <c r="H219" i="3"/>
  <c r="M219" i="3"/>
  <c r="S219" i="3" s="1"/>
  <c r="L219" i="3"/>
  <c r="J219" i="3"/>
  <c r="N220" i="2"/>
  <c r="H221" i="2"/>
  <c r="I221" i="2" s="1"/>
  <c r="R221" i="2"/>
  <c r="J222" i="3"/>
  <c r="M222" i="2"/>
  <c r="N222" i="2" s="1"/>
  <c r="H223" i="2"/>
  <c r="I223" i="2" s="1"/>
  <c r="R223" i="2"/>
  <c r="H225" i="2"/>
  <c r="I225" i="2" s="1"/>
  <c r="R225" i="2"/>
  <c r="L226" i="3"/>
  <c r="J226" i="3"/>
  <c r="I226" i="3"/>
  <c r="H226" i="3"/>
  <c r="M226" i="3"/>
  <c r="S226" i="3" s="1"/>
  <c r="M226" i="2"/>
  <c r="N226" i="2" s="1"/>
  <c r="H227" i="2"/>
  <c r="I227" i="2" s="1"/>
  <c r="R227" i="2"/>
  <c r="M228" i="2"/>
  <c r="H229" i="2"/>
  <c r="I229" i="2" s="1"/>
  <c r="R229" i="2"/>
  <c r="H230" i="3"/>
  <c r="M230" i="3"/>
  <c r="S230" i="3" s="1"/>
  <c r="J230" i="3"/>
  <c r="I230" i="3"/>
  <c r="M230" i="2"/>
  <c r="N230" i="2" s="1"/>
  <c r="H231" i="2"/>
  <c r="I231" i="2" s="1"/>
  <c r="R231" i="2"/>
  <c r="M232" i="2"/>
  <c r="N232" i="2" s="1"/>
  <c r="H233" i="2"/>
  <c r="I233" i="2" s="1"/>
  <c r="R233" i="2"/>
  <c r="J234" i="3"/>
  <c r="I234" i="3"/>
  <c r="M234" i="2"/>
  <c r="N234" i="2" s="1"/>
  <c r="H235" i="2"/>
  <c r="I235" i="2" s="1"/>
  <c r="R235" i="2"/>
  <c r="M236" i="2"/>
  <c r="N236" i="2" s="1"/>
  <c r="H237" i="2"/>
  <c r="I237" i="2" s="1"/>
  <c r="R237" i="2"/>
  <c r="H238" i="3"/>
  <c r="M238" i="3"/>
  <c r="S238" i="3" s="1"/>
  <c r="L238" i="3"/>
  <c r="J238" i="3"/>
  <c r="I238" i="3"/>
  <c r="M238" i="2"/>
  <c r="N238" i="2" s="1"/>
  <c r="H239" i="2"/>
  <c r="I239" i="2" s="1"/>
  <c r="R239" i="2"/>
  <c r="H241" i="2"/>
  <c r="I241" i="2" s="1"/>
  <c r="R241" i="2"/>
  <c r="D242" i="3"/>
  <c r="N242" i="2"/>
  <c r="K243" i="2"/>
  <c r="L243" i="2" s="1"/>
  <c r="T244" i="2"/>
  <c r="N246" i="2"/>
  <c r="K247" i="2"/>
  <c r="L247" i="2" s="1"/>
  <c r="T248" i="2"/>
  <c r="N250" i="2"/>
  <c r="K251" i="2"/>
  <c r="T252" i="2"/>
  <c r="N254" i="2"/>
  <c r="K255" i="2"/>
  <c r="L255" i="2" s="1"/>
  <c r="T256" i="2"/>
  <c r="C259" i="3"/>
  <c r="H259" i="2"/>
  <c r="I259" i="2" s="1"/>
  <c r="C260" i="3"/>
  <c r="T266" i="2"/>
  <c r="T268" i="2"/>
  <c r="R269" i="2"/>
  <c r="E270" i="3"/>
  <c r="K270" i="3" s="1"/>
  <c r="E271" i="3"/>
  <c r="K271" i="3" s="1"/>
  <c r="N271" i="2"/>
  <c r="O273" i="2"/>
  <c r="P273" i="2" s="1"/>
  <c r="G277" i="3"/>
  <c r="R277" i="2"/>
  <c r="E282" i="3"/>
  <c r="K282" i="3" s="1"/>
  <c r="T282" i="2"/>
  <c r="D287" i="3"/>
  <c r="S287" i="2"/>
  <c r="O289" i="2"/>
  <c r="P289" i="2" s="1"/>
  <c r="E290" i="3"/>
  <c r="K290" i="3" s="1"/>
  <c r="T290" i="2"/>
  <c r="D295" i="3"/>
  <c r="O300" i="3" s="1"/>
  <c r="S295" i="2"/>
  <c r="K355" i="2"/>
  <c r="K363" i="2"/>
  <c r="L363" i="2" s="1"/>
  <c r="M380" i="2"/>
  <c r="N380" i="2" s="1"/>
  <c r="K436" i="2"/>
  <c r="L436" i="2" s="1"/>
  <c r="K468" i="2"/>
  <c r="L468" i="2" s="1"/>
  <c r="J224" i="3"/>
  <c r="I224" i="3"/>
  <c r="H224" i="3"/>
  <c r="M224" i="3"/>
  <c r="S224" i="3" s="1"/>
  <c r="L224" i="3"/>
  <c r="L224" i="2"/>
  <c r="M228" i="3"/>
  <c r="S228" i="3" s="1"/>
  <c r="L228" i="3"/>
  <c r="J228" i="3"/>
  <c r="I228" i="3"/>
  <c r="H228" i="3"/>
  <c r="J232" i="3"/>
  <c r="I232" i="3"/>
  <c r="H232" i="3"/>
  <c r="M232" i="3"/>
  <c r="S232" i="3" s="1"/>
  <c r="L232" i="3"/>
  <c r="L232" i="2"/>
  <c r="M236" i="3"/>
  <c r="S236" i="3" s="1"/>
  <c r="L236" i="3"/>
  <c r="J236" i="3"/>
  <c r="I236" i="3"/>
  <c r="H236" i="3"/>
  <c r="H240" i="3"/>
  <c r="M240" i="3"/>
  <c r="S240" i="3" s="1"/>
  <c r="L240" i="3"/>
  <c r="J240" i="3"/>
  <c r="I240" i="3"/>
  <c r="J244" i="3"/>
  <c r="I244" i="3"/>
  <c r="H244" i="3"/>
  <c r="J248" i="3"/>
  <c r="I248" i="3"/>
  <c r="J252" i="3"/>
  <c r="J256" i="3"/>
  <c r="H256" i="3"/>
  <c r="M256" i="3"/>
  <c r="S256" i="3" s="1"/>
  <c r="L256" i="3"/>
  <c r="I256" i="3"/>
  <c r="M260" i="3"/>
  <c r="S260" i="3" s="1"/>
  <c r="L260" i="3"/>
  <c r="I260" i="3"/>
  <c r="J260" i="3"/>
  <c r="J264" i="3"/>
  <c r="I264" i="3"/>
  <c r="H264" i="3"/>
  <c r="M264" i="3"/>
  <c r="S264" i="3" s="1"/>
  <c r="L264" i="3"/>
  <c r="M268" i="3"/>
  <c r="S268" i="3" s="1"/>
  <c r="J268" i="3"/>
  <c r="J272" i="3"/>
  <c r="H274" i="2"/>
  <c r="I274" i="2" s="1"/>
  <c r="M276" i="3"/>
  <c r="S276" i="3" s="1"/>
  <c r="L276" i="3"/>
  <c r="J276" i="3"/>
  <c r="I276" i="3"/>
  <c r="H276" i="3"/>
  <c r="H278" i="2"/>
  <c r="I278" i="2" s="1"/>
  <c r="J280" i="3"/>
  <c r="I280" i="3"/>
  <c r="H280" i="3"/>
  <c r="M280" i="3"/>
  <c r="S280" i="3" s="1"/>
  <c r="L280" i="3"/>
  <c r="H282" i="2"/>
  <c r="I282" i="2" s="1"/>
  <c r="M284" i="3"/>
  <c r="S284" i="3" s="1"/>
  <c r="L284" i="3"/>
  <c r="J284" i="3"/>
  <c r="I284" i="3"/>
  <c r="H284" i="3"/>
  <c r="H286" i="2"/>
  <c r="I286" i="2" s="1"/>
  <c r="H288" i="3"/>
  <c r="M288" i="3"/>
  <c r="S288" i="3" s="1"/>
  <c r="L288" i="3"/>
  <c r="H290" i="2"/>
  <c r="I290" i="2" s="1"/>
  <c r="M292" i="3"/>
  <c r="S292" i="3" s="1"/>
  <c r="L292" i="3"/>
  <c r="J292" i="3"/>
  <c r="I292" i="3"/>
  <c r="H292" i="3"/>
  <c r="H294" i="2"/>
  <c r="I294" i="2" s="1"/>
  <c r="J296" i="3"/>
  <c r="H296" i="3"/>
  <c r="L296" i="2"/>
  <c r="N297" i="2"/>
  <c r="H298" i="2"/>
  <c r="I298" i="2" s="1"/>
  <c r="M300" i="3"/>
  <c r="S300" i="3" s="1"/>
  <c r="L300" i="3"/>
  <c r="J300" i="3"/>
  <c r="I300" i="3"/>
  <c r="H300" i="3"/>
  <c r="J304" i="3"/>
  <c r="I304" i="3"/>
  <c r="H304" i="3"/>
  <c r="L304" i="3"/>
  <c r="M304" i="3"/>
  <c r="S304" i="3" s="1"/>
  <c r="H306" i="2"/>
  <c r="I306" i="2" s="1"/>
  <c r="M308" i="3"/>
  <c r="S308" i="3" s="1"/>
  <c r="L308" i="3"/>
  <c r="J308" i="3"/>
  <c r="I308" i="3"/>
  <c r="H308" i="3"/>
  <c r="H310" i="2"/>
  <c r="I310" i="2" s="1"/>
  <c r="S311" i="2"/>
  <c r="J312" i="3"/>
  <c r="I312" i="3"/>
  <c r="H312" i="3"/>
  <c r="M312" i="3"/>
  <c r="S312" i="3" s="1"/>
  <c r="L312" i="3"/>
  <c r="L312" i="2"/>
  <c r="U312" i="2"/>
  <c r="H314" i="2"/>
  <c r="I314" i="2" s="1"/>
  <c r="S315" i="2"/>
  <c r="M316" i="3"/>
  <c r="S316" i="3" s="1"/>
  <c r="L316" i="3"/>
  <c r="J316" i="3"/>
  <c r="I316" i="3"/>
  <c r="H316" i="3"/>
  <c r="U316" i="2"/>
  <c r="H318" i="2"/>
  <c r="I318" i="2" s="1"/>
  <c r="S319" i="2"/>
  <c r="J320" i="3"/>
  <c r="I320" i="3"/>
  <c r="H320" i="3"/>
  <c r="M320" i="3"/>
  <c r="S320" i="3" s="1"/>
  <c r="L320" i="3"/>
  <c r="L320" i="2"/>
  <c r="U320" i="2"/>
  <c r="H322" i="2"/>
  <c r="I322" i="2" s="1"/>
  <c r="S323" i="2"/>
  <c r="M324" i="3"/>
  <c r="S324" i="3" s="1"/>
  <c r="L324" i="3"/>
  <c r="J324" i="3"/>
  <c r="I324" i="3"/>
  <c r="H324" i="3"/>
  <c r="U324" i="2"/>
  <c r="H326" i="2"/>
  <c r="I326" i="2" s="1"/>
  <c r="S327" i="2"/>
  <c r="J328" i="3"/>
  <c r="I328" i="3"/>
  <c r="H328" i="3"/>
  <c r="M328" i="3"/>
  <c r="S328" i="3" s="1"/>
  <c r="L328" i="3"/>
  <c r="L328" i="2"/>
  <c r="U328" i="2"/>
  <c r="H330" i="2"/>
  <c r="I330" i="2" s="1"/>
  <c r="S331" i="2"/>
  <c r="M332" i="3"/>
  <c r="S332" i="3" s="1"/>
  <c r="L332" i="3"/>
  <c r="J332" i="3"/>
  <c r="I332" i="3"/>
  <c r="H332" i="3"/>
  <c r="U332" i="2"/>
  <c r="H334" i="2"/>
  <c r="I334" i="2" s="1"/>
  <c r="P334" i="2"/>
  <c r="S335" i="2"/>
  <c r="J336" i="3"/>
  <c r="I336" i="3"/>
  <c r="H336" i="3"/>
  <c r="M336" i="3"/>
  <c r="S336" i="3" s="1"/>
  <c r="L336" i="3"/>
  <c r="L336" i="2"/>
  <c r="U336" i="2"/>
  <c r="S339" i="2"/>
  <c r="M340" i="3"/>
  <c r="S340" i="3" s="1"/>
  <c r="L340" i="3"/>
  <c r="J340" i="3"/>
  <c r="I340" i="3"/>
  <c r="H340" i="3"/>
  <c r="U340" i="2"/>
  <c r="H342" i="2"/>
  <c r="I342" i="2" s="1"/>
  <c r="F344" i="3"/>
  <c r="R344" i="2"/>
  <c r="R347" i="2"/>
  <c r="D348" i="3"/>
  <c r="S348" i="2"/>
  <c r="N348" i="2"/>
  <c r="K349" i="2"/>
  <c r="R350" i="2"/>
  <c r="L351" i="3"/>
  <c r="I351" i="3"/>
  <c r="H353" i="2"/>
  <c r="I353" i="2" s="1"/>
  <c r="E354" i="3"/>
  <c r="K354" i="3" s="1"/>
  <c r="O354" i="2"/>
  <c r="P354" i="2" s="1"/>
  <c r="I356" i="2"/>
  <c r="F357" i="3"/>
  <c r="U357" i="2"/>
  <c r="K358" i="2"/>
  <c r="F360" i="3"/>
  <c r="R360" i="2"/>
  <c r="N361" i="2"/>
  <c r="I362" i="2"/>
  <c r="R363" i="2"/>
  <c r="D364" i="3"/>
  <c r="S364" i="2"/>
  <c r="K365" i="2"/>
  <c r="R366" i="2"/>
  <c r="L367" i="3"/>
  <c r="H369" i="2"/>
  <c r="I369" i="2" s="1"/>
  <c r="E370" i="3"/>
  <c r="O370" i="2"/>
  <c r="P370" i="2" s="1"/>
  <c r="I372" i="2"/>
  <c r="F373" i="3"/>
  <c r="U373" i="2"/>
  <c r="K374" i="2"/>
  <c r="I375" i="2"/>
  <c r="F376" i="3"/>
  <c r="R376" i="2"/>
  <c r="S379" i="2"/>
  <c r="T380" i="2"/>
  <c r="E381" i="3"/>
  <c r="K381" i="3" s="1"/>
  <c r="T381" i="2"/>
  <c r="O382" i="2"/>
  <c r="P382" i="2" s="1"/>
  <c r="C383" i="3"/>
  <c r="O383" i="2"/>
  <c r="H383" i="2"/>
  <c r="I383" i="2" s="1"/>
  <c r="I386" i="2"/>
  <c r="G388" i="3"/>
  <c r="R388" i="2"/>
  <c r="R390" i="2"/>
  <c r="E391" i="3"/>
  <c r="K391" i="3" s="1"/>
  <c r="N391" i="2"/>
  <c r="D392" i="3"/>
  <c r="S392" i="2"/>
  <c r="O392" i="2"/>
  <c r="P392" i="2" s="1"/>
  <c r="C394" i="3"/>
  <c r="F400" i="3"/>
  <c r="K400" i="3" s="1"/>
  <c r="P400" i="2"/>
  <c r="G401" i="3"/>
  <c r="R401" i="2"/>
  <c r="C412" i="3"/>
  <c r="H412" i="2"/>
  <c r="O412" i="2"/>
  <c r="M412" i="2"/>
  <c r="N412" i="2" s="1"/>
  <c r="C420" i="3"/>
  <c r="M420" i="2"/>
  <c r="N420" i="2" s="1"/>
  <c r="G422" i="3"/>
  <c r="R422" i="2"/>
  <c r="E437" i="3"/>
  <c r="K437" i="3" s="1"/>
  <c r="T437" i="2"/>
  <c r="C452" i="3"/>
  <c r="M452" i="2"/>
  <c r="N452" i="2" s="1"/>
  <c r="G454" i="3"/>
  <c r="R454" i="2"/>
  <c r="E469" i="3"/>
  <c r="K469" i="3" s="1"/>
  <c r="T469" i="2"/>
  <c r="E473" i="3"/>
  <c r="K473" i="3" s="1"/>
  <c r="T473" i="2"/>
  <c r="E477" i="3"/>
  <c r="K477" i="3" s="1"/>
  <c r="T477" i="2"/>
  <c r="E481" i="3"/>
  <c r="K481" i="3" s="1"/>
  <c r="T481" i="2"/>
  <c r="E485" i="3"/>
  <c r="K485" i="3" s="1"/>
  <c r="T485" i="2"/>
  <c r="E489" i="3"/>
  <c r="K489" i="3" s="1"/>
  <c r="T489" i="2"/>
  <c r="E493" i="3"/>
  <c r="K493" i="3" s="1"/>
  <c r="T493" i="2"/>
  <c r="E497" i="3"/>
  <c r="K497" i="3" s="1"/>
  <c r="T497" i="2"/>
  <c r="K545" i="2"/>
  <c r="L545" i="2" s="1"/>
  <c r="G547" i="3"/>
  <c r="R547" i="2"/>
  <c r="D591" i="3"/>
  <c r="S591" i="2"/>
  <c r="O659" i="2"/>
  <c r="K295" i="2"/>
  <c r="L295" i="2" s="1"/>
  <c r="K300" i="3"/>
  <c r="K303" i="2"/>
  <c r="L303" i="2" s="1"/>
  <c r="K304" i="3"/>
  <c r="K307" i="2"/>
  <c r="O309" i="2"/>
  <c r="P309" i="2" s="1"/>
  <c r="K311" i="2"/>
  <c r="L311" i="2" s="1"/>
  <c r="K315" i="2"/>
  <c r="L315" i="2" s="1"/>
  <c r="K319" i="2"/>
  <c r="O321" i="2"/>
  <c r="P321" i="2" s="1"/>
  <c r="K323" i="2"/>
  <c r="O325" i="2"/>
  <c r="P325" i="2" s="1"/>
  <c r="K327" i="2"/>
  <c r="O329" i="2"/>
  <c r="P329" i="2" s="1"/>
  <c r="K331" i="2"/>
  <c r="L331" i="2" s="1"/>
  <c r="O333" i="2"/>
  <c r="P333" i="2" s="1"/>
  <c r="K339" i="2"/>
  <c r="O341" i="2"/>
  <c r="P341" i="2" s="1"/>
  <c r="C343" i="3"/>
  <c r="H343" i="2"/>
  <c r="M349" i="2"/>
  <c r="N349" i="2" s="1"/>
  <c r="E351" i="3"/>
  <c r="K351" i="3" s="1"/>
  <c r="N351" i="2"/>
  <c r="C352" i="3"/>
  <c r="H352" i="2"/>
  <c r="M352" i="2"/>
  <c r="N352" i="2" s="1"/>
  <c r="T353" i="2"/>
  <c r="C355" i="3"/>
  <c r="H355" i="2"/>
  <c r="L355" i="2"/>
  <c r="R357" i="2"/>
  <c r="S363" i="2"/>
  <c r="M365" i="2"/>
  <c r="N365" i="2" s="1"/>
  <c r="E367" i="3"/>
  <c r="C368" i="3"/>
  <c r="H368" i="2"/>
  <c r="I368" i="2" s="1"/>
  <c r="T369" i="2"/>
  <c r="C371" i="3"/>
  <c r="H371" i="2"/>
  <c r="I371" i="2" s="1"/>
  <c r="L371" i="2"/>
  <c r="R373" i="2"/>
  <c r="T376" i="2"/>
  <c r="O377" i="2"/>
  <c r="F380" i="3"/>
  <c r="K380" i="3" s="1"/>
  <c r="U380" i="2"/>
  <c r="F381" i="3"/>
  <c r="U381" i="2"/>
  <c r="R381" i="2"/>
  <c r="M383" i="3"/>
  <c r="S383" i="3" s="1"/>
  <c r="L383" i="3"/>
  <c r="H383" i="3"/>
  <c r="C384" i="3"/>
  <c r="H384" i="2"/>
  <c r="K388" i="2"/>
  <c r="L388" i="2" s="1"/>
  <c r="S391" i="2"/>
  <c r="K392" i="3"/>
  <c r="T392" i="2"/>
  <c r="E393" i="3"/>
  <c r="T393" i="2"/>
  <c r="C395" i="3"/>
  <c r="O395" i="2"/>
  <c r="H395" i="2"/>
  <c r="I395" i="2" s="1"/>
  <c r="L395" i="2"/>
  <c r="I398" i="2"/>
  <c r="R406" i="2"/>
  <c r="D412" i="3"/>
  <c r="S412" i="2"/>
  <c r="C416" i="3"/>
  <c r="H416" i="2"/>
  <c r="O416" i="2"/>
  <c r="P416" i="2" s="1"/>
  <c r="M416" i="2"/>
  <c r="N416" i="2" s="1"/>
  <c r="C432" i="3"/>
  <c r="H432" i="2"/>
  <c r="O432" i="2"/>
  <c r="M432" i="2"/>
  <c r="N432" i="2" s="1"/>
  <c r="G434" i="3"/>
  <c r="R434" i="2"/>
  <c r="E449" i="3"/>
  <c r="T449" i="2"/>
  <c r="C464" i="3"/>
  <c r="H464" i="2"/>
  <c r="O464" i="2"/>
  <c r="M464" i="2"/>
  <c r="N464" i="2" s="1"/>
  <c r="G466" i="3"/>
  <c r="R466" i="2"/>
  <c r="E501" i="3"/>
  <c r="K501" i="3" s="1"/>
  <c r="T501" i="2"/>
  <c r="M656" i="2"/>
  <c r="M666" i="2"/>
  <c r="M311" i="3"/>
  <c r="S311" i="3" s="1"/>
  <c r="L311" i="3"/>
  <c r="J311" i="3"/>
  <c r="I311" i="3"/>
  <c r="H311" i="3"/>
  <c r="H313" i="2"/>
  <c r="I315" i="3"/>
  <c r="H315" i="3"/>
  <c r="M315" i="3"/>
  <c r="S315" i="3" s="1"/>
  <c r="L315" i="3"/>
  <c r="J315" i="3"/>
  <c r="H317" i="2"/>
  <c r="I317" i="2" s="1"/>
  <c r="M319" i="3"/>
  <c r="S319" i="3" s="1"/>
  <c r="L319" i="3"/>
  <c r="I319" i="3"/>
  <c r="H319" i="3"/>
  <c r="J319" i="3"/>
  <c r="L319" i="2"/>
  <c r="H321" i="2"/>
  <c r="I321" i="2" s="1"/>
  <c r="I323" i="3"/>
  <c r="H323" i="3"/>
  <c r="M323" i="3"/>
  <c r="S323" i="3" s="1"/>
  <c r="L323" i="3"/>
  <c r="J323" i="3"/>
  <c r="L323" i="2"/>
  <c r="H325" i="2"/>
  <c r="M327" i="3"/>
  <c r="S327" i="3" s="1"/>
  <c r="L327" i="3"/>
  <c r="J327" i="3"/>
  <c r="I327" i="3"/>
  <c r="H327" i="3"/>
  <c r="L327" i="2"/>
  <c r="H329" i="2"/>
  <c r="J331" i="3"/>
  <c r="I331" i="3"/>
  <c r="H331" i="3"/>
  <c r="M331" i="3"/>
  <c r="S331" i="3" s="1"/>
  <c r="L331" i="3"/>
  <c r="H333" i="2"/>
  <c r="M335" i="3"/>
  <c r="S335" i="3" s="1"/>
  <c r="L335" i="3"/>
  <c r="J335" i="3"/>
  <c r="I335" i="3"/>
  <c r="H335" i="3"/>
  <c r="J339" i="3"/>
  <c r="I339" i="3"/>
  <c r="H339" i="3"/>
  <c r="M339" i="3"/>
  <c r="S339" i="3" s="1"/>
  <c r="L339" i="3"/>
  <c r="L339" i="2"/>
  <c r="H341" i="2"/>
  <c r="M343" i="3"/>
  <c r="S343" i="3" s="1"/>
  <c r="L343" i="3"/>
  <c r="J343" i="3"/>
  <c r="I343" i="3"/>
  <c r="H343" i="3"/>
  <c r="F345" i="3"/>
  <c r="U345" i="2"/>
  <c r="F348" i="3"/>
  <c r="K348" i="3" s="1"/>
  <c r="D352" i="3"/>
  <c r="S352" i="2"/>
  <c r="R354" i="2"/>
  <c r="I355" i="3"/>
  <c r="L355" i="3"/>
  <c r="H357" i="2"/>
  <c r="E358" i="3"/>
  <c r="K358" i="3" s="1"/>
  <c r="F361" i="3"/>
  <c r="L361" i="3" s="1"/>
  <c r="U361" i="2"/>
  <c r="K362" i="2"/>
  <c r="F364" i="3"/>
  <c r="K364" i="3" s="1"/>
  <c r="D368" i="3"/>
  <c r="S368" i="2"/>
  <c r="R370" i="2"/>
  <c r="L371" i="3"/>
  <c r="E374" i="3"/>
  <c r="K374" i="3" s="1"/>
  <c r="F377" i="3"/>
  <c r="K377" i="3" s="1"/>
  <c r="U377" i="2"/>
  <c r="P377" i="2"/>
  <c r="K378" i="2"/>
  <c r="L378" i="2" s="1"/>
  <c r="G380" i="3"/>
  <c r="R380" i="2"/>
  <c r="E383" i="3"/>
  <c r="K383" i="3" s="1"/>
  <c r="D384" i="3"/>
  <c r="S384" i="2"/>
  <c r="C386" i="3"/>
  <c r="M386" i="2"/>
  <c r="K386" i="2"/>
  <c r="F392" i="3"/>
  <c r="U392" i="2"/>
  <c r="F393" i="3"/>
  <c r="I393" i="3" s="1"/>
  <c r="U393" i="2"/>
  <c r="L395" i="3"/>
  <c r="C396" i="3"/>
  <c r="H396" i="2"/>
  <c r="I396" i="2" s="1"/>
  <c r="C404" i="3"/>
  <c r="H404" i="2"/>
  <c r="O404" i="2"/>
  <c r="G410" i="3"/>
  <c r="R410" i="2"/>
  <c r="D416" i="3"/>
  <c r="S416" i="2"/>
  <c r="E429" i="3"/>
  <c r="K429" i="3" s="1"/>
  <c r="T429" i="2"/>
  <c r="C444" i="3"/>
  <c r="H444" i="2"/>
  <c r="O444" i="2"/>
  <c r="M444" i="2"/>
  <c r="N444" i="2" s="1"/>
  <c r="G446" i="3"/>
  <c r="R446" i="2"/>
  <c r="E461" i="3"/>
  <c r="K461" i="3" s="1"/>
  <c r="T461" i="2"/>
  <c r="F521" i="3"/>
  <c r="U521" i="2"/>
  <c r="P521" i="2"/>
  <c r="D523" i="3"/>
  <c r="S523" i="2"/>
  <c r="C541" i="3"/>
  <c r="O541" i="2"/>
  <c r="P541" i="2" s="1"/>
  <c r="M541" i="2"/>
  <c r="N541" i="2" s="1"/>
  <c r="K541" i="2"/>
  <c r="L541" i="2" s="1"/>
  <c r="H541" i="2"/>
  <c r="I541" i="2" s="1"/>
  <c r="G563" i="3"/>
  <c r="R563" i="2"/>
  <c r="K577" i="2"/>
  <c r="G603" i="3"/>
  <c r="I603" i="2"/>
  <c r="R603" i="2"/>
  <c r="G626" i="3"/>
  <c r="R626" i="2"/>
  <c r="E654" i="3"/>
  <c r="K654" i="3" s="1"/>
  <c r="T654" i="2"/>
  <c r="K689" i="2"/>
  <c r="E711" i="3"/>
  <c r="K711" i="3" s="1"/>
  <c r="T711" i="2"/>
  <c r="K274" i="2"/>
  <c r="K278" i="2"/>
  <c r="L278" i="2" s="1"/>
  <c r="K282" i="2"/>
  <c r="L282" i="2" s="1"/>
  <c r="O284" i="2"/>
  <c r="P284" i="2" s="1"/>
  <c r="K286" i="2"/>
  <c r="O288" i="2"/>
  <c r="P288" i="2" s="1"/>
  <c r="K290" i="2"/>
  <c r="L290" i="2" s="1"/>
  <c r="O292" i="2"/>
  <c r="P292" i="2" s="1"/>
  <c r="K294" i="2"/>
  <c r="M295" i="2"/>
  <c r="O296" i="2"/>
  <c r="P296" i="2" s="1"/>
  <c r="R297" i="2"/>
  <c r="K298" i="2"/>
  <c r="L298" i="2" s="1"/>
  <c r="O300" i="2"/>
  <c r="R301" i="2"/>
  <c r="K302" i="2"/>
  <c r="M303" i="2"/>
  <c r="N304" i="3"/>
  <c r="O304" i="2"/>
  <c r="P304" i="2" s="1"/>
  <c r="R305" i="2"/>
  <c r="M307" i="2"/>
  <c r="O308" i="2"/>
  <c r="P308" i="2" s="1"/>
  <c r="R309" i="2"/>
  <c r="K310" i="2"/>
  <c r="T310" i="2"/>
  <c r="M311" i="2"/>
  <c r="N311" i="2" s="1"/>
  <c r="O312" i="2"/>
  <c r="I313" i="2"/>
  <c r="R313" i="2"/>
  <c r="K314" i="2"/>
  <c r="T314" i="2"/>
  <c r="R317" i="2"/>
  <c r="K318" i="2"/>
  <c r="L318" i="2" s="1"/>
  <c r="T318" i="2"/>
  <c r="M319" i="2"/>
  <c r="N319" i="2" s="1"/>
  <c r="O320" i="2"/>
  <c r="R321" i="2"/>
  <c r="K322" i="2"/>
  <c r="T322" i="2"/>
  <c r="O324" i="2"/>
  <c r="I325" i="2"/>
  <c r="R325" i="2"/>
  <c r="K326" i="2"/>
  <c r="T326" i="2"/>
  <c r="M327" i="2"/>
  <c r="N327" i="2" s="1"/>
  <c r="O328" i="2"/>
  <c r="I329" i="2"/>
  <c r="R329" i="2"/>
  <c r="K330" i="2"/>
  <c r="T330" i="2"/>
  <c r="M331" i="2"/>
  <c r="N331" i="2" s="1"/>
  <c r="O332" i="2"/>
  <c r="I333" i="2"/>
  <c r="R333" i="2"/>
  <c r="K334" i="2"/>
  <c r="T334" i="2"/>
  <c r="M335" i="2"/>
  <c r="O336" i="2"/>
  <c r="P336" i="2" s="1"/>
  <c r="R337" i="2"/>
  <c r="K338" i="2"/>
  <c r="T338" i="2"/>
  <c r="M339" i="2"/>
  <c r="O340" i="2"/>
  <c r="P340" i="2" s="1"/>
  <c r="I341" i="2"/>
  <c r="R341" i="2"/>
  <c r="K342" i="2"/>
  <c r="T342" i="2"/>
  <c r="K343" i="3"/>
  <c r="R345" i="2"/>
  <c r="M346" i="2"/>
  <c r="N346" i="2" s="1"/>
  <c r="T348" i="2"/>
  <c r="K349" i="3"/>
  <c r="O349" i="2"/>
  <c r="O352" i="2"/>
  <c r="P352" i="2" s="1"/>
  <c r="M353" i="2"/>
  <c r="N353" i="2" s="1"/>
  <c r="H354" i="2"/>
  <c r="E355" i="3"/>
  <c r="K355" i="3" s="1"/>
  <c r="O355" i="2"/>
  <c r="C356" i="3"/>
  <c r="H356" i="2"/>
  <c r="M356" i="2"/>
  <c r="N356" i="2" s="1"/>
  <c r="I357" i="2"/>
  <c r="T357" i="2"/>
  <c r="C359" i="3"/>
  <c r="H359" i="2"/>
  <c r="I359" i="2" s="1"/>
  <c r="R361" i="2"/>
  <c r="M362" i="2"/>
  <c r="T364" i="2"/>
  <c r="K365" i="3"/>
  <c r="O365" i="2"/>
  <c r="M369" i="2"/>
  <c r="H370" i="2"/>
  <c r="E371" i="3"/>
  <c r="I371" i="3" s="1"/>
  <c r="C372" i="3"/>
  <c r="H372" i="2"/>
  <c r="M372" i="2"/>
  <c r="T373" i="2"/>
  <c r="C375" i="3"/>
  <c r="H375" i="2"/>
  <c r="R377" i="2"/>
  <c r="M378" i="2"/>
  <c r="K380" i="2"/>
  <c r="L380" i="2" s="1"/>
  <c r="S383" i="2"/>
  <c r="T384" i="2"/>
  <c r="E385" i="3"/>
  <c r="K385" i="3" s="1"/>
  <c r="T385" i="2"/>
  <c r="O386" i="2"/>
  <c r="P386" i="2" s="1"/>
  <c r="C387" i="3"/>
  <c r="O387" i="2"/>
  <c r="P387" i="2" s="1"/>
  <c r="H387" i="2"/>
  <c r="I387" i="2" s="1"/>
  <c r="G392" i="3"/>
  <c r="R392" i="2"/>
  <c r="R394" i="2"/>
  <c r="E395" i="3"/>
  <c r="D396" i="3"/>
  <c r="S396" i="2"/>
  <c r="O396" i="2"/>
  <c r="P396" i="2" s="1"/>
  <c r="C398" i="3"/>
  <c r="K398" i="2"/>
  <c r="L398" i="2" s="1"/>
  <c r="C403" i="3"/>
  <c r="O403" i="2"/>
  <c r="M403" i="2"/>
  <c r="H403" i="2"/>
  <c r="I403" i="2" s="1"/>
  <c r="D404" i="3"/>
  <c r="S404" i="2"/>
  <c r="T404" i="2"/>
  <c r="E405" i="3"/>
  <c r="T405" i="2"/>
  <c r="G414" i="3"/>
  <c r="R414" i="2"/>
  <c r="C424" i="3"/>
  <c r="H424" i="2"/>
  <c r="O424" i="2"/>
  <c r="M424" i="2"/>
  <c r="N424" i="2" s="1"/>
  <c r="G426" i="3"/>
  <c r="R426" i="2"/>
  <c r="E441" i="3"/>
  <c r="K441" i="3" s="1"/>
  <c r="T441" i="2"/>
  <c r="C456" i="3"/>
  <c r="H456" i="2"/>
  <c r="M456" i="2"/>
  <c r="N456" i="2" s="1"/>
  <c r="G458" i="3"/>
  <c r="R458" i="2"/>
  <c r="E471" i="3"/>
  <c r="K471" i="3" s="1"/>
  <c r="T471" i="2"/>
  <c r="E475" i="3"/>
  <c r="K475" i="3" s="1"/>
  <c r="T475" i="2"/>
  <c r="E479" i="3"/>
  <c r="K479" i="3" s="1"/>
  <c r="T479" i="2"/>
  <c r="E483" i="3"/>
  <c r="K483" i="3" s="1"/>
  <c r="T483" i="2"/>
  <c r="E487" i="3"/>
  <c r="K487" i="3" s="1"/>
  <c r="T487" i="2"/>
  <c r="E491" i="3"/>
  <c r="K491" i="3" s="1"/>
  <c r="T491" i="2"/>
  <c r="E495" i="3"/>
  <c r="T495" i="2"/>
  <c r="D524" i="3"/>
  <c r="S524" i="2"/>
  <c r="C557" i="3"/>
  <c r="O557" i="2"/>
  <c r="P557" i="2" s="1"/>
  <c r="M557" i="2"/>
  <c r="N557" i="2" s="1"/>
  <c r="K557" i="2"/>
  <c r="H557" i="2"/>
  <c r="I557" i="2" s="1"/>
  <c r="E566" i="3"/>
  <c r="K566" i="3" s="1"/>
  <c r="T566" i="2"/>
  <c r="C675" i="3"/>
  <c r="H675" i="2"/>
  <c r="I675" i="2" s="1"/>
  <c r="K675" i="2"/>
  <c r="M675" i="2"/>
  <c r="O675" i="2"/>
  <c r="P675" i="2" s="1"/>
  <c r="I246" i="3"/>
  <c r="H246" i="3"/>
  <c r="M246" i="3"/>
  <c r="S246" i="3" s="1"/>
  <c r="L246" i="3"/>
  <c r="J246" i="3"/>
  <c r="M250" i="3"/>
  <c r="S250" i="3" s="1"/>
  <c r="L250" i="3"/>
  <c r="J250" i="3"/>
  <c r="I250" i="3"/>
  <c r="H250" i="3"/>
  <c r="J254" i="3"/>
  <c r="M258" i="3"/>
  <c r="S258" i="3" s="1"/>
  <c r="L258" i="3"/>
  <c r="J258" i="3"/>
  <c r="I258" i="3"/>
  <c r="H258" i="3"/>
  <c r="S261" i="2"/>
  <c r="I262" i="3"/>
  <c r="H262" i="3"/>
  <c r="M262" i="3"/>
  <c r="S262" i="3" s="1"/>
  <c r="L262" i="3"/>
  <c r="J262" i="3"/>
  <c r="U262" i="2"/>
  <c r="S265" i="2"/>
  <c r="M266" i="3"/>
  <c r="S266" i="3" s="1"/>
  <c r="L266" i="3"/>
  <c r="J266" i="3"/>
  <c r="U266" i="2"/>
  <c r="S269" i="2"/>
  <c r="I270" i="3"/>
  <c r="H270" i="3"/>
  <c r="M270" i="3"/>
  <c r="S270" i="3" s="1"/>
  <c r="L270" i="3"/>
  <c r="J270" i="3"/>
  <c r="U270" i="2"/>
  <c r="S273" i="2"/>
  <c r="M274" i="3"/>
  <c r="S274" i="3" s="1"/>
  <c r="L274" i="3"/>
  <c r="J274" i="3"/>
  <c r="I274" i="3"/>
  <c r="H274" i="3"/>
  <c r="L274" i="2"/>
  <c r="U274" i="2"/>
  <c r="S277" i="2"/>
  <c r="I278" i="3"/>
  <c r="H278" i="3"/>
  <c r="M278" i="3"/>
  <c r="S278" i="3" s="1"/>
  <c r="L278" i="3"/>
  <c r="J278" i="3"/>
  <c r="U278" i="2"/>
  <c r="S281" i="2"/>
  <c r="M282" i="3"/>
  <c r="S282" i="3" s="1"/>
  <c r="L282" i="3"/>
  <c r="U282" i="2"/>
  <c r="S285" i="2"/>
  <c r="I286" i="3"/>
  <c r="H286" i="3"/>
  <c r="L286" i="3"/>
  <c r="J286" i="3"/>
  <c r="L286" i="2"/>
  <c r="U286" i="2"/>
  <c r="N287" i="2"/>
  <c r="H288" i="2"/>
  <c r="I288" i="2" s="1"/>
  <c r="S289" i="2"/>
  <c r="M290" i="3"/>
  <c r="S290" i="3" s="1"/>
  <c r="L290" i="3"/>
  <c r="J290" i="3"/>
  <c r="I290" i="3"/>
  <c r="H290" i="3"/>
  <c r="U290" i="2"/>
  <c r="N291" i="2"/>
  <c r="H292" i="2"/>
  <c r="I292" i="2" s="1"/>
  <c r="S293" i="2"/>
  <c r="L294" i="3"/>
  <c r="L294" i="2"/>
  <c r="U294" i="2"/>
  <c r="N295" i="2"/>
  <c r="H296" i="2"/>
  <c r="I296" i="2" s="1"/>
  <c r="S297" i="2"/>
  <c r="L298" i="3"/>
  <c r="H298" i="3"/>
  <c r="M298" i="3"/>
  <c r="S298" i="3" s="1"/>
  <c r="U298" i="2"/>
  <c r="S301" i="2"/>
  <c r="H302" i="3"/>
  <c r="J302" i="3"/>
  <c r="I302" i="3"/>
  <c r="M302" i="3"/>
  <c r="S302" i="3" s="1"/>
  <c r="L302" i="3"/>
  <c r="L302" i="2"/>
  <c r="U302" i="2"/>
  <c r="N303" i="2"/>
  <c r="H304" i="2"/>
  <c r="I304" i="2" s="1"/>
  <c r="S305" i="2"/>
  <c r="L306" i="3"/>
  <c r="U306" i="2"/>
  <c r="N307" i="2"/>
  <c r="H308" i="2"/>
  <c r="I308" i="2" s="1"/>
  <c r="S309" i="2"/>
  <c r="H310" i="3"/>
  <c r="L310" i="3"/>
  <c r="J310" i="3"/>
  <c r="I310" i="3"/>
  <c r="M310" i="3"/>
  <c r="S310" i="3" s="1"/>
  <c r="L310" i="2"/>
  <c r="U310" i="2"/>
  <c r="H312" i="2"/>
  <c r="I312" i="2" s="1"/>
  <c r="P312" i="2"/>
  <c r="S313" i="2"/>
  <c r="L314" i="3"/>
  <c r="J314" i="3"/>
  <c r="M314" i="3"/>
  <c r="S314" i="3" s="1"/>
  <c r="I314" i="3"/>
  <c r="H314" i="3"/>
  <c r="L314" i="2"/>
  <c r="U314" i="2"/>
  <c r="H316" i="2"/>
  <c r="I316" i="2" s="1"/>
  <c r="S317" i="2"/>
  <c r="H318" i="3"/>
  <c r="M318" i="3"/>
  <c r="S318" i="3" s="1"/>
  <c r="L318" i="3"/>
  <c r="J318" i="3"/>
  <c r="I318" i="3"/>
  <c r="U318" i="2"/>
  <c r="H320" i="2"/>
  <c r="I320" i="2" s="1"/>
  <c r="P320" i="2"/>
  <c r="S321" i="2"/>
  <c r="L322" i="3"/>
  <c r="J322" i="3"/>
  <c r="I322" i="3"/>
  <c r="H322" i="3"/>
  <c r="M322" i="3"/>
  <c r="S322" i="3" s="1"/>
  <c r="L322" i="2"/>
  <c r="U322" i="2"/>
  <c r="H324" i="2"/>
  <c r="I324" i="2" s="1"/>
  <c r="P324" i="2"/>
  <c r="S325" i="2"/>
  <c r="H326" i="3"/>
  <c r="M326" i="3"/>
  <c r="S326" i="3" s="1"/>
  <c r="L326" i="3"/>
  <c r="J326" i="3"/>
  <c r="I326" i="3"/>
  <c r="L326" i="2"/>
  <c r="U326" i="2"/>
  <c r="H328" i="2"/>
  <c r="I328" i="2" s="1"/>
  <c r="P328" i="2"/>
  <c r="S329" i="2"/>
  <c r="L330" i="3"/>
  <c r="J330" i="3"/>
  <c r="I330" i="3"/>
  <c r="H330" i="3"/>
  <c r="M330" i="3"/>
  <c r="S330" i="3" s="1"/>
  <c r="L330" i="2"/>
  <c r="U330" i="2"/>
  <c r="H332" i="2"/>
  <c r="I332" i="2" s="1"/>
  <c r="P332" i="2"/>
  <c r="S333" i="2"/>
  <c r="I334" i="3"/>
  <c r="H334" i="3"/>
  <c r="M334" i="3"/>
  <c r="S334" i="3" s="1"/>
  <c r="L334" i="3"/>
  <c r="J334" i="3"/>
  <c r="L334" i="2"/>
  <c r="U334" i="2"/>
  <c r="N335" i="2"/>
  <c r="H336" i="2"/>
  <c r="I336" i="2" s="1"/>
  <c r="S337" i="2"/>
  <c r="M338" i="3"/>
  <c r="S338" i="3" s="1"/>
  <c r="L338" i="3"/>
  <c r="J338" i="3"/>
  <c r="I338" i="3"/>
  <c r="H338" i="3"/>
  <c r="L338" i="2"/>
  <c r="U338" i="2"/>
  <c r="N339" i="2"/>
  <c r="H340" i="2"/>
  <c r="I340" i="2" s="1"/>
  <c r="S341" i="2"/>
  <c r="I342" i="3"/>
  <c r="H342" i="3"/>
  <c r="M342" i="3"/>
  <c r="S342" i="3" s="1"/>
  <c r="L342" i="3"/>
  <c r="J342" i="3"/>
  <c r="L342" i="2"/>
  <c r="U342" i="2"/>
  <c r="F343" i="3"/>
  <c r="O343" i="2"/>
  <c r="P343" i="2" s="1"/>
  <c r="H345" i="2"/>
  <c r="I345" i="2" s="1"/>
  <c r="E346" i="3"/>
  <c r="K346" i="3" s="1"/>
  <c r="U348" i="2"/>
  <c r="F349" i="3"/>
  <c r="U349" i="2"/>
  <c r="P349" i="2"/>
  <c r="K350" i="2"/>
  <c r="L350" i="2" s="1"/>
  <c r="T351" i="2"/>
  <c r="F352" i="3"/>
  <c r="K352" i="3" s="1"/>
  <c r="R352" i="2"/>
  <c r="I354" i="2"/>
  <c r="R355" i="2"/>
  <c r="D356" i="3"/>
  <c r="S356" i="2"/>
  <c r="R358" i="2"/>
  <c r="M359" i="3"/>
  <c r="S359" i="3" s="1"/>
  <c r="L359" i="3"/>
  <c r="M359" i="2"/>
  <c r="H361" i="2"/>
  <c r="I361" i="2" s="1"/>
  <c r="E362" i="3"/>
  <c r="N362" i="2"/>
  <c r="O362" i="2"/>
  <c r="P362" i="2" s="1"/>
  <c r="U364" i="2"/>
  <c r="F365" i="3"/>
  <c r="U365" i="2"/>
  <c r="P365" i="2"/>
  <c r="K366" i="2"/>
  <c r="L366" i="2" s="1"/>
  <c r="I367" i="2"/>
  <c r="T367" i="2"/>
  <c r="F368" i="3"/>
  <c r="K368" i="3" s="1"/>
  <c r="R368" i="2"/>
  <c r="N369" i="2"/>
  <c r="I370" i="2"/>
  <c r="R371" i="2"/>
  <c r="D372" i="3"/>
  <c r="S372" i="2"/>
  <c r="N372" i="2"/>
  <c r="K373" i="2"/>
  <c r="R374" i="2"/>
  <c r="I375" i="3"/>
  <c r="L375" i="3"/>
  <c r="E378" i="3"/>
  <c r="K378" i="3" s="1"/>
  <c r="N378" i="2"/>
  <c r="O378" i="2"/>
  <c r="P378" i="2" s="1"/>
  <c r="T383" i="2"/>
  <c r="F384" i="3"/>
  <c r="K384" i="3" s="1"/>
  <c r="U384" i="2"/>
  <c r="F385" i="3"/>
  <c r="U385" i="2"/>
  <c r="R385" i="2"/>
  <c r="M387" i="3"/>
  <c r="S387" i="3" s="1"/>
  <c r="J387" i="3"/>
  <c r="I387" i="3"/>
  <c r="L387" i="3"/>
  <c r="C388" i="3"/>
  <c r="H388" i="2"/>
  <c r="I388" i="2" s="1"/>
  <c r="N388" i="2"/>
  <c r="S395" i="2"/>
  <c r="T396" i="2"/>
  <c r="E397" i="3"/>
  <c r="T397" i="2"/>
  <c r="C399" i="3"/>
  <c r="O399" i="2"/>
  <c r="H399" i="2"/>
  <c r="I399" i="2" s="1"/>
  <c r="L399" i="2"/>
  <c r="M403" i="3"/>
  <c r="S403" i="3" s="1"/>
  <c r="L403" i="3"/>
  <c r="J403" i="3"/>
  <c r="I403" i="3"/>
  <c r="H403" i="3"/>
  <c r="F405" i="3"/>
  <c r="L405" i="3" s="1"/>
  <c r="U405" i="2"/>
  <c r="E409" i="3"/>
  <c r="T409" i="2"/>
  <c r="G418" i="3"/>
  <c r="N418" i="3" s="1"/>
  <c r="R418" i="2"/>
  <c r="E421" i="3"/>
  <c r="K421" i="3" s="1"/>
  <c r="T421" i="2"/>
  <c r="C436" i="3"/>
  <c r="H436" i="2"/>
  <c r="I436" i="2" s="1"/>
  <c r="O436" i="2"/>
  <c r="P436" i="2" s="1"/>
  <c r="M436" i="2"/>
  <c r="N436" i="2" s="1"/>
  <c r="G438" i="3"/>
  <c r="R438" i="2"/>
  <c r="E453" i="3"/>
  <c r="K453" i="3" s="1"/>
  <c r="T453" i="2"/>
  <c r="C468" i="3"/>
  <c r="H468" i="2"/>
  <c r="O468" i="2"/>
  <c r="M468" i="2"/>
  <c r="N468" i="2" s="1"/>
  <c r="E499" i="3"/>
  <c r="K499" i="3" s="1"/>
  <c r="T499" i="2"/>
  <c r="F506" i="3"/>
  <c r="L506" i="3" s="1"/>
  <c r="U506" i="2"/>
  <c r="D507" i="3"/>
  <c r="S507" i="2"/>
  <c r="E510" i="3"/>
  <c r="T510" i="2"/>
  <c r="F530" i="3"/>
  <c r="H530" i="3" s="1"/>
  <c r="U530" i="2"/>
  <c r="F576" i="3"/>
  <c r="U576" i="2"/>
  <c r="G638" i="3"/>
  <c r="R638" i="2"/>
  <c r="I638" i="2"/>
  <c r="K309" i="2"/>
  <c r="L309" i="2" s="1"/>
  <c r="K321" i="2"/>
  <c r="L321" i="2" s="1"/>
  <c r="K325" i="2"/>
  <c r="K329" i="2"/>
  <c r="K333" i="2"/>
  <c r="K337" i="2"/>
  <c r="L337" i="2" s="1"/>
  <c r="R343" i="2"/>
  <c r="C344" i="3"/>
  <c r="H344" i="2"/>
  <c r="I344" i="2" s="1"/>
  <c r="M344" i="2"/>
  <c r="N344" i="2" s="1"/>
  <c r="C347" i="3"/>
  <c r="H347" i="2"/>
  <c r="I347" i="2" s="1"/>
  <c r="R349" i="2"/>
  <c r="K356" i="3"/>
  <c r="M357" i="2"/>
  <c r="N357" i="2" s="1"/>
  <c r="E359" i="3"/>
  <c r="K359" i="3" s="1"/>
  <c r="N359" i="2"/>
  <c r="C360" i="3"/>
  <c r="M360" i="2"/>
  <c r="N360" i="2" s="1"/>
  <c r="C363" i="3"/>
  <c r="H363" i="2"/>
  <c r="I363" i="2" s="1"/>
  <c r="R365" i="2"/>
  <c r="K369" i="3"/>
  <c r="S371" i="2"/>
  <c r="M373" i="2"/>
  <c r="N373" i="2" s="1"/>
  <c r="E375" i="3"/>
  <c r="C376" i="3"/>
  <c r="M376" i="2"/>
  <c r="N376" i="2" s="1"/>
  <c r="C379" i="3"/>
  <c r="O379" i="2"/>
  <c r="H379" i="2"/>
  <c r="I379" i="2" s="1"/>
  <c r="G384" i="3"/>
  <c r="R384" i="2"/>
  <c r="I384" i="2"/>
  <c r="E387" i="3"/>
  <c r="K387" i="3" s="1"/>
  <c r="D388" i="3"/>
  <c r="S388" i="2"/>
  <c r="C390" i="3"/>
  <c r="M390" i="2"/>
  <c r="N390" i="2" s="1"/>
  <c r="K390" i="2"/>
  <c r="F396" i="3"/>
  <c r="K396" i="3" s="1"/>
  <c r="U396" i="2"/>
  <c r="F397" i="3"/>
  <c r="H397" i="3" s="1"/>
  <c r="U397" i="2"/>
  <c r="L399" i="3"/>
  <c r="C400" i="3"/>
  <c r="H400" i="2"/>
  <c r="I400" i="2" s="1"/>
  <c r="O400" i="2"/>
  <c r="F404" i="3"/>
  <c r="K404" i="3" s="1"/>
  <c r="P404" i="2"/>
  <c r="G405" i="3"/>
  <c r="R405" i="2"/>
  <c r="C408" i="3"/>
  <c r="H408" i="2"/>
  <c r="O408" i="2"/>
  <c r="F409" i="3"/>
  <c r="I409" i="3" s="1"/>
  <c r="U409" i="2"/>
  <c r="E413" i="3"/>
  <c r="T413" i="2"/>
  <c r="E433" i="3"/>
  <c r="K433" i="3" s="1"/>
  <c r="T433" i="2"/>
  <c r="C448" i="3"/>
  <c r="H448" i="2"/>
  <c r="O448" i="2"/>
  <c r="M448" i="2"/>
  <c r="N448" i="2" s="1"/>
  <c r="G450" i="3"/>
  <c r="R450" i="2"/>
  <c r="E465" i="3"/>
  <c r="K465" i="3" s="1"/>
  <c r="T465" i="2"/>
  <c r="E503" i="3"/>
  <c r="K503" i="3" s="1"/>
  <c r="T503" i="2"/>
  <c r="C504" i="3"/>
  <c r="M504" i="2"/>
  <c r="N504" i="2" s="1"/>
  <c r="O504" i="2"/>
  <c r="K504" i="2"/>
  <c r="L504" i="2" s="1"/>
  <c r="C525" i="3"/>
  <c r="O525" i="2"/>
  <c r="K525" i="2"/>
  <c r="H525" i="2"/>
  <c r="I525" i="2" s="1"/>
  <c r="D559" i="3"/>
  <c r="S559" i="2"/>
  <c r="G595" i="3"/>
  <c r="R595" i="2"/>
  <c r="L261" i="3"/>
  <c r="J261" i="3"/>
  <c r="I261" i="3"/>
  <c r="H261" i="3"/>
  <c r="M261" i="3"/>
  <c r="S261" i="3" s="1"/>
  <c r="H265" i="3"/>
  <c r="M265" i="3"/>
  <c r="S265" i="3" s="1"/>
  <c r="L265" i="3"/>
  <c r="J265" i="3"/>
  <c r="I265" i="3"/>
  <c r="L269" i="3"/>
  <c r="J269" i="3"/>
  <c r="I269" i="3"/>
  <c r="H269" i="3"/>
  <c r="M269" i="3"/>
  <c r="S269" i="3" s="1"/>
  <c r="H273" i="3"/>
  <c r="M273" i="3"/>
  <c r="S273" i="3" s="1"/>
  <c r="L273" i="3"/>
  <c r="J273" i="3"/>
  <c r="I273" i="3"/>
  <c r="L273" i="2"/>
  <c r="L277" i="3"/>
  <c r="M277" i="3"/>
  <c r="S277" i="3" s="1"/>
  <c r="H281" i="3"/>
  <c r="M281" i="3"/>
  <c r="S281" i="3" s="1"/>
  <c r="L281" i="3"/>
  <c r="J281" i="3"/>
  <c r="I281" i="3"/>
  <c r="L285" i="3"/>
  <c r="J285" i="3"/>
  <c r="I285" i="3"/>
  <c r="H285" i="3"/>
  <c r="M285" i="3"/>
  <c r="S285" i="3" s="1"/>
  <c r="L285" i="2"/>
  <c r="H289" i="3"/>
  <c r="M289" i="3"/>
  <c r="S289" i="3" s="1"/>
  <c r="L289" i="3"/>
  <c r="J289" i="3"/>
  <c r="I289" i="3"/>
  <c r="L289" i="2"/>
  <c r="J293" i="3"/>
  <c r="M293" i="3"/>
  <c r="S293" i="3" s="1"/>
  <c r="L293" i="3"/>
  <c r="I293" i="3"/>
  <c r="H293" i="3"/>
  <c r="L293" i="2"/>
  <c r="H295" i="2"/>
  <c r="M297" i="3"/>
  <c r="S297" i="3" s="1"/>
  <c r="L297" i="3"/>
  <c r="J297" i="3"/>
  <c r="I297" i="3"/>
  <c r="H297" i="3"/>
  <c r="H299" i="2"/>
  <c r="I299" i="2" s="1"/>
  <c r="J301" i="3"/>
  <c r="I301" i="3"/>
  <c r="M301" i="3"/>
  <c r="S301" i="3" s="1"/>
  <c r="L301" i="3"/>
  <c r="H301" i="3"/>
  <c r="L301" i="2"/>
  <c r="H303" i="2"/>
  <c r="I303" i="2" s="1"/>
  <c r="M305" i="3"/>
  <c r="S305" i="3" s="1"/>
  <c r="L305" i="3"/>
  <c r="J305" i="3"/>
  <c r="I305" i="3"/>
  <c r="H305" i="3"/>
  <c r="H307" i="2"/>
  <c r="J309" i="3"/>
  <c r="I309" i="3"/>
  <c r="M309" i="3"/>
  <c r="S309" i="3" s="1"/>
  <c r="L309" i="3"/>
  <c r="H309" i="3"/>
  <c r="H311" i="2"/>
  <c r="I311" i="2" s="1"/>
  <c r="M313" i="3"/>
  <c r="S313" i="3" s="1"/>
  <c r="H313" i="3"/>
  <c r="L313" i="3"/>
  <c r="J313" i="3"/>
  <c r="I313" i="3"/>
  <c r="H315" i="2"/>
  <c r="I315" i="2" s="1"/>
  <c r="J317" i="3"/>
  <c r="I317" i="3"/>
  <c r="M317" i="3"/>
  <c r="S317" i="3" s="1"/>
  <c r="L317" i="3"/>
  <c r="H317" i="3"/>
  <c r="H319" i="2"/>
  <c r="M321" i="3"/>
  <c r="S321" i="3" s="1"/>
  <c r="L321" i="3"/>
  <c r="J321" i="3"/>
  <c r="I321" i="3"/>
  <c r="H321" i="3"/>
  <c r="J325" i="3"/>
  <c r="I325" i="3"/>
  <c r="H325" i="3"/>
  <c r="M325" i="3"/>
  <c r="S325" i="3" s="1"/>
  <c r="L325" i="3"/>
  <c r="L325" i="2"/>
  <c r="H327" i="2"/>
  <c r="I327" i="2" s="1"/>
  <c r="M329" i="3"/>
  <c r="S329" i="3" s="1"/>
  <c r="L329" i="3"/>
  <c r="J329" i="3"/>
  <c r="I329" i="3"/>
  <c r="H329" i="3"/>
  <c r="L329" i="2"/>
  <c r="H331" i="2"/>
  <c r="L333" i="3"/>
  <c r="J333" i="3"/>
  <c r="I333" i="3"/>
  <c r="H333" i="3"/>
  <c r="M333" i="3"/>
  <c r="S333" i="3" s="1"/>
  <c r="L333" i="2"/>
  <c r="N334" i="2"/>
  <c r="H335" i="2"/>
  <c r="H337" i="3"/>
  <c r="M337" i="3"/>
  <c r="S337" i="3" s="1"/>
  <c r="L337" i="3"/>
  <c r="J337" i="3"/>
  <c r="I337" i="3"/>
  <c r="H339" i="2"/>
  <c r="L341" i="3"/>
  <c r="J341" i="3"/>
  <c r="I341" i="3"/>
  <c r="H341" i="3"/>
  <c r="M341" i="3"/>
  <c r="S341" i="3" s="1"/>
  <c r="I343" i="2"/>
  <c r="S343" i="2"/>
  <c r="D344" i="3"/>
  <c r="S344" i="2"/>
  <c r="R346" i="2"/>
  <c r="L347" i="3"/>
  <c r="M347" i="2"/>
  <c r="H349" i="2"/>
  <c r="I349" i="2" s="1"/>
  <c r="E350" i="3"/>
  <c r="K350" i="3" s="1"/>
  <c r="I352" i="2"/>
  <c r="F353" i="3"/>
  <c r="U353" i="2"/>
  <c r="K354" i="2"/>
  <c r="L354" i="2" s="1"/>
  <c r="I355" i="2"/>
  <c r="F356" i="3"/>
  <c r="T358" i="2"/>
  <c r="D360" i="3"/>
  <c r="S360" i="2"/>
  <c r="R362" i="2"/>
  <c r="I363" i="3"/>
  <c r="H363" i="3"/>
  <c r="L363" i="3"/>
  <c r="M363" i="2"/>
  <c r="E366" i="3"/>
  <c r="K366" i="3" s="1"/>
  <c r="F369" i="3"/>
  <c r="U369" i="2"/>
  <c r="K370" i="2"/>
  <c r="F372" i="3"/>
  <c r="K372" i="3" s="1"/>
  <c r="T374" i="2"/>
  <c r="D376" i="3"/>
  <c r="S376" i="2"/>
  <c r="R378" i="2"/>
  <c r="M379" i="3"/>
  <c r="S379" i="3" s="1"/>
  <c r="L379" i="3"/>
  <c r="M379" i="2"/>
  <c r="N379" i="2" s="1"/>
  <c r="C380" i="3"/>
  <c r="H380" i="2"/>
  <c r="I380" i="2" s="1"/>
  <c r="T388" i="2"/>
  <c r="E389" i="3"/>
  <c r="T389" i="2"/>
  <c r="O390" i="2"/>
  <c r="P390" i="2" s="1"/>
  <c r="C391" i="3"/>
  <c r="O391" i="2"/>
  <c r="P391" i="2" s="1"/>
  <c r="H391" i="2"/>
  <c r="I391" i="2" s="1"/>
  <c r="G396" i="3"/>
  <c r="R396" i="2"/>
  <c r="E399" i="3"/>
  <c r="D400" i="3"/>
  <c r="S400" i="2"/>
  <c r="E401" i="3"/>
  <c r="T401" i="2"/>
  <c r="D408" i="3"/>
  <c r="S408" i="2"/>
  <c r="G409" i="3"/>
  <c r="N13" i="3" s="1"/>
  <c r="R409" i="2"/>
  <c r="F413" i="3"/>
  <c r="I413" i="3" s="1"/>
  <c r="U413" i="2"/>
  <c r="E417" i="3"/>
  <c r="T417" i="2"/>
  <c r="C428" i="3"/>
  <c r="O428" i="2"/>
  <c r="M428" i="2"/>
  <c r="N428" i="2" s="1"/>
  <c r="G430" i="3"/>
  <c r="R430" i="2"/>
  <c r="E445" i="3"/>
  <c r="K445" i="3" s="1"/>
  <c r="T445" i="2"/>
  <c r="C460" i="3"/>
  <c r="H460" i="2"/>
  <c r="I460" i="2" s="1"/>
  <c r="G462" i="3"/>
  <c r="R462" i="2"/>
  <c r="G518" i="3"/>
  <c r="R518" i="2"/>
  <c r="L525" i="2"/>
  <c r="F532" i="3"/>
  <c r="P532" i="2"/>
  <c r="U532" i="2"/>
  <c r="D543" i="3"/>
  <c r="S543" i="2"/>
  <c r="H553" i="2"/>
  <c r="I553" i="2" s="1"/>
  <c r="K573" i="2"/>
  <c r="C589" i="3"/>
  <c r="O589" i="2"/>
  <c r="P589" i="2" s="1"/>
  <c r="M589" i="2"/>
  <c r="N589" i="2" s="1"/>
  <c r="K589" i="2"/>
  <c r="H589" i="2"/>
  <c r="I589" i="2" s="1"/>
  <c r="G700" i="3"/>
  <c r="R700" i="2"/>
  <c r="K284" i="2"/>
  <c r="L284" i="2" s="1"/>
  <c r="N286" i="3"/>
  <c r="K288" i="2"/>
  <c r="L288" i="2" s="1"/>
  <c r="K292" i="2"/>
  <c r="L292" i="2" s="1"/>
  <c r="K296" i="2"/>
  <c r="T296" i="2"/>
  <c r="K300" i="2"/>
  <c r="L300" i="2" s="1"/>
  <c r="T300" i="2"/>
  <c r="K304" i="2"/>
  <c r="L304" i="2" s="1"/>
  <c r="T304" i="2"/>
  <c r="I307" i="2"/>
  <c r="R307" i="2"/>
  <c r="K308" i="2"/>
  <c r="L308" i="2" s="1"/>
  <c r="T308" i="2"/>
  <c r="M309" i="2"/>
  <c r="N309" i="2" s="1"/>
  <c r="R311" i="2"/>
  <c r="K312" i="2"/>
  <c r="T312" i="2"/>
  <c r="M313" i="2"/>
  <c r="N313" i="2" s="1"/>
  <c r="R315" i="2"/>
  <c r="K316" i="2"/>
  <c r="L316" i="2" s="1"/>
  <c r="T316" i="2"/>
  <c r="M317" i="2"/>
  <c r="N317" i="2" s="1"/>
  <c r="I319" i="2"/>
  <c r="R319" i="2"/>
  <c r="K320" i="2"/>
  <c r="T320" i="2"/>
  <c r="M321" i="2"/>
  <c r="N321" i="2" s="1"/>
  <c r="R323" i="2"/>
  <c r="K324" i="2"/>
  <c r="L324" i="2" s="1"/>
  <c r="T324" i="2"/>
  <c r="M325" i="2"/>
  <c r="N325" i="2" s="1"/>
  <c r="R327" i="2"/>
  <c r="K328" i="2"/>
  <c r="T328" i="2"/>
  <c r="M329" i="2"/>
  <c r="N329" i="2" s="1"/>
  <c r="I331" i="2"/>
  <c r="R331" i="2"/>
  <c r="K332" i="2"/>
  <c r="L332" i="2" s="1"/>
  <c r="T332" i="2"/>
  <c r="I335" i="2"/>
  <c r="R335" i="2"/>
  <c r="K336" i="2"/>
  <c r="T336" i="2"/>
  <c r="M337" i="2"/>
  <c r="N337" i="2" s="1"/>
  <c r="I339" i="2"/>
  <c r="R339" i="2"/>
  <c r="K340" i="2"/>
  <c r="L340" i="2" s="1"/>
  <c r="T340" i="2"/>
  <c r="M341" i="2"/>
  <c r="N341" i="2" s="1"/>
  <c r="K344" i="3"/>
  <c r="O344" i="2"/>
  <c r="P344" i="2" s="1"/>
  <c r="M345" i="2"/>
  <c r="N345" i="2" s="1"/>
  <c r="H346" i="2"/>
  <c r="I346" i="2" s="1"/>
  <c r="E347" i="3"/>
  <c r="O347" i="3" s="1"/>
  <c r="N347" i="2"/>
  <c r="O347" i="2"/>
  <c r="C348" i="3"/>
  <c r="H348" i="2"/>
  <c r="I348" i="2" s="1"/>
  <c r="M348" i="2"/>
  <c r="C351" i="3"/>
  <c r="H351" i="2"/>
  <c r="I351" i="2" s="1"/>
  <c r="K352" i="2"/>
  <c r="R353" i="2"/>
  <c r="T356" i="2"/>
  <c r="O357" i="2"/>
  <c r="P357" i="2" s="1"/>
  <c r="K360" i="3"/>
  <c r="O360" i="2"/>
  <c r="P360" i="2" s="1"/>
  <c r="M361" i="2"/>
  <c r="H362" i="2"/>
  <c r="E363" i="3"/>
  <c r="K363" i="3" s="1"/>
  <c r="N363" i="2"/>
  <c r="O363" i="2"/>
  <c r="P363" i="2" s="1"/>
  <c r="C364" i="3"/>
  <c r="M364" i="2"/>
  <c r="N364" i="2" s="1"/>
  <c r="C367" i="3"/>
  <c r="H367" i="2"/>
  <c r="K368" i="2"/>
  <c r="L368" i="2" s="1"/>
  <c r="R369" i="2"/>
  <c r="M370" i="2"/>
  <c r="N370" i="2" s="1"/>
  <c r="T372" i="2"/>
  <c r="K373" i="3"/>
  <c r="O373" i="2"/>
  <c r="P373" i="2" s="1"/>
  <c r="K376" i="3"/>
  <c r="M377" i="2"/>
  <c r="N377" i="2" s="1"/>
  <c r="H378" i="2"/>
  <c r="I378" i="2" s="1"/>
  <c r="E379" i="3"/>
  <c r="K379" i="3" s="1"/>
  <c r="D380" i="3"/>
  <c r="S380" i="2"/>
  <c r="O380" i="2"/>
  <c r="P380" i="2" s="1"/>
  <c r="C382" i="3"/>
  <c r="M382" i="2"/>
  <c r="K382" i="2"/>
  <c r="L382" i="2" s="1"/>
  <c r="H386" i="2"/>
  <c r="T387" i="2"/>
  <c r="F388" i="3"/>
  <c r="K388" i="3" s="1"/>
  <c r="U388" i="2"/>
  <c r="F389" i="3"/>
  <c r="I389" i="3" s="1"/>
  <c r="U389" i="2"/>
  <c r="J391" i="3"/>
  <c r="I391" i="3"/>
  <c r="M391" i="3"/>
  <c r="S391" i="3" s="1"/>
  <c r="L391" i="3"/>
  <c r="H391" i="3"/>
  <c r="M391" i="2"/>
  <c r="C392" i="3"/>
  <c r="K396" i="2"/>
  <c r="L396" i="2" s="1"/>
  <c r="S399" i="2"/>
  <c r="F401" i="3"/>
  <c r="I401" i="3" s="1"/>
  <c r="U401" i="2"/>
  <c r="K404" i="2"/>
  <c r="L404" i="2" s="1"/>
  <c r="C407" i="3"/>
  <c r="O407" i="2"/>
  <c r="P407" i="2" s="1"/>
  <c r="M407" i="2"/>
  <c r="N407" i="2" s="1"/>
  <c r="H407" i="2"/>
  <c r="I407" i="2" s="1"/>
  <c r="E408" i="3"/>
  <c r="K408" i="3" s="1"/>
  <c r="F417" i="3"/>
  <c r="U417" i="2"/>
  <c r="E425" i="3"/>
  <c r="T425" i="2"/>
  <c r="C440" i="3"/>
  <c r="H440" i="2"/>
  <c r="O440" i="2"/>
  <c r="M440" i="2"/>
  <c r="N440" i="2" s="1"/>
  <c r="G442" i="3"/>
  <c r="R442" i="2"/>
  <c r="K444" i="2"/>
  <c r="E457" i="3"/>
  <c r="K457" i="3" s="1"/>
  <c r="T457" i="2"/>
  <c r="H505" i="2"/>
  <c r="I505" i="2" s="1"/>
  <c r="K509" i="2"/>
  <c r="L509" i="2" s="1"/>
  <c r="H517" i="2"/>
  <c r="I517" i="2" s="1"/>
  <c r="G519" i="3"/>
  <c r="R519" i="2"/>
  <c r="E533" i="3"/>
  <c r="K533" i="3" s="1"/>
  <c r="T533" i="2"/>
  <c r="E534" i="3"/>
  <c r="M534" i="3" s="1"/>
  <c r="S534" i="3" s="1"/>
  <c r="T534" i="2"/>
  <c r="F552" i="3"/>
  <c r="U552" i="2"/>
  <c r="C629" i="3"/>
  <c r="H629" i="2"/>
  <c r="I629" i="2" s="1"/>
  <c r="K629" i="2"/>
  <c r="L629" i="2" s="1"/>
  <c r="M629" i="2"/>
  <c r="O629" i="2"/>
  <c r="P629" i="2" s="1"/>
  <c r="K658" i="2"/>
  <c r="L345" i="3"/>
  <c r="J345" i="3"/>
  <c r="P347" i="2"/>
  <c r="L349" i="3"/>
  <c r="J349" i="3"/>
  <c r="I349" i="3"/>
  <c r="H349" i="3"/>
  <c r="M349" i="3"/>
  <c r="S349" i="3" s="1"/>
  <c r="L349" i="2"/>
  <c r="P351" i="2"/>
  <c r="J353" i="3"/>
  <c r="P355" i="2"/>
  <c r="J357" i="3"/>
  <c r="M361" i="3"/>
  <c r="S361" i="3" s="1"/>
  <c r="H361" i="3"/>
  <c r="J361" i="3"/>
  <c r="I365" i="3"/>
  <c r="H365" i="3"/>
  <c r="M365" i="3"/>
  <c r="S365" i="3" s="1"/>
  <c r="L365" i="3"/>
  <c r="J365" i="3"/>
  <c r="L365" i="2"/>
  <c r="M369" i="3"/>
  <c r="S369" i="3" s="1"/>
  <c r="L369" i="3"/>
  <c r="I369" i="3"/>
  <c r="H369" i="3"/>
  <c r="J369" i="3"/>
  <c r="I373" i="3"/>
  <c r="H373" i="3"/>
  <c r="M373" i="3"/>
  <c r="S373" i="3" s="1"/>
  <c r="L373" i="3"/>
  <c r="J373" i="3"/>
  <c r="L373" i="2"/>
  <c r="M377" i="3"/>
  <c r="S377" i="3" s="1"/>
  <c r="L377" i="3"/>
  <c r="I377" i="3"/>
  <c r="H377" i="3"/>
  <c r="J377" i="3"/>
  <c r="P379" i="2"/>
  <c r="I381" i="3"/>
  <c r="M381" i="3"/>
  <c r="S381" i="3" s="1"/>
  <c r="L381" i="3"/>
  <c r="J381" i="3"/>
  <c r="N382" i="2"/>
  <c r="P383" i="2"/>
  <c r="L385" i="3"/>
  <c r="I385" i="3"/>
  <c r="H385" i="3"/>
  <c r="J385" i="3"/>
  <c r="N386" i="2"/>
  <c r="H389" i="3"/>
  <c r="J389" i="3"/>
  <c r="M393" i="3"/>
  <c r="S393" i="3" s="1"/>
  <c r="L393" i="3"/>
  <c r="J393" i="3"/>
  <c r="P395" i="2"/>
  <c r="I397" i="3"/>
  <c r="J397" i="3"/>
  <c r="P399" i="2"/>
  <c r="M401" i="3"/>
  <c r="S401" i="3" s="1"/>
  <c r="L401" i="3"/>
  <c r="J401" i="3"/>
  <c r="P403" i="2"/>
  <c r="L405" i="2"/>
  <c r="M409" i="3"/>
  <c r="S409" i="3" s="1"/>
  <c r="L409" i="3"/>
  <c r="J409" i="3"/>
  <c r="H409" i="3"/>
  <c r="H411" i="2"/>
  <c r="I411" i="2" s="1"/>
  <c r="M413" i="3"/>
  <c r="S413" i="3" s="1"/>
  <c r="L413" i="3"/>
  <c r="J413" i="3"/>
  <c r="H415" i="2"/>
  <c r="I415" i="2" s="1"/>
  <c r="M417" i="3"/>
  <c r="S417" i="3" s="1"/>
  <c r="L417" i="3"/>
  <c r="J417" i="3"/>
  <c r="I417" i="3"/>
  <c r="H417" i="3"/>
  <c r="H419" i="2"/>
  <c r="I419" i="2" s="1"/>
  <c r="S420" i="2"/>
  <c r="I421" i="3"/>
  <c r="H421" i="3"/>
  <c r="L421" i="3"/>
  <c r="J421" i="3"/>
  <c r="L421" i="2"/>
  <c r="U421" i="2"/>
  <c r="S424" i="2"/>
  <c r="L425" i="3"/>
  <c r="J425" i="3"/>
  <c r="U425" i="2"/>
  <c r="H427" i="2"/>
  <c r="I427" i="2" s="1"/>
  <c r="P427" i="2"/>
  <c r="S428" i="2"/>
  <c r="I429" i="3"/>
  <c r="H429" i="3"/>
  <c r="L429" i="3"/>
  <c r="L429" i="2"/>
  <c r="U429" i="2"/>
  <c r="H431" i="2"/>
  <c r="I431" i="2" s="1"/>
  <c r="S432" i="2"/>
  <c r="L433" i="3"/>
  <c r="J433" i="3"/>
  <c r="U433" i="2"/>
  <c r="H435" i="2"/>
  <c r="I435" i="2" s="1"/>
  <c r="P435" i="2"/>
  <c r="S436" i="2"/>
  <c r="L437" i="3"/>
  <c r="J437" i="3"/>
  <c r="L437" i="2"/>
  <c r="U437" i="2"/>
  <c r="S440" i="2"/>
  <c r="M441" i="3"/>
  <c r="S441" i="3" s="1"/>
  <c r="L441" i="3"/>
  <c r="J441" i="3"/>
  <c r="I441" i="3"/>
  <c r="H441" i="3"/>
  <c r="U441" i="2"/>
  <c r="H443" i="2"/>
  <c r="I443" i="2" s="1"/>
  <c r="P443" i="2"/>
  <c r="S444" i="2"/>
  <c r="L445" i="3"/>
  <c r="J445" i="3"/>
  <c r="U445" i="2"/>
  <c r="H447" i="2"/>
  <c r="I447" i="2" s="1"/>
  <c r="S448" i="2"/>
  <c r="L449" i="3"/>
  <c r="J449" i="3"/>
  <c r="U449" i="2"/>
  <c r="H451" i="2"/>
  <c r="I451" i="2" s="1"/>
  <c r="S452" i="2"/>
  <c r="I453" i="3"/>
  <c r="H453" i="3"/>
  <c r="M453" i="3"/>
  <c r="S453" i="3" s="1"/>
  <c r="L453" i="3"/>
  <c r="J453" i="3"/>
  <c r="L453" i="2"/>
  <c r="U453" i="2"/>
  <c r="H455" i="2"/>
  <c r="I455" i="2" s="1"/>
  <c r="S456" i="2"/>
  <c r="L457" i="3"/>
  <c r="J457" i="3"/>
  <c r="U457" i="2"/>
  <c r="H459" i="2"/>
  <c r="I459" i="2" s="1"/>
  <c r="P459" i="2"/>
  <c r="S460" i="2"/>
  <c r="I461" i="3"/>
  <c r="H461" i="3"/>
  <c r="L461" i="3"/>
  <c r="J461" i="3"/>
  <c r="L461" i="2"/>
  <c r="U461" i="2"/>
  <c r="H463" i="2"/>
  <c r="I463" i="2" s="1"/>
  <c r="S464" i="2"/>
  <c r="L465" i="3"/>
  <c r="J465" i="3"/>
  <c r="I465" i="3"/>
  <c r="H465" i="3"/>
  <c r="U465" i="2"/>
  <c r="H467" i="2"/>
  <c r="I467" i="2" s="1"/>
  <c r="S468" i="2"/>
  <c r="D469" i="3"/>
  <c r="S469" i="2"/>
  <c r="M469" i="2"/>
  <c r="N469" i="2" s="1"/>
  <c r="H470" i="2"/>
  <c r="I470" i="2" s="1"/>
  <c r="R470" i="2"/>
  <c r="J471" i="3"/>
  <c r="I471" i="3"/>
  <c r="H471" i="3"/>
  <c r="M471" i="3"/>
  <c r="S471" i="3" s="1"/>
  <c r="L471" i="3"/>
  <c r="S472" i="2"/>
  <c r="D473" i="3"/>
  <c r="S473" i="2"/>
  <c r="M473" i="2"/>
  <c r="N473" i="2" s="1"/>
  <c r="H474" i="2"/>
  <c r="I474" i="2" s="1"/>
  <c r="R474" i="2"/>
  <c r="L475" i="3"/>
  <c r="J475" i="3"/>
  <c r="I475" i="3"/>
  <c r="H475" i="3"/>
  <c r="S476" i="2"/>
  <c r="D477" i="3"/>
  <c r="S477" i="2"/>
  <c r="M477" i="2"/>
  <c r="N477" i="2" s="1"/>
  <c r="R478" i="2"/>
  <c r="J479" i="3"/>
  <c r="I479" i="3"/>
  <c r="H479" i="3"/>
  <c r="M479" i="3"/>
  <c r="S479" i="3" s="1"/>
  <c r="L479" i="3"/>
  <c r="S480" i="2"/>
  <c r="D481" i="3"/>
  <c r="S481" i="2"/>
  <c r="H482" i="2"/>
  <c r="I482" i="2" s="1"/>
  <c r="R482" i="2"/>
  <c r="L483" i="3"/>
  <c r="I484" i="2"/>
  <c r="S484" i="2"/>
  <c r="D485" i="3"/>
  <c r="S485" i="2"/>
  <c r="H486" i="2"/>
  <c r="I486" i="2" s="1"/>
  <c r="R486" i="2"/>
  <c r="J487" i="3"/>
  <c r="H487" i="3"/>
  <c r="M487" i="3"/>
  <c r="S487" i="3" s="1"/>
  <c r="L487" i="3"/>
  <c r="I487" i="3"/>
  <c r="S488" i="2"/>
  <c r="D489" i="3"/>
  <c r="S489" i="2"/>
  <c r="H490" i="2"/>
  <c r="I490" i="2" s="1"/>
  <c r="R490" i="2"/>
  <c r="L491" i="3"/>
  <c r="J491" i="3"/>
  <c r="I491" i="3"/>
  <c r="M491" i="3"/>
  <c r="S491" i="3" s="1"/>
  <c r="H491" i="3"/>
  <c r="S492" i="2"/>
  <c r="D493" i="3"/>
  <c r="S493" i="2"/>
  <c r="M493" i="2"/>
  <c r="N493" i="2" s="1"/>
  <c r="H494" i="2"/>
  <c r="I494" i="2" s="1"/>
  <c r="R494" i="2"/>
  <c r="L495" i="3"/>
  <c r="I495" i="3"/>
  <c r="L495" i="2"/>
  <c r="S496" i="2"/>
  <c r="D497" i="3"/>
  <c r="S497" i="2"/>
  <c r="H498" i="2"/>
  <c r="I498" i="2" s="1"/>
  <c r="L499" i="3"/>
  <c r="J499" i="3"/>
  <c r="I499" i="3"/>
  <c r="M499" i="3"/>
  <c r="S499" i="3" s="1"/>
  <c r="H499" i="3"/>
  <c r="S500" i="2"/>
  <c r="D501" i="3"/>
  <c r="S501" i="2"/>
  <c r="H502" i="2"/>
  <c r="I502" i="2" s="1"/>
  <c r="J503" i="3"/>
  <c r="H503" i="3"/>
  <c r="M503" i="3"/>
  <c r="S503" i="3" s="1"/>
  <c r="I503" i="3"/>
  <c r="L503" i="3"/>
  <c r="T505" i="2"/>
  <c r="K506" i="3"/>
  <c r="O506" i="2"/>
  <c r="P506" i="2" s="1"/>
  <c r="M514" i="2"/>
  <c r="N514" i="2" s="1"/>
  <c r="F518" i="3"/>
  <c r="U518" i="2"/>
  <c r="F520" i="3"/>
  <c r="K521" i="3"/>
  <c r="C524" i="3"/>
  <c r="H524" i="2"/>
  <c r="I524" i="2" s="1"/>
  <c r="E530" i="3"/>
  <c r="T530" i="2"/>
  <c r="D533" i="3"/>
  <c r="S533" i="2"/>
  <c r="G551" i="3"/>
  <c r="R551" i="2"/>
  <c r="F556" i="3"/>
  <c r="U556" i="2"/>
  <c r="C569" i="3"/>
  <c r="O569" i="2"/>
  <c r="P569" i="2" s="1"/>
  <c r="M569" i="2"/>
  <c r="N569" i="2" s="1"/>
  <c r="D571" i="3"/>
  <c r="S571" i="2"/>
  <c r="G575" i="3"/>
  <c r="R575" i="2"/>
  <c r="E578" i="3"/>
  <c r="K578" i="3" s="1"/>
  <c r="T578" i="2"/>
  <c r="N578" i="2"/>
  <c r="F588" i="3"/>
  <c r="U588" i="2"/>
  <c r="E600" i="3"/>
  <c r="K600" i="3" s="1"/>
  <c r="N600" i="2"/>
  <c r="T600" i="2"/>
  <c r="C601" i="3"/>
  <c r="K601" i="2"/>
  <c r="H601" i="2"/>
  <c r="I601" i="2" s="1"/>
  <c r="O601" i="2"/>
  <c r="K604" i="2"/>
  <c r="L604" i="2" s="1"/>
  <c r="F609" i="3"/>
  <c r="L609" i="3" s="1"/>
  <c r="U609" i="2"/>
  <c r="M628" i="2"/>
  <c r="M640" i="2"/>
  <c r="K655" i="2"/>
  <c r="K664" i="2"/>
  <c r="E671" i="3"/>
  <c r="K671" i="3" s="1"/>
  <c r="C695" i="3"/>
  <c r="H695" i="2"/>
  <c r="I695" i="2" s="1"/>
  <c r="K695" i="2"/>
  <c r="M695" i="2"/>
  <c r="G698" i="3"/>
  <c r="R698" i="2"/>
  <c r="M703" i="2"/>
  <c r="N703" i="2" s="1"/>
  <c r="L420" i="3"/>
  <c r="J420" i="3"/>
  <c r="I420" i="3"/>
  <c r="H420" i="3"/>
  <c r="M420" i="3"/>
  <c r="S420" i="3" s="1"/>
  <c r="H424" i="3"/>
  <c r="M424" i="3"/>
  <c r="S424" i="3" s="1"/>
  <c r="L424" i="3"/>
  <c r="J424" i="3"/>
  <c r="I424" i="3"/>
  <c r="L424" i="2"/>
  <c r="L428" i="3"/>
  <c r="J428" i="3"/>
  <c r="M428" i="3"/>
  <c r="S428" i="3" s="1"/>
  <c r="I428" i="3"/>
  <c r="H428" i="3"/>
  <c r="H432" i="3"/>
  <c r="M432" i="3"/>
  <c r="S432" i="3" s="1"/>
  <c r="L432" i="3"/>
  <c r="J432" i="3"/>
  <c r="I432" i="3"/>
  <c r="L436" i="3"/>
  <c r="J436" i="3"/>
  <c r="I436" i="3"/>
  <c r="H436" i="3"/>
  <c r="M436" i="3"/>
  <c r="S436" i="3" s="1"/>
  <c r="H440" i="3"/>
  <c r="M440" i="3"/>
  <c r="S440" i="3" s="1"/>
  <c r="L440" i="3"/>
  <c r="J440" i="3"/>
  <c r="I440" i="3"/>
  <c r="L440" i="2"/>
  <c r="L444" i="3"/>
  <c r="J444" i="3"/>
  <c r="I444" i="3"/>
  <c r="H444" i="3"/>
  <c r="M444" i="3"/>
  <c r="S444" i="3" s="1"/>
  <c r="L444" i="2"/>
  <c r="H448" i="3"/>
  <c r="M448" i="3"/>
  <c r="S448" i="3" s="1"/>
  <c r="L448" i="3"/>
  <c r="J448" i="3"/>
  <c r="I448" i="3"/>
  <c r="L452" i="3"/>
  <c r="J452" i="3"/>
  <c r="I452" i="3"/>
  <c r="H452" i="3"/>
  <c r="M452" i="3"/>
  <c r="S452" i="3" s="1"/>
  <c r="H456" i="3"/>
  <c r="M456" i="3"/>
  <c r="S456" i="3" s="1"/>
  <c r="L456" i="3"/>
  <c r="J456" i="3"/>
  <c r="I456" i="3"/>
  <c r="L456" i="2"/>
  <c r="L460" i="3"/>
  <c r="J460" i="3"/>
  <c r="I460" i="3"/>
  <c r="H460" i="3"/>
  <c r="M460" i="3"/>
  <c r="S460" i="3" s="1"/>
  <c r="H464" i="3"/>
  <c r="M464" i="3"/>
  <c r="S464" i="3" s="1"/>
  <c r="L464" i="3"/>
  <c r="J464" i="3"/>
  <c r="I464" i="3"/>
  <c r="L464" i="2"/>
  <c r="L468" i="3"/>
  <c r="J468" i="3"/>
  <c r="I468" i="3"/>
  <c r="H468" i="3"/>
  <c r="M468" i="3"/>
  <c r="S468" i="3" s="1"/>
  <c r="M504" i="3"/>
  <c r="S504" i="3" s="1"/>
  <c r="J504" i="3"/>
  <c r="I504" i="3"/>
  <c r="H504" i="3"/>
  <c r="G506" i="3"/>
  <c r="R506" i="2"/>
  <c r="E507" i="3"/>
  <c r="K507" i="3" s="1"/>
  <c r="T507" i="2"/>
  <c r="C508" i="3"/>
  <c r="M508" i="2"/>
  <c r="N508" i="2" s="1"/>
  <c r="F510" i="3"/>
  <c r="H510" i="3" s="1"/>
  <c r="U510" i="2"/>
  <c r="H511" i="3"/>
  <c r="M511" i="3"/>
  <c r="S511" i="3" s="1"/>
  <c r="L511" i="3"/>
  <c r="C516" i="3"/>
  <c r="H516" i="2"/>
  <c r="I516" i="2" s="1"/>
  <c r="E522" i="3"/>
  <c r="T522" i="2"/>
  <c r="D525" i="3"/>
  <c r="S525" i="2"/>
  <c r="G530" i="3"/>
  <c r="R530" i="2"/>
  <c r="F534" i="3"/>
  <c r="L534" i="3" s="1"/>
  <c r="U534" i="2"/>
  <c r="G535" i="3"/>
  <c r="R535" i="2"/>
  <c r="J540" i="3"/>
  <c r="D541" i="3"/>
  <c r="S541" i="2"/>
  <c r="C545" i="3"/>
  <c r="M545" i="2"/>
  <c r="N545" i="2" s="1"/>
  <c r="E546" i="3"/>
  <c r="T546" i="2"/>
  <c r="F548" i="3"/>
  <c r="U548" i="2"/>
  <c r="E554" i="3"/>
  <c r="K554" i="3" s="1"/>
  <c r="T554" i="2"/>
  <c r="F564" i="3"/>
  <c r="O564" i="3" s="1"/>
  <c r="U564" i="2"/>
  <c r="C577" i="3"/>
  <c r="O577" i="2"/>
  <c r="P577" i="2" s="1"/>
  <c r="M577" i="2"/>
  <c r="N577" i="2" s="1"/>
  <c r="D579" i="3"/>
  <c r="S579" i="2"/>
  <c r="G583" i="3"/>
  <c r="R583" i="2"/>
  <c r="E586" i="3"/>
  <c r="K586" i="3" s="1"/>
  <c r="T586" i="2"/>
  <c r="F596" i="3"/>
  <c r="U596" i="2"/>
  <c r="G598" i="3"/>
  <c r="R598" i="2"/>
  <c r="C599" i="3"/>
  <c r="M599" i="2"/>
  <c r="E604" i="3"/>
  <c r="K604" i="3" s="1"/>
  <c r="N604" i="2"/>
  <c r="T604" i="2"/>
  <c r="C605" i="3"/>
  <c r="K605" i="2"/>
  <c r="H605" i="2"/>
  <c r="I605" i="2" s="1"/>
  <c r="O605" i="2"/>
  <c r="P605" i="2" s="1"/>
  <c r="E620" i="3"/>
  <c r="K623" i="2"/>
  <c r="M631" i="2"/>
  <c r="C634" i="3"/>
  <c r="K634" i="2"/>
  <c r="L634" i="2" s="1"/>
  <c r="M634" i="2"/>
  <c r="N634" i="2" s="1"/>
  <c r="E655" i="3"/>
  <c r="K655" i="3" s="1"/>
  <c r="M685" i="2"/>
  <c r="M690" i="2"/>
  <c r="K706" i="2"/>
  <c r="G713" i="3"/>
  <c r="R713" i="2"/>
  <c r="K411" i="2"/>
  <c r="L411" i="2" s="1"/>
  <c r="K415" i="2"/>
  <c r="L415" i="2" s="1"/>
  <c r="K416" i="3"/>
  <c r="K419" i="2"/>
  <c r="K420" i="3"/>
  <c r="K423" i="2"/>
  <c r="L423" i="2" s="1"/>
  <c r="K424" i="3"/>
  <c r="K428" i="3"/>
  <c r="K431" i="2"/>
  <c r="L431" i="2" s="1"/>
  <c r="K432" i="3"/>
  <c r="K435" i="2"/>
  <c r="L435" i="2" s="1"/>
  <c r="K436" i="3"/>
  <c r="K439" i="2"/>
  <c r="K440" i="3"/>
  <c r="K443" i="2"/>
  <c r="L443" i="2" s="1"/>
  <c r="K444" i="3"/>
  <c r="K447" i="2"/>
  <c r="L447" i="2" s="1"/>
  <c r="K448" i="3"/>
  <c r="K451" i="2"/>
  <c r="K452" i="3"/>
  <c r="K456" i="3"/>
  <c r="K459" i="2"/>
  <c r="L459" i="2" s="1"/>
  <c r="K460" i="3"/>
  <c r="K463" i="2"/>
  <c r="L463" i="2" s="1"/>
  <c r="K464" i="3"/>
  <c r="K467" i="2"/>
  <c r="L467" i="2" s="1"/>
  <c r="K468" i="3"/>
  <c r="K470" i="2"/>
  <c r="C472" i="3"/>
  <c r="H472" i="2"/>
  <c r="I472" i="2" s="1"/>
  <c r="K474" i="2"/>
  <c r="C476" i="3"/>
  <c r="H476" i="2"/>
  <c r="I476" i="2" s="1"/>
  <c r="K478" i="2"/>
  <c r="C480" i="3"/>
  <c r="H480" i="2"/>
  <c r="I480" i="2" s="1"/>
  <c r="K482" i="2"/>
  <c r="L482" i="2" s="1"/>
  <c r="C484" i="3"/>
  <c r="H484" i="2"/>
  <c r="K486" i="2"/>
  <c r="L486" i="2" s="1"/>
  <c r="C488" i="3"/>
  <c r="H488" i="2"/>
  <c r="I488" i="2" s="1"/>
  <c r="K490" i="2"/>
  <c r="C492" i="3"/>
  <c r="H492" i="2"/>
  <c r="I492" i="2" s="1"/>
  <c r="K494" i="2"/>
  <c r="L494" i="2" s="1"/>
  <c r="C496" i="3"/>
  <c r="K498" i="2"/>
  <c r="L498" i="2" s="1"/>
  <c r="C500" i="3"/>
  <c r="H500" i="2"/>
  <c r="I500" i="2" s="1"/>
  <c r="K502" i="2"/>
  <c r="R503" i="2"/>
  <c r="C505" i="3"/>
  <c r="O505" i="2"/>
  <c r="J508" i="3"/>
  <c r="M508" i="3"/>
  <c r="S508" i="3" s="1"/>
  <c r="L508" i="3"/>
  <c r="G510" i="3"/>
  <c r="R510" i="2"/>
  <c r="E511" i="3"/>
  <c r="K511" i="3" s="1"/>
  <c r="T511" i="2"/>
  <c r="C512" i="3"/>
  <c r="M512" i="2"/>
  <c r="N512" i="2" s="1"/>
  <c r="H512" i="2"/>
  <c r="I512" i="2" s="1"/>
  <c r="F514" i="3"/>
  <c r="K514" i="3" s="1"/>
  <c r="U514" i="2"/>
  <c r="M515" i="3"/>
  <c r="S515" i="3" s="1"/>
  <c r="L515" i="3"/>
  <c r="J515" i="3"/>
  <c r="I515" i="3"/>
  <c r="H515" i="3"/>
  <c r="J516" i="3"/>
  <c r="M516" i="3"/>
  <c r="S516" i="3" s="1"/>
  <c r="L516" i="3"/>
  <c r="C517" i="3"/>
  <c r="O517" i="2"/>
  <c r="P517" i="2" s="1"/>
  <c r="M517" i="2"/>
  <c r="N517" i="2" s="1"/>
  <c r="F522" i="3"/>
  <c r="U522" i="2"/>
  <c r="R523" i="2"/>
  <c r="F524" i="3"/>
  <c r="K525" i="3"/>
  <c r="P525" i="2"/>
  <c r="C528" i="3"/>
  <c r="O528" i="2"/>
  <c r="M528" i="2"/>
  <c r="N528" i="2" s="1"/>
  <c r="H528" i="2"/>
  <c r="I528" i="2" s="1"/>
  <c r="U533" i="2"/>
  <c r="S540" i="2"/>
  <c r="E542" i="3"/>
  <c r="T542" i="2"/>
  <c r="D545" i="3"/>
  <c r="S545" i="2"/>
  <c r="F546" i="3"/>
  <c r="L546" i="3" s="1"/>
  <c r="U546" i="2"/>
  <c r="E550" i="3"/>
  <c r="K550" i="3" s="1"/>
  <c r="T550" i="2"/>
  <c r="C553" i="3"/>
  <c r="O553" i="2"/>
  <c r="P553" i="2" s="1"/>
  <c r="M553" i="2"/>
  <c r="N553" i="2" s="1"/>
  <c r="C565" i="3"/>
  <c r="O565" i="2"/>
  <c r="P565" i="2" s="1"/>
  <c r="M565" i="2"/>
  <c r="N565" i="2" s="1"/>
  <c r="D567" i="3"/>
  <c r="S567" i="2"/>
  <c r="G571" i="3"/>
  <c r="R571" i="2"/>
  <c r="E574" i="3"/>
  <c r="K574" i="3" s="1"/>
  <c r="T574" i="2"/>
  <c r="F584" i="3"/>
  <c r="U584" i="2"/>
  <c r="C597" i="3"/>
  <c r="O597" i="2"/>
  <c r="P597" i="2" s="1"/>
  <c r="M597" i="2"/>
  <c r="K597" i="2"/>
  <c r="L597" i="2" s="1"/>
  <c r="F601" i="3"/>
  <c r="U601" i="2"/>
  <c r="G607" i="3"/>
  <c r="R607" i="2"/>
  <c r="P609" i="2"/>
  <c r="M616" i="2"/>
  <c r="N616" i="2" s="1"/>
  <c r="K641" i="2"/>
  <c r="K645" i="2"/>
  <c r="M651" i="2"/>
  <c r="C659" i="3"/>
  <c r="H659" i="2"/>
  <c r="I659" i="2" s="1"/>
  <c r="K659" i="2"/>
  <c r="M659" i="2"/>
  <c r="K669" i="2"/>
  <c r="K686" i="2"/>
  <c r="E689" i="3"/>
  <c r="K689" i="3" s="1"/>
  <c r="M707" i="2"/>
  <c r="J407" i="3"/>
  <c r="I407" i="3"/>
  <c r="H407" i="3"/>
  <c r="M407" i="3"/>
  <c r="S407" i="3" s="1"/>
  <c r="L407" i="3"/>
  <c r="M411" i="3"/>
  <c r="S411" i="3" s="1"/>
  <c r="L411" i="3"/>
  <c r="J411" i="3"/>
  <c r="I411" i="3"/>
  <c r="H411" i="3"/>
  <c r="J415" i="3"/>
  <c r="I415" i="3"/>
  <c r="H415" i="3"/>
  <c r="M415" i="3"/>
  <c r="S415" i="3" s="1"/>
  <c r="L415" i="3"/>
  <c r="M419" i="3"/>
  <c r="S419" i="3" s="1"/>
  <c r="L419" i="3"/>
  <c r="J419" i="3"/>
  <c r="I419" i="3"/>
  <c r="H419" i="3"/>
  <c r="L419" i="2"/>
  <c r="J423" i="3"/>
  <c r="I423" i="3"/>
  <c r="H423" i="3"/>
  <c r="M423" i="3"/>
  <c r="S423" i="3" s="1"/>
  <c r="L423" i="3"/>
  <c r="M427" i="3"/>
  <c r="S427" i="3" s="1"/>
  <c r="H427" i="3"/>
  <c r="L427" i="3"/>
  <c r="J427" i="3"/>
  <c r="I427" i="3"/>
  <c r="J431" i="3"/>
  <c r="I431" i="3"/>
  <c r="H431" i="3"/>
  <c r="M431" i="3"/>
  <c r="S431" i="3" s="1"/>
  <c r="L431" i="3"/>
  <c r="M435" i="3"/>
  <c r="S435" i="3" s="1"/>
  <c r="L435" i="3"/>
  <c r="J435" i="3"/>
  <c r="I435" i="3"/>
  <c r="H435" i="3"/>
  <c r="J439" i="3"/>
  <c r="I439" i="3"/>
  <c r="H439" i="3"/>
  <c r="M439" i="3"/>
  <c r="S439" i="3" s="1"/>
  <c r="L439" i="3"/>
  <c r="L439" i="2"/>
  <c r="M443" i="3"/>
  <c r="S443" i="3" s="1"/>
  <c r="L443" i="3"/>
  <c r="J443" i="3"/>
  <c r="I443" i="3"/>
  <c r="H443" i="3"/>
  <c r="J447" i="3"/>
  <c r="I447" i="3"/>
  <c r="H447" i="3"/>
  <c r="M447" i="3"/>
  <c r="S447" i="3" s="1"/>
  <c r="L447" i="3"/>
  <c r="M451" i="3"/>
  <c r="S451" i="3" s="1"/>
  <c r="L451" i="3"/>
  <c r="J451" i="3"/>
  <c r="I451" i="3"/>
  <c r="H451" i="3"/>
  <c r="L451" i="2"/>
  <c r="J455" i="3"/>
  <c r="I455" i="3"/>
  <c r="H455" i="3"/>
  <c r="M455" i="3"/>
  <c r="S455" i="3" s="1"/>
  <c r="L455" i="3"/>
  <c r="M459" i="3"/>
  <c r="S459" i="3" s="1"/>
  <c r="L459" i="3"/>
  <c r="J459" i="3"/>
  <c r="I459" i="3"/>
  <c r="H459" i="3"/>
  <c r="J463" i="3"/>
  <c r="I463" i="3"/>
  <c r="H463" i="3"/>
  <c r="M463" i="3"/>
  <c r="S463" i="3" s="1"/>
  <c r="L463" i="3"/>
  <c r="M467" i="3"/>
  <c r="S467" i="3" s="1"/>
  <c r="L467" i="3"/>
  <c r="J467" i="3"/>
  <c r="I467" i="3"/>
  <c r="H467" i="3"/>
  <c r="J472" i="3"/>
  <c r="J476" i="3"/>
  <c r="J480" i="3"/>
  <c r="I484" i="3"/>
  <c r="J484" i="3"/>
  <c r="J488" i="3"/>
  <c r="J492" i="3"/>
  <c r="J496" i="3"/>
  <c r="I500" i="3"/>
  <c r="J500" i="3"/>
  <c r="F504" i="3"/>
  <c r="L504" i="3" s="1"/>
  <c r="P504" i="2"/>
  <c r="D505" i="3"/>
  <c r="S505" i="2"/>
  <c r="R507" i="2"/>
  <c r="O508" i="2"/>
  <c r="C509" i="3"/>
  <c r="O509" i="2"/>
  <c r="M512" i="3"/>
  <c r="S512" i="3" s="1"/>
  <c r="L512" i="3"/>
  <c r="J512" i="3"/>
  <c r="I512" i="3"/>
  <c r="H512" i="3"/>
  <c r="G514" i="3"/>
  <c r="R514" i="2"/>
  <c r="D517" i="3"/>
  <c r="S517" i="2"/>
  <c r="G522" i="3"/>
  <c r="R522" i="2"/>
  <c r="J527" i="3"/>
  <c r="I527" i="3"/>
  <c r="H527" i="3"/>
  <c r="M527" i="3"/>
  <c r="S527" i="3" s="1"/>
  <c r="L527" i="3"/>
  <c r="J528" i="3"/>
  <c r="I528" i="3"/>
  <c r="C529" i="3"/>
  <c r="O529" i="2"/>
  <c r="P529" i="2" s="1"/>
  <c r="M529" i="2"/>
  <c r="N529" i="2" s="1"/>
  <c r="C537" i="3"/>
  <c r="O537" i="2"/>
  <c r="P537" i="2" s="1"/>
  <c r="M537" i="2"/>
  <c r="N537" i="2" s="1"/>
  <c r="M539" i="3"/>
  <c r="S539" i="3" s="1"/>
  <c r="L539" i="3"/>
  <c r="J539" i="3"/>
  <c r="I539" i="3"/>
  <c r="H539" i="3"/>
  <c r="F540" i="3"/>
  <c r="I540" i="3" s="1"/>
  <c r="P540" i="2"/>
  <c r="F542" i="3"/>
  <c r="M542" i="3" s="1"/>
  <c r="S542" i="3" s="1"/>
  <c r="U542" i="2"/>
  <c r="G543" i="3"/>
  <c r="R543" i="2"/>
  <c r="C549" i="3"/>
  <c r="O549" i="2"/>
  <c r="P549" i="2" s="1"/>
  <c r="M549" i="2"/>
  <c r="N549" i="2" s="1"/>
  <c r="D555" i="3"/>
  <c r="S555" i="2"/>
  <c r="G559" i="3"/>
  <c r="R559" i="2"/>
  <c r="E562" i="3"/>
  <c r="K562" i="3" s="1"/>
  <c r="T562" i="2"/>
  <c r="N562" i="2"/>
  <c r="F572" i="3"/>
  <c r="H572" i="3" s="1"/>
  <c r="U572" i="2"/>
  <c r="C585" i="3"/>
  <c r="O585" i="2"/>
  <c r="P585" i="2" s="1"/>
  <c r="M585" i="2"/>
  <c r="N585" i="2" s="1"/>
  <c r="D587" i="3"/>
  <c r="S587" i="2"/>
  <c r="G591" i="3"/>
  <c r="R591" i="2"/>
  <c r="E594" i="3"/>
  <c r="K594" i="3" s="1"/>
  <c r="T594" i="2"/>
  <c r="E608" i="3"/>
  <c r="N608" i="2"/>
  <c r="T608" i="2"/>
  <c r="M612" i="2"/>
  <c r="N612" i="2" s="1"/>
  <c r="M617" i="2"/>
  <c r="G621" i="3"/>
  <c r="R621" i="2"/>
  <c r="C624" i="3"/>
  <c r="H624" i="2"/>
  <c r="I624" i="2" s="1"/>
  <c r="E630" i="3"/>
  <c r="K630" i="3" s="1"/>
  <c r="T630" i="2"/>
  <c r="C642" i="3"/>
  <c r="H642" i="2"/>
  <c r="I642" i="2" s="1"/>
  <c r="K642" i="2"/>
  <c r="L642" i="2" s="1"/>
  <c r="M642" i="2"/>
  <c r="M679" i="2"/>
  <c r="G683" i="3"/>
  <c r="R683" i="2"/>
  <c r="K697" i="2"/>
  <c r="L697" i="2" s="1"/>
  <c r="C699" i="3"/>
  <c r="H699" i="2"/>
  <c r="I699" i="2" s="1"/>
  <c r="O699" i="2"/>
  <c r="P699" i="2" s="1"/>
  <c r="M699" i="2"/>
  <c r="K699" i="2"/>
  <c r="K719" i="2"/>
  <c r="K402" i="2"/>
  <c r="L402" i="2" s="1"/>
  <c r="K406" i="2"/>
  <c r="K410" i="2"/>
  <c r="L410" i="2" s="1"/>
  <c r="M411" i="2"/>
  <c r="R413" i="2"/>
  <c r="K414" i="2"/>
  <c r="L414" i="2" s="1"/>
  <c r="M415" i="2"/>
  <c r="N415" i="2" s="1"/>
  <c r="R417" i="2"/>
  <c r="K418" i="2"/>
  <c r="M419" i="2"/>
  <c r="R421" i="2"/>
  <c r="K422" i="2"/>
  <c r="L422" i="2" s="1"/>
  <c r="M423" i="2"/>
  <c r="N423" i="2" s="1"/>
  <c r="R425" i="2"/>
  <c r="K426" i="2"/>
  <c r="L426" i="2" s="1"/>
  <c r="M427" i="2"/>
  <c r="N427" i="2" s="1"/>
  <c r="R429" i="2"/>
  <c r="K430" i="2"/>
  <c r="M431" i="2"/>
  <c r="R433" i="2"/>
  <c r="K434" i="2"/>
  <c r="M435" i="2"/>
  <c r="R437" i="2"/>
  <c r="K438" i="2"/>
  <c r="M439" i="2"/>
  <c r="N439" i="2" s="1"/>
  <c r="N440" i="3"/>
  <c r="R441" i="2"/>
  <c r="K442" i="2"/>
  <c r="L442" i="2" s="1"/>
  <c r="R445" i="2"/>
  <c r="K446" i="2"/>
  <c r="L446" i="2" s="1"/>
  <c r="M447" i="2"/>
  <c r="N447" i="2" s="1"/>
  <c r="R449" i="2"/>
  <c r="K450" i="2"/>
  <c r="M451" i="2"/>
  <c r="R453" i="2"/>
  <c r="K454" i="2"/>
  <c r="L454" i="2" s="1"/>
  <c r="M455" i="2"/>
  <c r="N455" i="2" s="1"/>
  <c r="R457" i="2"/>
  <c r="K458" i="2"/>
  <c r="L458" i="2" s="1"/>
  <c r="M459" i="2"/>
  <c r="N459" i="2" s="1"/>
  <c r="R461" i="2"/>
  <c r="K462" i="2"/>
  <c r="M463" i="2"/>
  <c r="R465" i="2"/>
  <c r="K466" i="2"/>
  <c r="M467" i="2"/>
  <c r="K474" i="3"/>
  <c r="K478" i="3"/>
  <c r="K482" i="3"/>
  <c r="K490" i="3"/>
  <c r="N494" i="2"/>
  <c r="K498" i="3"/>
  <c r="S504" i="2"/>
  <c r="F508" i="3"/>
  <c r="H508" i="3" s="1"/>
  <c r="P508" i="2"/>
  <c r="D509" i="3"/>
  <c r="S509" i="2"/>
  <c r="M509" i="2"/>
  <c r="N509" i="2" s="1"/>
  <c r="N511" i="3"/>
  <c r="R511" i="2"/>
  <c r="C513" i="3"/>
  <c r="O513" i="2"/>
  <c r="P513" i="2" s="1"/>
  <c r="T514" i="2"/>
  <c r="F516" i="3"/>
  <c r="I516" i="3" s="1"/>
  <c r="C520" i="3"/>
  <c r="O520" i="2"/>
  <c r="P520" i="2" s="1"/>
  <c r="M520" i="2"/>
  <c r="N520" i="2" s="1"/>
  <c r="E526" i="3"/>
  <c r="K526" i="3" s="1"/>
  <c r="T526" i="2"/>
  <c r="D529" i="3"/>
  <c r="S529" i="2"/>
  <c r="M536" i="3"/>
  <c r="S536" i="3" s="1"/>
  <c r="J536" i="3"/>
  <c r="H536" i="3"/>
  <c r="D537" i="3"/>
  <c r="S537" i="2"/>
  <c r="S539" i="2"/>
  <c r="U540" i="2"/>
  <c r="U541" i="2"/>
  <c r="D551" i="3"/>
  <c r="S551" i="2"/>
  <c r="F560" i="3"/>
  <c r="U560" i="2"/>
  <c r="C573" i="3"/>
  <c r="O573" i="2"/>
  <c r="P573" i="2" s="1"/>
  <c r="M573" i="2"/>
  <c r="N573" i="2" s="1"/>
  <c r="D575" i="3"/>
  <c r="S575" i="2"/>
  <c r="G579" i="3"/>
  <c r="R579" i="2"/>
  <c r="E582" i="3"/>
  <c r="K582" i="3" s="1"/>
  <c r="T582" i="2"/>
  <c r="F592" i="3"/>
  <c r="I592" i="3" s="1"/>
  <c r="U592" i="2"/>
  <c r="F605" i="3"/>
  <c r="U605" i="2"/>
  <c r="C609" i="3"/>
  <c r="K609" i="2"/>
  <c r="H609" i="2"/>
  <c r="I609" i="2" s="1"/>
  <c r="O609" i="2"/>
  <c r="C618" i="3"/>
  <c r="H618" i="2"/>
  <c r="I618" i="2" s="1"/>
  <c r="M618" i="2"/>
  <c r="N618" i="2" s="1"/>
  <c r="T620" i="2"/>
  <c r="K625" i="2"/>
  <c r="K636" i="2"/>
  <c r="E645" i="3"/>
  <c r="K645" i="3" s="1"/>
  <c r="T645" i="2"/>
  <c r="K647" i="2"/>
  <c r="L647" i="2" s="1"/>
  <c r="K652" i="2"/>
  <c r="L652" i="2" s="1"/>
  <c r="T655" i="2"/>
  <c r="C687" i="3"/>
  <c r="H687" i="2"/>
  <c r="I687" i="2" s="1"/>
  <c r="M687" i="2"/>
  <c r="M693" i="2"/>
  <c r="N693" i="2" s="1"/>
  <c r="O695" i="2"/>
  <c r="P695" i="2" s="1"/>
  <c r="M346" i="3"/>
  <c r="S346" i="3" s="1"/>
  <c r="L346" i="3"/>
  <c r="J346" i="3"/>
  <c r="I346" i="3"/>
  <c r="I350" i="3"/>
  <c r="H350" i="3"/>
  <c r="M350" i="3"/>
  <c r="S350" i="3" s="1"/>
  <c r="L350" i="3"/>
  <c r="J350" i="3"/>
  <c r="M354" i="3"/>
  <c r="S354" i="3" s="1"/>
  <c r="L354" i="3"/>
  <c r="J354" i="3"/>
  <c r="I354" i="3"/>
  <c r="H354" i="3"/>
  <c r="I358" i="3"/>
  <c r="H358" i="3"/>
  <c r="M358" i="3"/>
  <c r="S358" i="3" s="1"/>
  <c r="L358" i="3"/>
  <c r="J358" i="3"/>
  <c r="L358" i="2"/>
  <c r="M362" i="3"/>
  <c r="S362" i="3" s="1"/>
  <c r="L362" i="3"/>
  <c r="L362" i="2"/>
  <c r="M366" i="3"/>
  <c r="S366" i="3" s="1"/>
  <c r="L366" i="3"/>
  <c r="I366" i="3"/>
  <c r="H366" i="3"/>
  <c r="L370" i="3"/>
  <c r="L370" i="2"/>
  <c r="M374" i="3"/>
  <c r="S374" i="3" s="1"/>
  <c r="L374" i="3"/>
  <c r="J374" i="3"/>
  <c r="I374" i="3"/>
  <c r="H374" i="3"/>
  <c r="L374" i="2"/>
  <c r="J378" i="3"/>
  <c r="I378" i="3"/>
  <c r="H378" i="3"/>
  <c r="M378" i="3"/>
  <c r="S378" i="3" s="1"/>
  <c r="L378" i="3"/>
  <c r="M382" i="3"/>
  <c r="S382" i="3" s="1"/>
  <c r="L382" i="3"/>
  <c r="J382" i="3"/>
  <c r="I382" i="3"/>
  <c r="H382" i="3"/>
  <c r="J386" i="3"/>
  <c r="I386" i="3"/>
  <c r="H386" i="3"/>
  <c r="M386" i="3"/>
  <c r="S386" i="3" s="1"/>
  <c r="L386" i="3"/>
  <c r="L386" i="2"/>
  <c r="M390" i="3"/>
  <c r="S390" i="3" s="1"/>
  <c r="L390" i="3"/>
  <c r="J390" i="3"/>
  <c r="I390" i="3"/>
  <c r="H390" i="3"/>
  <c r="L390" i="2"/>
  <c r="J394" i="3"/>
  <c r="I394" i="3"/>
  <c r="H394" i="3"/>
  <c r="M394" i="3"/>
  <c r="S394" i="3" s="1"/>
  <c r="L394" i="3"/>
  <c r="M398" i="3"/>
  <c r="S398" i="3" s="1"/>
  <c r="L398" i="3"/>
  <c r="J398" i="3"/>
  <c r="I398" i="3"/>
  <c r="H398" i="3"/>
  <c r="J402" i="3"/>
  <c r="I402" i="3"/>
  <c r="H402" i="3"/>
  <c r="M402" i="3"/>
  <c r="S402" i="3" s="1"/>
  <c r="L402" i="3"/>
  <c r="N403" i="2"/>
  <c r="M406" i="3"/>
  <c r="S406" i="3" s="1"/>
  <c r="L406" i="3"/>
  <c r="J406" i="3"/>
  <c r="I406" i="3"/>
  <c r="H406" i="3"/>
  <c r="L406" i="2"/>
  <c r="P408" i="2"/>
  <c r="J410" i="3"/>
  <c r="I410" i="3"/>
  <c r="H410" i="3"/>
  <c r="M410" i="3"/>
  <c r="S410" i="3" s="1"/>
  <c r="L410" i="3"/>
  <c r="N411" i="2"/>
  <c r="P412" i="2"/>
  <c r="M414" i="3"/>
  <c r="S414" i="3" s="1"/>
  <c r="L414" i="3"/>
  <c r="J414" i="3"/>
  <c r="I414" i="3"/>
  <c r="H414" i="3"/>
  <c r="J418" i="3"/>
  <c r="I418" i="3"/>
  <c r="H418" i="3"/>
  <c r="M418" i="3"/>
  <c r="S418" i="3" s="1"/>
  <c r="L418" i="3"/>
  <c r="L418" i="2"/>
  <c r="N419" i="2"/>
  <c r="M422" i="3"/>
  <c r="S422" i="3" s="1"/>
  <c r="L422" i="3"/>
  <c r="J422" i="3"/>
  <c r="I422" i="3"/>
  <c r="H422" i="3"/>
  <c r="P424" i="2"/>
  <c r="J426" i="3"/>
  <c r="I426" i="3"/>
  <c r="H426" i="3"/>
  <c r="M426" i="3"/>
  <c r="S426" i="3" s="1"/>
  <c r="L426" i="3"/>
  <c r="P428" i="2"/>
  <c r="M430" i="3"/>
  <c r="S430" i="3" s="1"/>
  <c r="L430" i="3"/>
  <c r="J430" i="3"/>
  <c r="I430" i="3"/>
  <c r="H430" i="3"/>
  <c r="L430" i="2"/>
  <c r="N431" i="2"/>
  <c r="P432" i="2"/>
  <c r="J434" i="3"/>
  <c r="I434" i="3"/>
  <c r="H434" i="3"/>
  <c r="M434" i="3"/>
  <c r="S434" i="3" s="1"/>
  <c r="L434" i="3"/>
  <c r="L434" i="2"/>
  <c r="N435" i="2"/>
  <c r="M438" i="3"/>
  <c r="S438" i="3" s="1"/>
  <c r="L438" i="3"/>
  <c r="J438" i="3"/>
  <c r="I438" i="3"/>
  <c r="H438" i="3"/>
  <c r="O438" i="3"/>
  <c r="L438" i="2"/>
  <c r="P440" i="2"/>
  <c r="J442" i="3"/>
  <c r="I442" i="3"/>
  <c r="H442" i="3"/>
  <c r="M442" i="3"/>
  <c r="S442" i="3" s="1"/>
  <c r="L442" i="3"/>
  <c r="P444" i="2"/>
  <c r="M446" i="3"/>
  <c r="S446" i="3" s="1"/>
  <c r="L446" i="3"/>
  <c r="J446" i="3"/>
  <c r="I446" i="3"/>
  <c r="H446" i="3"/>
  <c r="P448" i="2"/>
  <c r="J450" i="3"/>
  <c r="I450" i="3"/>
  <c r="H450" i="3"/>
  <c r="M450" i="3"/>
  <c r="S450" i="3" s="1"/>
  <c r="L450" i="3"/>
  <c r="L450" i="2"/>
  <c r="N451" i="2"/>
  <c r="M454" i="3"/>
  <c r="S454" i="3" s="1"/>
  <c r="L454" i="3"/>
  <c r="J454" i="3"/>
  <c r="I454" i="3"/>
  <c r="H454" i="3"/>
  <c r="J458" i="3"/>
  <c r="I458" i="3"/>
  <c r="H458" i="3"/>
  <c r="M458" i="3"/>
  <c r="S458" i="3" s="1"/>
  <c r="L458" i="3"/>
  <c r="M462" i="3"/>
  <c r="S462" i="3" s="1"/>
  <c r="L462" i="3"/>
  <c r="J462" i="3"/>
  <c r="I462" i="3"/>
  <c r="H462" i="3"/>
  <c r="L462" i="2"/>
  <c r="N463" i="2"/>
  <c r="P464" i="2"/>
  <c r="J466" i="3"/>
  <c r="I466" i="3"/>
  <c r="H466" i="3"/>
  <c r="M466" i="3"/>
  <c r="S466" i="3" s="1"/>
  <c r="L466" i="3"/>
  <c r="L466" i="2"/>
  <c r="N467" i="2"/>
  <c r="P468" i="2"/>
  <c r="K469" i="2"/>
  <c r="L469" i="2" s="1"/>
  <c r="U469" i="2"/>
  <c r="F470" i="3"/>
  <c r="K470" i="3" s="1"/>
  <c r="U470" i="2"/>
  <c r="O470" i="2"/>
  <c r="P470" i="2" s="1"/>
  <c r="F472" i="3"/>
  <c r="P472" i="2"/>
  <c r="O472" i="2"/>
  <c r="K473" i="2"/>
  <c r="L473" i="2" s="1"/>
  <c r="U473" i="2"/>
  <c r="F474" i="3"/>
  <c r="U474" i="2"/>
  <c r="O474" i="2"/>
  <c r="P474" i="2" s="1"/>
  <c r="F476" i="3"/>
  <c r="O476" i="3" s="1"/>
  <c r="P476" i="2"/>
  <c r="O476" i="2"/>
  <c r="K477" i="2"/>
  <c r="L477" i="2" s="1"/>
  <c r="U477" i="2"/>
  <c r="F478" i="3"/>
  <c r="U478" i="2"/>
  <c r="O478" i="2"/>
  <c r="P478" i="2" s="1"/>
  <c r="F480" i="3"/>
  <c r="P480" i="2"/>
  <c r="O480" i="2"/>
  <c r="U481" i="2"/>
  <c r="F482" i="3"/>
  <c r="U482" i="2"/>
  <c r="O482" i="2"/>
  <c r="P482" i="2" s="1"/>
  <c r="F484" i="3"/>
  <c r="P484" i="2"/>
  <c r="O484" i="2"/>
  <c r="K485" i="2"/>
  <c r="L485" i="2" s="1"/>
  <c r="U485" i="2"/>
  <c r="F486" i="3"/>
  <c r="K486" i="3" s="1"/>
  <c r="U486" i="2"/>
  <c r="O486" i="2"/>
  <c r="P486" i="2" s="1"/>
  <c r="F488" i="3"/>
  <c r="P488" i="2"/>
  <c r="O488" i="2"/>
  <c r="K489" i="2"/>
  <c r="L489" i="2" s="1"/>
  <c r="U489" i="2"/>
  <c r="F490" i="3"/>
  <c r="U490" i="2"/>
  <c r="O490" i="2"/>
  <c r="P490" i="2" s="1"/>
  <c r="F492" i="3"/>
  <c r="L492" i="3" s="1"/>
  <c r="P492" i="2"/>
  <c r="O492" i="2"/>
  <c r="K493" i="2"/>
  <c r="L493" i="2" s="1"/>
  <c r="U493" i="2"/>
  <c r="F494" i="3"/>
  <c r="K494" i="3" s="1"/>
  <c r="U494" i="2"/>
  <c r="O494" i="2"/>
  <c r="P494" i="2" s="1"/>
  <c r="F496" i="3"/>
  <c r="K496" i="3" s="1"/>
  <c r="P496" i="2"/>
  <c r="O496" i="2"/>
  <c r="U497" i="2"/>
  <c r="F498" i="3"/>
  <c r="U498" i="2"/>
  <c r="F500" i="3"/>
  <c r="H500" i="3" s="1"/>
  <c r="P500" i="2"/>
  <c r="O500" i="2"/>
  <c r="U501" i="2"/>
  <c r="F502" i="3"/>
  <c r="I502" i="3" s="1"/>
  <c r="U502" i="2"/>
  <c r="O502" i="2"/>
  <c r="P505" i="2"/>
  <c r="M506" i="2"/>
  <c r="N506" i="2" s="1"/>
  <c r="S508" i="2"/>
  <c r="S511" i="2"/>
  <c r="F512" i="3"/>
  <c r="D513" i="3"/>
  <c r="S513" i="2"/>
  <c r="M513" i="2"/>
  <c r="N513" i="2" s="1"/>
  <c r="S515" i="2"/>
  <c r="J519" i="3"/>
  <c r="I519" i="3"/>
  <c r="H519" i="3"/>
  <c r="M519" i="3"/>
  <c r="S519" i="3" s="1"/>
  <c r="L519" i="3"/>
  <c r="M520" i="3"/>
  <c r="S520" i="3" s="1"/>
  <c r="L520" i="3"/>
  <c r="J520" i="3"/>
  <c r="I520" i="3"/>
  <c r="H520" i="3"/>
  <c r="C521" i="3"/>
  <c r="O521" i="2"/>
  <c r="M521" i="2"/>
  <c r="N521" i="2" s="1"/>
  <c r="U525" i="2"/>
  <c r="F526" i="3"/>
  <c r="U526" i="2"/>
  <c r="F528" i="3"/>
  <c r="P528" i="2"/>
  <c r="S528" i="2"/>
  <c r="C532" i="3"/>
  <c r="O532" i="2"/>
  <c r="M532" i="2"/>
  <c r="N532" i="2" s="1"/>
  <c r="H532" i="2"/>
  <c r="I532" i="2" s="1"/>
  <c r="S536" i="2"/>
  <c r="E538" i="3"/>
  <c r="K538" i="3" s="1"/>
  <c r="T538" i="2"/>
  <c r="D547" i="3"/>
  <c r="S547" i="2"/>
  <c r="C561" i="3"/>
  <c r="O561" i="2"/>
  <c r="P561" i="2" s="1"/>
  <c r="M561" i="2"/>
  <c r="N561" i="2" s="1"/>
  <c r="D563" i="3"/>
  <c r="S563" i="2"/>
  <c r="G567" i="3"/>
  <c r="R567" i="2"/>
  <c r="K569" i="2"/>
  <c r="E570" i="3"/>
  <c r="T570" i="2"/>
  <c r="F580" i="3"/>
  <c r="U580" i="2"/>
  <c r="C593" i="3"/>
  <c r="O593" i="2"/>
  <c r="P593" i="2" s="1"/>
  <c r="M593" i="2"/>
  <c r="N593" i="2" s="1"/>
  <c r="D595" i="3"/>
  <c r="S595" i="2"/>
  <c r="K600" i="2"/>
  <c r="L600" i="2" s="1"/>
  <c r="P601" i="2"/>
  <c r="G611" i="3"/>
  <c r="R611" i="2"/>
  <c r="G632" i="3"/>
  <c r="R632" i="2"/>
  <c r="E646" i="3"/>
  <c r="K646" i="3" s="1"/>
  <c r="T646" i="2"/>
  <c r="M648" i="2"/>
  <c r="M663" i="2"/>
  <c r="N663" i="2" s="1"/>
  <c r="G667" i="3"/>
  <c r="R667" i="2"/>
  <c r="K671" i="2"/>
  <c r="K680" i="2"/>
  <c r="T689" i="2"/>
  <c r="K694" i="2"/>
  <c r="E697" i="3"/>
  <c r="T697" i="2"/>
  <c r="K381" i="2"/>
  <c r="L381" i="2" s="1"/>
  <c r="K389" i="2"/>
  <c r="L389" i="2" s="1"/>
  <c r="K397" i="2"/>
  <c r="L397" i="2" s="1"/>
  <c r="R400" i="2"/>
  <c r="K401" i="2"/>
  <c r="L401" i="2" s="1"/>
  <c r="M402" i="2"/>
  <c r="N402" i="2" s="1"/>
  <c r="I404" i="2"/>
  <c r="R404" i="2"/>
  <c r="K405" i="2"/>
  <c r="I408" i="2"/>
  <c r="R408" i="2"/>
  <c r="K409" i="2"/>
  <c r="L409" i="2" s="1"/>
  <c r="M410" i="2"/>
  <c r="N410" i="2" s="1"/>
  <c r="O411" i="2"/>
  <c r="P411" i="2" s="1"/>
  <c r="I412" i="2"/>
  <c r="R412" i="2"/>
  <c r="K413" i="2"/>
  <c r="L413" i="2" s="1"/>
  <c r="M414" i="2"/>
  <c r="N414" i="2" s="1"/>
  <c r="O415" i="2"/>
  <c r="P415" i="2" s="1"/>
  <c r="I416" i="2"/>
  <c r="R416" i="2"/>
  <c r="K417" i="2"/>
  <c r="L417" i="2" s="1"/>
  <c r="O419" i="2"/>
  <c r="P419" i="2" s="1"/>
  <c r="R420" i="2"/>
  <c r="K421" i="2"/>
  <c r="M422" i="2"/>
  <c r="N422" i="2" s="1"/>
  <c r="O423" i="2"/>
  <c r="P423" i="2" s="1"/>
  <c r="I424" i="2"/>
  <c r="R424" i="2"/>
  <c r="M426" i="2"/>
  <c r="N426" i="2" s="1"/>
  <c r="O427" i="2"/>
  <c r="R428" i="2"/>
  <c r="K429" i="2"/>
  <c r="M430" i="2"/>
  <c r="N430" i="2" s="1"/>
  <c r="I432" i="2"/>
  <c r="R432" i="2"/>
  <c r="O435" i="2"/>
  <c r="R436" i="2"/>
  <c r="K437" i="2"/>
  <c r="M438" i="2"/>
  <c r="N438" i="2" s="1"/>
  <c r="O439" i="2"/>
  <c r="P439" i="2" s="1"/>
  <c r="I440" i="2"/>
  <c r="R440" i="2"/>
  <c r="K441" i="2"/>
  <c r="L441" i="2" s="1"/>
  <c r="M442" i="2"/>
  <c r="N442" i="2" s="1"/>
  <c r="O443" i="2"/>
  <c r="I444" i="2"/>
  <c r="R444" i="2"/>
  <c r="K445" i="2"/>
  <c r="L445" i="2" s="1"/>
  <c r="M446" i="2"/>
  <c r="N446" i="2" s="1"/>
  <c r="O447" i="2"/>
  <c r="P447" i="2" s="1"/>
  <c r="I448" i="2"/>
  <c r="R448" i="2"/>
  <c r="K449" i="2"/>
  <c r="L449" i="2" s="1"/>
  <c r="M450" i="2"/>
  <c r="N450" i="2" s="1"/>
  <c r="O451" i="2"/>
  <c r="P451" i="2" s="1"/>
  <c r="R452" i="2"/>
  <c r="K453" i="2"/>
  <c r="M454" i="2"/>
  <c r="N454" i="2" s="1"/>
  <c r="O455" i="2"/>
  <c r="P455" i="2" s="1"/>
  <c r="I456" i="2"/>
  <c r="R456" i="2"/>
  <c r="K457" i="2"/>
  <c r="L457" i="2" s="1"/>
  <c r="M458" i="2"/>
  <c r="N458" i="2" s="1"/>
  <c r="O459" i="2"/>
  <c r="R460" i="2"/>
  <c r="K461" i="2"/>
  <c r="M462" i="2"/>
  <c r="N462" i="2" s="1"/>
  <c r="O463" i="2"/>
  <c r="P463" i="2" s="1"/>
  <c r="I464" i="2"/>
  <c r="R464" i="2"/>
  <c r="K465" i="2"/>
  <c r="L465" i="2" s="1"/>
  <c r="M466" i="2"/>
  <c r="N466" i="2" s="1"/>
  <c r="O467" i="2"/>
  <c r="P467" i="2" s="1"/>
  <c r="I468" i="2"/>
  <c r="R468" i="2"/>
  <c r="K471" i="2"/>
  <c r="L471" i="2" s="1"/>
  <c r="R472" i="2"/>
  <c r="N474" i="3"/>
  <c r="K475" i="2"/>
  <c r="L475" i="2" s="1"/>
  <c r="R476" i="2"/>
  <c r="K479" i="2"/>
  <c r="L479" i="2" s="1"/>
  <c r="R480" i="2"/>
  <c r="K483" i="2"/>
  <c r="L483" i="2" s="1"/>
  <c r="R484" i="2"/>
  <c r="K487" i="2"/>
  <c r="L487" i="2" s="1"/>
  <c r="R488" i="2"/>
  <c r="K491" i="2"/>
  <c r="L491" i="2" s="1"/>
  <c r="R492" i="2"/>
  <c r="K495" i="2"/>
  <c r="R496" i="2"/>
  <c r="R500" i="2"/>
  <c r="L501" i="2"/>
  <c r="P502" i="2"/>
  <c r="C503" i="3"/>
  <c r="K503" i="2"/>
  <c r="L503" i="2"/>
  <c r="U504" i="2"/>
  <c r="P509" i="2"/>
  <c r="M510" i="2"/>
  <c r="N510" i="2" s="1"/>
  <c r="S512" i="2"/>
  <c r="K513" i="3"/>
  <c r="K514" i="2"/>
  <c r="U516" i="2"/>
  <c r="T517" i="2"/>
  <c r="E518" i="3"/>
  <c r="K518" i="3" s="1"/>
  <c r="T518" i="2"/>
  <c r="D521" i="3"/>
  <c r="S521" i="2"/>
  <c r="K524" i="2"/>
  <c r="L524" i="2" s="1"/>
  <c r="G526" i="3"/>
  <c r="R526" i="2"/>
  <c r="S527" i="2"/>
  <c r="M531" i="3"/>
  <c r="S531" i="3" s="1"/>
  <c r="L531" i="3"/>
  <c r="J531" i="3"/>
  <c r="I531" i="3"/>
  <c r="H531" i="3"/>
  <c r="J532" i="3"/>
  <c r="I532" i="3"/>
  <c r="H532" i="3"/>
  <c r="L532" i="3"/>
  <c r="M532" i="3"/>
  <c r="S532" i="3" s="1"/>
  <c r="C533" i="3"/>
  <c r="O533" i="2"/>
  <c r="P533" i="2" s="1"/>
  <c r="M533" i="2"/>
  <c r="N533" i="2" s="1"/>
  <c r="J535" i="3"/>
  <c r="I535" i="3"/>
  <c r="H535" i="3"/>
  <c r="M535" i="3"/>
  <c r="S535" i="3" s="1"/>
  <c r="L535" i="3"/>
  <c r="F536" i="3"/>
  <c r="K536" i="3" s="1"/>
  <c r="F538" i="3"/>
  <c r="L538" i="3" s="1"/>
  <c r="U538" i="2"/>
  <c r="G539" i="3"/>
  <c r="R539" i="2"/>
  <c r="F544" i="3"/>
  <c r="U544" i="2"/>
  <c r="H545" i="2"/>
  <c r="I545" i="2" s="1"/>
  <c r="G555" i="3"/>
  <c r="R555" i="2"/>
  <c r="E558" i="3"/>
  <c r="K558" i="3" s="1"/>
  <c r="T558" i="2"/>
  <c r="F568" i="3"/>
  <c r="U568" i="2"/>
  <c r="P568" i="2"/>
  <c r="H577" i="2"/>
  <c r="I577" i="2" s="1"/>
  <c r="C581" i="3"/>
  <c r="O581" i="2"/>
  <c r="P581" i="2" s="1"/>
  <c r="M581" i="2"/>
  <c r="N581" i="2" s="1"/>
  <c r="D583" i="3"/>
  <c r="S583" i="2"/>
  <c r="G587" i="3"/>
  <c r="R587" i="2"/>
  <c r="E590" i="3"/>
  <c r="K590" i="3" s="1"/>
  <c r="T590" i="2"/>
  <c r="H599" i="2"/>
  <c r="I599" i="2" s="1"/>
  <c r="M605" i="2"/>
  <c r="F612" i="3"/>
  <c r="U612" i="2"/>
  <c r="P612" i="2"/>
  <c r="K614" i="2"/>
  <c r="E625" i="3"/>
  <c r="K625" i="3" s="1"/>
  <c r="O634" i="2"/>
  <c r="P634" i="2" s="1"/>
  <c r="E636" i="3"/>
  <c r="K636" i="3" s="1"/>
  <c r="T636" i="2"/>
  <c r="C643" i="3"/>
  <c r="H643" i="2"/>
  <c r="I643" i="2" s="1"/>
  <c r="K643" i="2"/>
  <c r="E647" i="3"/>
  <c r="K647" i="3" s="1"/>
  <c r="M650" i="2"/>
  <c r="K654" i="2"/>
  <c r="L654" i="2" s="1"/>
  <c r="M672" i="2"/>
  <c r="N672" i="2" s="1"/>
  <c r="K674" i="2"/>
  <c r="M682" i="2"/>
  <c r="G691" i="3"/>
  <c r="R691" i="2"/>
  <c r="G708" i="3"/>
  <c r="R708" i="2"/>
  <c r="M711" i="2"/>
  <c r="N711" i="2" s="1"/>
  <c r="M470" i="3"/>
  <c r="S470" i="3" s="1"/>
  <c r="L470" i="3"/>
  <c r="J470" i="3"/>
  <c r="I470" i="3"/>
  <c r="H470" i="3"/>
  <c r="L470" i="2"/>
  <c r="J474" i="3"/>
  <c r="I474" i="3"/>
  <c r="H474" i="3"/>
  <c r="M474" i="3"/>
  <c r="S474" i="3" s="1"/>
  <c r="L474" i="3"/>
  <c r="L474" i="2"/>
  <c r="M478" i="3"/>
  <c r="S478" i="3" s="1"/>
  <c r="L478" i="3"/>
  <c r="J478" i="3"/>
  <c r="I478" i="3"/>
  <c r="H478" i="3"/>
  <c r="L478" i="2"/>
  <c r="I482" i="3"/>
  <c r="M482" i="3"/>
  <c r="S482" i="3" s="1"/>
  <c r="L482" i="3"/>
  <c r="J482" i="3"/>
  <c r="H482" i="3"/>
  <c r="M486" i="3"/>
  <c r="S486" i="3" s="1"/>
  <c r="J486" i="3"/>
  <c r="I486" i="3"/>
  <c r="H486" i="3"/>
  <c r="L486" i="3"/>
  <c r="I490" i="3"/>
  <c r="M490" i="3"/>
  <c r="S490" i="3" s="1"/>
  <c r="L490" i="3"/>
  <c r="J490" i="3"/>
  <c r="H490" i="3"/>
  <c r="L490" i="2"/>
  <c r="M494" i="3"/>
  <c r="S494" i="3" s="1"/>
  <c r="J494" i="3"/>
  <c r="I494" i="3"/>
  <c r="H494" i="3"/>
  <c r="L494" i="3"/>
  <c r="I498" i="3"/>
  <c r="L498" i="3"/>
  <c r="J498" i="3"/>
  <c r="H498" i="3"/>
  <c r="M502" i="3"/>
  <c r="S502" i="3" s="1"/>
  <c r="J502" i="3"/>
  <c r="L502" i="3"/>
  <c r="L502" i="2"/>
  <c r="J506" i="3"/>
  <c r="H506" i="3"/>
  <c r="M510" i="3"/>
  <c r="S510" i="3" s="1"/>
  <c r="L510" i="3"/>
  <c r="J510" i="3"/>
  <c r="I510" i="3"/>
  <c r="I514" i="3"/>
  <c r="H514" i="3"/>
  <c r="M514" i="3"/>
  <c r="S514" i="3" s="1"/>
  <c r="J514" i="3"/>
  <c r="L514" i="2"/>
  <c r="M518" i="3"/>
  <c r="S518" i="3" s="1"/>
  <c r="L518" i="3"/>
  <c r="I518" i="3"/>
  <c r="I522" i="3"/>
  <c r="L522" i="3"/>
  <c r="M526" i="3"/>
  <c r="S526" i="3" s="1"/>
  <c r="L526" i="3"/>
  <c r="I526" i="3"/>
  <c r="I530" i="3"/>
  <c r="J530" i="3"/>
  <c r="H536" i="2"/>
  <c r="I536" i="2" s="1"/>
  <c r="I538" i="3"/>
  <c r="H538" i="3"/>
  <c r="L538" i="2"/>
  <c r="H540" i="2"/>
  <c r="I540" i="2" s="1"/>
  <c r="I542" i="3"/>
  <c r="J542" i="3"/>
  <c r="L542" i="2"/>
  <c r="H544" i="2"/>
  <c r="I544" i="2" s="1"/>
  <c r="J546" i="3"/>
  <c r="H546" i="3"/>
  <c r="N547" i="2"/>
  <c r="H548" i="2"/>
  <c r="I548" i="2" s="1"/>
  <c r="S549" i="2"/>
  <c r="I550" i="3"/>
  <c r="H550" i="3"/>
  <c r="L550" i="3"/>
  <c r="J550" i="3"/>
  <c r="U550" i="2"/>
  <c r="H552" i="2"/>
  <c r="I552" i="2" s="1"/>
  <c r="S553" i="2"/>
  <c r="I554" i="3"/>
  <c r="M554" i="3"/>
  <c r="S554" i="3" s="1"/>
  <c r="L554" i="3"/>
  <c r="H554" i="3"/>
  <c r="J554" i="3"/>
  <c r="U554" i="2"/>
  <c r="H556" i="2"/>
  <c r="I556" i="2" s="1"/>
  <c r="S557" i="2"/>
  <c r="H558" i="3"/>
  <c r="L558" i="3"/>
  <c r="U558" i="2"/>
  <c r="S561" i="2"/>
  <c r="J562" i="3"/>
  <c r="I562" i="3"/>
  <c r="M562" i="3"/>
  <c r="S562" i="3" s="1"/>
  <c r="L562" i="3"/>
  <c r="H562" i="3"/>
  <c r="U562" i="2"/>
  <c r="H564" i="2"/>
  <c r="I564" i="2" s="1"/>
  <c r="S565" i="2"/>
  <c r="M566" i="3"/>
  <c r="S566" i="3" s="1"/>
  <c r="J566" i="3"/>
  <c r="I566" i="3"/>
  <c r="H566" i="3"/>
  <c r="L566" i="3"/>
  <c r="L566" i="2"/>
  <c r="U566" i="2"/>
  <c r="H568" i="2"/>
  <c r="I568" i="2" s="1"/>
  <c r="S569" i="2"/>
  <c r="M570" i="3"/>
  <c r="S570" i="3" s="1"/>
  <c r="L570" i="3"/>
  <c r="U570" i="2"/>
  <c r="H572" i="2"/>
  <c r="I572" i="2" s="1"/>
  <c r="S573" i="2"/>
  <c r="M574" i="3"/>
  <c r="S574" i="3" s="1"/>
  <c r="J574" i="3"/>
  <c r="I574" i="3"/>
  <c r="H574" i="3"/>
  <c r="L574" i="3"/>
  <c r="U574" i="2"/>
  <c r="H576" i="2"/>
  <c r="I576" i="2" s="1"/>
  <c r="S577" i="2"/>
  <c r="J578" i="3"/>
  <c r="I578" i="3"/>
  <c r="L578" i="3"/>
  <c r="H578" i="3"/>
  <c r="U578" i="2"/>
  <c r="H580" i="2"/>
  <c r="I580" i="2" s="1"/>
  <c r="S581" i="2"/>
  <c r="L582" i="3"/>
  <c r="J582" i="3"/>
  <c r="U582" i="2"/>
  <c r="H584" i="2"/>
  <c r="I584" i="2" s="1"/>
  <c r="S585" i="2"/>
  <c r="J586" i="3"/>
  <c r="I586" i="3"/>
  <c r="H586" i="3"/>
  <c r="M586" i="3"/>
  <c r="S586" i="3" s="1"/>
  <c r="L586" i="3"/>
  <c r="U586" i="2"/>
  <c r="H588" i="2"/>
  <c r="I588" i="2" s="1"/>
  <c r="S589" i="2"/>
  <c r="L590" i="3"/>
  <c r="I590" i="3"/>
  <c r="H590" i="3"/>
  <c r="U590" i="2"/>
  <c r="H592" i="2"/>
  <c r="I592" i="2" s="1"/>
  <c r="S593" i="2"/>
  <c r="J594" i="3"/>
  <c r="I594" i="3"/>
  <c r="H594" i="3"/>
  <c r="M594" i="3"/>
  <c r="S594" i="3" s="1"/>
  <c r="L594" i="3"/>
  <c r="L594" i="2"/>
  <c r="U594" i="2"/>
  <c r="H596" i="2"/>
  <c r="I596" i="2" s="1"/>
  <c r="U597" i="2"/>
  <c r="F598" i="3"/>
  <c r="U598" i="2"/>
  <c r="K601" i="3"/>
  <c r="K602" i="2"/>
  <c r="L602" i="2" s="1"/>
  <c r="K605" i="3"/>
  <c r="K606" i="2"/>
  <c r="K609" i="3"/>
  <c r="K610" i="2"/>
  <c r="I612" i="2"/>
  <c r="H613" i="2"/>
  <c r="I613" i="2" s="1"/>
  <c r="C619" i="3"/>
  <c r="H619" i="2"/>
  <c r="I619" i="2" s="1"/>
  <c r="O619" i="2"/>
  <c r="P619" i="2" s="1"/>
  <c r="R620" i="2"/>
  <c r="R625" i="2"/>
  <c r="R630" i="2"/>
  <c r="E631" i="3"/>
  <c r="K631" i="3" s="1"/>
  <c r="N631" i="2"/>
  <c r="T631" i="2"/>
  <c r="C635" i="3"/>
  <c r="H635" i="2"/>
  <c r="R636" i="2"/>
  <c r="E637" i="3"/>
  <c r="K637" i="3" s="1"/>
  <c r="T637" i="2"/>
  <c r="C644" i="3"/>
  <c r="H644" i="2"/>
  <c r="I644" i="2" s="1"/>
  <c r="O644" i="2"/>
  <c r="R645" i="2"/>
  <c r="R646" i="2"/>
  <c r="R647" i="2"/>
  <c r="E648" i="3"/>
  <c r="K648" i="3" s="1"/>
  <c r="N648" i="2"/>
  <c r="T648" i="2"/>
  <c r="C653" i="3"/>
  <c r="H653" i="2"/>
  <c r="R654" i="2"/>
  <c r="R655" i="2"/>
  <c r="E656" i="3"/>
  <c r="N656" i="2"/>
  <c r="T656" i="2"/>
  <c r="C660" i="3"/>
  <c r="H660" i="2"/>
  <c r="O660" i="2"/>
  <c r="E661" i="3"/>
  <c r="K661" i="3" s="1"/>
  <c r="T661" i="2"/>
  <c r="C665" i="3"/>
  <c r="H665" i="2"/>
  <c r="I665" i="2" s="1"/>
  <c r="E666" i="3"/>
  <c r="K666" i="3" s="1"/>
  <c r="N666" i="2"/>
  <c r="C670" i="3"/>
  <c r="H670" i="2"/>
  <c r="O670" i="2"/>
  <c r="P670" i="2" s="1"/>
  <c r="R671" i="2"/>
  <c r="E672" i="3"/>
  <c r="K672" i="3" s="1"/>
  <c r="T672" i="2"/>
  <c r="C676" i="3"/>
  <c r="H676" i="2"/>
  <c r="I676" i="2" s="1"/>
  <c r="O676" i="2"/>
  <c r="E677" i="3"/>
  <c r="K677" i="3" s="1"/>
  <c r="T677" i="2"/>
  <c r="C681" i="3"/>
  <c r="H681" i="2"/>
  <c r="I681" i="2" s="1"/>
  <c r="O681" i="2"/>
  <c r="P681" i="2" s="1"/>
  <c r="E682" i="3"/>
  <c r="K682" i="3" s="1"/>
  <c r="N682" i="2"/>
  <c r="C688" i="3"/>
  <c r="H688" i="2"/>
  <c r="O688" i="2"/>
  <c r="R689" i="2"/>
  <c r="E690" i="3"/>
  <c r="K690" i="3" s="1"/>
  <c r="N690" i="2"/>
  <c r="C696" i="3"/>
  <c r="H696" i="2"/>
  <c r="O696" i="2"/>
  <c r="P696" i="2" s="1"/>
  <c r="R697" i="2"/>
  <c r="E703" i="3"/>
  <c r="J549" i="3"/>
  <c r="H549" i="3"/>
  <c r="L549" i="3"/>
  <c r="M549" i="3"/>
  <c r="S549" i="3" s="1"/>
  <c r="I549" i="3"/>
  <c r="L553" i="3"/>
  <c r="J553" i="3"/>
  <c r="H553" i="3"/>
  <c r="M553" i="3"/>
  <c r="S553" i="3" s="1"/>
  <c r="I553" i="3"/>
  <c r="S556" i="2"/>
  <c r="J557" i="3"/>
  <c r="I557" i="3"/>
  <c r="H557" i="3"/>
  <c r="M557" i="3"/>
  <c r="S557" i="3" s="1"/>
  <c r="L557" i="3"/>
  <c r="L557" i="2"/>
  <c r="U557" i="2"/>
  <c r="S560" i="2"/>
  <c r="M561" i="3"/>
  <c r="S561" i="3" s="1"/>
  <c r="L561" i="3"/>
  <c r="J561" i="3"/>
  <c r="I561" i="3"/>
  <c r="H561" i="3"/>
  <c r="U561" i="2"/>
  <c r="S564" i="2"/>
  <c r="J565" i="3"/>
  <c r="I565" i="3"/>
  <c r="H565" i="3"/>
  <c r="M565" i="3"/>
  <c r="S565" i="3" s="1"/>
  <c r="L565" i="3"/>
  <c r="U565" i="2"/>
  <c r="S568" i="2"/>
  <c r="M569" i="3"/>
  <c r="S569" i="3" s="1"/>
  <c r="L569" i="3"/>
  <c r="J569" i="3"/>
  <c r="I569" i="3"/>
  <c r="H569" i="3"/>
  <c r="L569" i="2"/>
  <c r="U569" i="2"/>
  <c r="S572" i="2"/>
  <c r="J573" i="3"/>
  <c r="I573" i="3"/>
  <c r="H573" i="3"/>
  <c r="M573" i="3"/>
  <c r="S573" i="3" s="1"/>
  <c r="L573" i="3"/>
  <c r="L573" i="2"/>
  <c r="U573" i="2"/>
  <c r="S576" i="2"/>
  <c r="M577" i="3"/>
  <c r="S577" i="3" s="1"/>
  <c r="L577" i="3"/>
  <c r="J577" i="3"/>
  <c r="I577" i="3"/>
  <c r="H577" i="3"/>
  <c r="L577" i="2"/>
  <c r="U577" i="2"/>
  <c r="S580" i="2"/>
  <c r="J581" i="3"/>
  <c r="I581" i="3"/>
  <c r="H581" i="3"/>
  <c r="M581" i="3"/>
  <c r="S581" i="3" s="1"/>
  <c r="L581" i="3"/>
  <c r="U581" i="2"/>
  <c r="S584" i="2"/>
  <c r="M585" i="3"/>
  <c r="S585" i="3" s="1"/>
  <c r="L585" i="3"/>
  <c r="J585" i="3"/>
  <c r="I585" i="3"/>
  <c r="H585" i="3"/>
  <c r="U585" i="2"/>
  <c r="S588" i="2"/>
  <c r="J589" i="3"/>
  <c r="I589" i="3"/>
  <c r="H589" i="3"/>
  <c r="M589" i="3"/>
  <c r="S589" i="3" s="1"/>
  <c r="L589" i="3"/>
  <c r="L589" i="2"/>
  <c r="U589" i="2"/>
  <c r="S592" i="2"/>
  <c r="M593" i="3"/>
  <c r="S593" i="3" s="1"/>
  <c r="L593" i="3"/>
  <c r="J593" i="3"/>
  <c r="I593" i="3"/>
  <c r="H593" i="3"/>
  <c r="L593" i="2"/>
  <c r="U593" i="2"/>
  <c r="S596" i="2"/>
  <c r="D597" i="3"/>
  <c r="S597" i="2"/>
  <c r="L599" i="3"/>
  <c r="J599" i="3"/>
  <c r="I599" i="3"/>
  <c r="H599" i="3"/>
  <c r="M599" i="3"/>
  <c r="S599" i="3" s="1"/>
  <c r="R601" i="2"/>
  <c r="E602" i="3"/>
  <c r="C603" i="3"/>
  <c r="H603" i="2"/>
  <c r="R605" i="2"/>
  <c r="E606" i="3"/>
  <c r="K606" i="3" s="1"/>
  <c r="C607" i="3"/>
  <c r="H607" i="2"/>
  <c r="I607" i="2" s="1"/>
  <c r="R609" i="2"/>
  <c r="E610" i="3"/>
  <c r="K610" i="3" s="1"/>
  <c r="C611" i="3"/>
  <c r="H611" i="2"/>
  <c r="I611" i="2" s="1"/>
  <c r="K613" i="2"/>
  <c r="L613" i="2" s="1"/>
  <c r="E619" i="3"/>
  <c r="K619" i="3" s="1"/>
  <c r="T619" i="2"/>
  <c r="C623" i="3"/>
  <c r="H623" i="2"/>
  <c r="O623" i="2"/>
  <c r="P623" i="2" s="1"/>
  <c r="E635" i="3"/>
  <c r="K635" i="3" s="1"/>
  <c r="N635" i="2"/>
  <c r="T635" i="2"/>
  <c r="C641" i="3"/>
  <c r="H641" i="2"/>
  <c r="O641" i="2"/>
  <c r="P641" i="2" s="1"/>
  <c r="E644" i="3"/>
  <c r="O628" i="3" s="1"/>
  <c r="C652" i="3"/>
  <c r="H652" i="2"/>
  <c r="I652" i="2" s="1"/>
  <c r="O652" i="2"/>
  <c r="E653" i="3"/>
  <c r="K653" i="3" s="1"/>
  <c r="N653" i="2"/>
  <c r="C658" i="3"/>
  <c r="H658" i="2"/>
  <c r="I658" i="2" s="1"/>
  <c r="O658" i="2"/>
  <c r="E660" i="3"/>
  <c r="K660" i="3" s="1"/>
  <c r="T660" i="2"/>
  <c r="C664" i="3"/>
  <c r="H664" i="2"/>
  <c r="O664" i="2"/>
  <c r="E665" i="3"/>
  <c r="K665" i="3" s="1"/>
  <c r="T665" i="2"/>
  <c r="C669" i="3"/>
  <c r="H669" i="2"/>
  <c r="I669" i="2" s="1"/>
  <c r="O669" i="2"/>
  <c r="P669" i="2" s="1"/>
  <c r="E670" i="3"/>
  <c r="K670" i="3" s="1"/>
  <c r="C674" i="3"/>
  <c r="H674" i="2"/>
  <c r="O674" i="2"/>
  <c r="P674" i="2" s="1"/>
  <c r="E676" i="3"/>
  <c r="T676" i="2"/>
  <c r="C680" i="3"/>
  <c r="H680" i="2"/>
  <c r="O680" i="2"/>
  <c r="E681" i="3"/>
  <c r="N681" i="2"/>
  <c r="T681" i="2"/>
  <c r="C686" i="3"/>
  <c r="H686" i="2"/>
  <c r="O686" i="2"/>
  <c r="E688" i="3"/>
  <c r="K688" i="3" s="1"/>
  <c r="N688" i="2"/>
  <c r="C694" i="3"/>
  <c r="H694" i="2"/>
  <c r="E696" i="3"/>
  <c r="K696" i="3" s="1"/>
  <c r="C707" i="3"/>
  <c r="H707" i="2"/>
  <c r="I707" i="2" s="1"/>
  <c r="O707" i="2"/>
  <c r="P707" i="2" s="1"/>
  <c r="G717" i="3"/>
  <c r="R717" i="2"/>
  <c r="K537" i="3"/>
  <c r="N538" i="3"/>
  <c r="K540" i="2"/>
  <c r="L540" i="2" s="1"/>
  <c r="K541" i="3"/>
  <c r="K544" i="2"/>
  <c r="L544" i="2" s="1"/>
  <c r="K545" i="3"/>
  <c r="K548" i="2"/>
  <c r="K549" i="3"/>
  <c r="K552" i="2"/>
  <c r="K553" i="3"/>
  <c r="K556" i="2"/>
  <c r="K557" i="3"/>
  <c r="K560" i="2"/>
  <c r="L560" i="2" s="1"/>
  <c r="K561" i="3"/>
  <c r="K564" i="2"/>
  <c r="K565" i="3"/>
  <c r="K568" i="2"/>
  <c r="K569" i="3"/>
  <c r="K572" i="2"/>
  <c r="L572" i="2" s="1"/>
  <c r="K573" i="3"/>
  <c r="K576" i="2"/>
  <c r="K577" i="3"/>
  <c r="K580" i="2"/>
  <c r="K581" i="3"/>
  <c r="K584" i="2"/>
  <c r="L584" i="2" s="1"/>
  <c r="K585" i="3"/>
  <c r="K588" i="2"/>
  <c r="K589" i="3"/>
  <c r="K592" i="2"/>
  <c r="L592" i="2" s="1"/>
  <c r="K593" i="3"/>
  <c r="K596" i="2"/>
  <c r="K597" i="3"/>
  <c r="N597" i="2"/>
  <c r="E599" i="3"/>
  <c r="K599" i="3" s="1"/>
  <c r="N599" i="2"/>
  <c r="H603" i="3"/>
  <c r="L603" i="3"/>
  <c r="M607" i="3"/>
  <c r="S607" i="3" s="1"/>
  <c r="L607" i="3"/>
  <c r="D611" i="3"/>
  <c r="S611" i="2"/>
  <c r="C612" i="3"/>
  <c r="H612" i="2"/>
  <c r="M613" i="2"/>
  <c r="N613" i="2" s="1"/>
  <c r="C614" i="3"/>
  <c r="H614" i="2"/>
  <c r="I614" i="2" s="1"/>
  <c r="M614" i="2"/>
  <c r="C615" i="3"/>
  <c r="H615" i="2"/>
  <c r="I615" i="2" s="1"/>
  <c r="M615" i="2"/>
  <c r="C616" i="3"/>
  <c r="H616" i="2"/>
  <c r="I616" i="2" s="1"/>
  <c r="C617" i="3"/>
  <c r="H617" i="2"/>
  <c r="I617" i="2" s="1"/>
  <c r="O617" i="2"/>
  <c r="P617" i="2" s="1"/>
  <c r="E618" i="3"/>
  <c r="K618" i="3" s="1"/>
  <c r="C622" i="3"/>
  <c r="H622" i="2"/>
  <c r="I622" i="2" s="1"/>
  <c r="O622" i="2"/>
  <c r="P622" i="2" s="1"/>
  <c r="E624" i="3"/>
  <c r="K624" i="3" s="1"/>
  <c r="T624" i="2"/>
  <c r="C628" i="3"/>
  <c r="H628" i="2"/>
  <c r="I628" i="2" s="1"/>
  <c r="O628" i="2"/>
  <c r="P628" i="2" s="1"/>
  <c r="E629" i="3"/>
  <c r="N629" i="2"/>
  <c r="T629" i="2"/>
  <c r="C633" i="3"/>
  <c r="H633" i="2"/>
  <c r="I633" i="2" s="1"/>
  <c r="O633" i="2"/>
  <c r="P633" i="2" s="1"/>
  <c r="E634" i="3"/>
  <c r="J634" i="3" s="1"/>
  <c r="C640" i="3"/>
  <c r="H640" i="2"/>
  <c r="I640" i="2" s="1"/>
  <c r="O640" i="2"/>
  <c r="P640" i="2" s="1"/>
  <c r="R641" i="2"/>
  <c r="E642" i="3"/>
  <c r="K642" i="3" s="1"/>
  <c r="N642" i="2"/>
  <c r="E643" i="3"/>
  <c r="H643" i="3" s="1"/>
  <c r="T643" i="2"/>
  <c r="C650" i="3"/>
  <c r="H650" i="2"/>
  <c r="I650" i="2" s="1"/>
  <c r="O650" i="2"/>
  <c r="P650" i="2" s="1"/>
  <c r="C651" i="3"/>
  <c r="H651" i="2"/>
  <c r="I651" i="2" s="1"/>
  <c r="O651" i="2"/>
  <c r="R652" i="2"/>
  <c r="E659" i="3"/>
  <c r="N659" i="2"/>
  <c r="T659" i="2"/>
  <c r="C663" i="3"/>
  <c r="E675" i="3"/>
  <c r="K675" i="3" s="1"/>
  <c r="N675" i="2"/>
  <c r="T675" i="2"/>
  <c r="C679" i="3"/>
  <c r="O679" i="2"/>
  <c r="P679" i="2" s="1"/>
  <c r="C685" i="3"/>
  <c r="E687" i="3"/>
  <c r="N687" i="2"/>
  <c r="T687" i="2"/>
  <c r="C693" i="3"/>
  <c r="H693" i="2"/>
  <c r="I693" i="2" s="1"/>
  <c r="O693" i="2"/>
  <c r="P693" i="2" s="1"/>
  <c r="E695" i="3"/>
  <c r="K695" i="3" s="1"/>
  <c r="N695" i="2"/>
  <c r="T695" i="2"/>
  <c r="E699" i="3"/>
  <c r="K699" i="3" s="1"/>
  <c r="N699" i="2"/>
  <c r="C702" i="3"/>
  <c r="H702" i="2"/>
  <c r="I702" i="2" s="1"/>
  <c r="O702" i="2"/>
  <c r="M702" i="2"/>
  <c r="N702" i="2" s="1"/>
  <c r="E704" i="3"/>
  <c r="T704" i="2"/>
  <c r="C719" i="3"/>
  <c r="M719" i="2"/>
  <c r="I544" i="3"/>
  <c r="M544" i="3"/>
  <c r="S544" i="3" s="1"/>
  <c r="J544" i="3"/>
  <c r="H544" i="3"/>
  <c r="L544" i="3"/>
  <c r="M548" i="3"/>
  <c r="S548" i="3" s="1"/>
  <c r="I548" i="3"/>
  <c r="O548" i="3"/>
  <c r="L548" i="3"/>
  <c r="J548" i="3"/>
  <c r="H548" i="3"/>
  <c r="L548" i="2"/>
  <c r="I552" i="3"/>
  <c r="M552" i="3"/>
  <c r="S552" i="3" s="1"/>
  <c r="J552" i="3"/>
  <c r="L552" i="3"/>
  <c r="H552" i="3"/>
  <c r="L552" i="2"/>
  <c r="M556" i="3"/>
  <c r="S556" i="3" s="1"/>
  <c r="L556" i="3"/>
  <c r="I556" i="3"/>
  <c r="J556" i="3"/>
  <c r="H556" i="3"/>
  <c r="L556" i="2"/>
  <c r="I560" i="3"/>
  <c r="H560" i="3"/>
  <c r="M560" i="3"/>
  <c r="S560" i="3" s="1"/>
  <c r="L560" i="3"/>
  <c r="J560" i="3"/>
  <c r="H564" i="3"/>
  <c r="J564" i="3"/>
  <c r="L564" i="2"/>
  <c r="I568" i="3"/>
  <c r="H568" i="3"/>
  <c r="M568" i="3"/>
  <c r="S568" i="3" s="1"/>
  <c r="L568" i="3"/>
  <c r="J568" i="3"/>
  <c r="L568" i="2"/>
  <c r="M572" i="3"/>
  <c r="S572" i="3" s="1"/>
  <c r="L572" i="3"/>
  <c r="I572" i="3"/>
  <c r="J572" i="3"/>
  <c r="I576" i="3"/>
  <c r="H576" i="3"/>
  <c r="M576" i="3"/>
  <c r="S576" i="3" s="1"/>
  <c r="L576" i="3"/>
  <c r="J576" i="3"/>
  <c r="L576" i="2"/>
  <c r="M580" i="3"/>
  <c r="S580" i="3" s="1"/>
  <c r="L580" i="3"/>
  <c r="J580" i="3"/>
  <c r="I580" i="3"/>
  <c r="H580" i="3"/>
  <c r="L580" i="2"/>
  <c r="I584" i="3"/>
  <c r="H584" i="3"/>
  <c r="M584" i="3"/>
  <c r="S584" i="3" s="1"/>
  <c r="L584" i="3"/>
  <c r="J584" i="3"/>
  <c r="M588" i="3"/>
  <c r="S588" i="3" s="1"/>
  <c r="L588" i="3"/>
  <c r="J588" i="3"/>
  <c r="I588" i="3"/>
  <c r="H588" i="3"/>
  <c r="L588" i="2"/>
  <c r="M592" i="3"/>
  <c r="S592" i="3" s="1"/>
  <c r="L592" i="3"/>
  <c r="J592" i="3"/>
  <c r="M596" i="3"/>
  <c r="S596" i="3" s="1"/>
  <c r="L596" i="3"/>
  <c r="J596" i="3"/>
  <c r="I596" i="3"/>
  <c r="H596" i="3"/>
  <c r="L596" i="2"/>
  <c r="C600" i="3"/>
  <c r="H600" i="2"/>
  <c r="I600" i="2" s="1"/>
  <c r="M600" i="2"/>
  <c r="R602" i="2"/>
  <c r="E603" i="3"/>
  <c r="O603" i="3" s="1"/>
  <c r="C604" i="3"/>
  <c r="H604" i="2"/>
  <c r="I604" i="2" s="1"/>
  <c r="M604" i="2"/>
  <c r="R606" i="2"/>
  <c r="E607" i="3"/>
  <c r="C608" i="3"/>
  <c r="H608" i="2"/>
  <c r="I608" i="2" s="1"/>
  <c r="M608" i="2"/>
  <c r="R610" i="2"/>
  <c r="E611" i="3"/>
  <c r="K611" i="3" s="1"/>
  <c r="O612" i="2"/>
  <c r="O613" i="2"/>
  <c r="P613" i="2" s="1"/>
  <c r="D615" i="3"/>
  <c r="S615" i="2"/>
  <c r="O615" i="2"/>
  <c r="P615" i="2" s="1"/>
  <c r="O616" i="2"/>
  <c r="T618" i="2"/>
  <c r="N619" i="3"/>
  <c r="E623" i="3"/>
  <c r="K623" i="3" s="1"/>
  <c r="T623" i="2"/>
  <c r="C627" i="3"/>
  <c r="H627" i="2"/>
  <c r="I627" i="2" s="1"/>
  <c r="O627" i="2"/>
  <c r="P627" i="2" s="1"/>
  <c r="K631" i="2"/>
  <c r="T634" i="2"/>
  <c r="K637" i="2"/>
  <c r="C639" i="3"/>
  <c r="H639" i="2"/>
  <c r="I639" i="2" s="1"/>
  <c r="O639" i="2"/>
  <c r="P639" i="2" s="1"/>
  <c r="E641" i="3"/>
  <c r="K641" i="3" s="1"/>
  <c r="T641" i="2"/>
  <c r="T642" i="2"/>
  <c r="I645" i="2"/>
  <c r="I646" i="2"/>
  <c r="K648" i="2"/>
  <c r="C649" i="3"/>
  <c r="H649" i="2"/>
  <c r="I649" i="2" s="1"/>
  <c r="O649" i="2"/>
  <c r="P649" i="2" s="1"/>
  <c r="E652" i="3"/>
  <c r="K652" i="3" s="1"/>
  <c r="T652" i="2"/>
  <c r="K656" i="2"/>
  <c r="L656" i="2" s="1"/>
  <c r="C657" i="3"/>
  <c r="H657" i="2"/>
  <c r="I657" i="2" s="1"/>
  <c r="O657" i="2"/>
  <c r="P657" i="2" s="1"/>
  <c r="E658" i="3"/>
  <c r="C662" i="3"/>
  <c r="H662" i="2"/>
  <c r="I662" i="2" s="1"/>
  <c r="O662" i="2"/>
  <c r="P662" i="2" s="1"/>
  <c r="E664" i="3"/>
  <c r="T664" i="2"/>
  <c r="K666" i="2"/>
  <c r="C668" i="3"/>
  <c r="H668" i="2"/>
  <c r="I668" i="2" s="1"/>
  <c r="O668" i="2"/>
  <c r="E669" i="3"/>
  <c r="T669" i="2"/>
  <c r="K672" i="2"/>
  <c r="C673" i="3"/>
  <c r="O673" i="2"/>
  <c r="P673" i="2" s="1"/>
  <c r="E674" i="3"/>
  <c r="K677" i="2"/>
  <c r="L677" i="2" s="1"/>
  <c r="C678" i="3"/>
  <c r="H678" i="2"/>
  <c r="I678" i="2" s="1"/>
  <c r="O678" i="2"/>
  <c r="P678" i="2" s="1"/>
  <c r="E680" i="3"/>
  <c r="T680" i="2"/>
  <c r="K682" i="2"/>
  <c r="C684" i="3"/>
  <c r="H684" i="2"/>
  <c r="I684" i="2" s="1"/>
  <c r="O684" i="2"/>
  <c r="R685" i="2"/>
  <c r="E686" i="3"/>
  <c r="O686" i="3" s="1"/>
  <c r="K690" i="2"/>
  <c r="C692" i="3"/>
  <c r="H692" i="2"/>
  <c r="I692" i="2" s="1"/>
  <c r="O692" i="2"/>
  <c r="P692" i="2" s="1"/>
  <c r="R693" i="2"/>
  <c r="E694" i="3"/>
  <c r="K694" i="3" s="1"/>
  <c r="E707" i="3"/>
  <c r="K707" i="3" s="1"/>
  <c r="N707" i="2"/>
  <c r="C710" i="3"/>
  <c r="H710" i="2"/>
  <c r="I710" i="2" s="1"/>
  <c r="O710" i="2"/>
  <c r="M710" i="2"/>
  <c r="N710" i="2" s="1"/>
  <c r="K711" i="2"/>
  <c r="E712" i="3"/>
  <c r="K712" i="3" s="1"/>
  <c r="N712" i="2"/>
  <c r="T712" i="2"/>
  <c r="C715" i="3"/>
  <c r="H715" i="2"/>
  <c r="O715" i="2"/>
  <c r="K504" i="3"/>
  <c r="K507" i="2"/>
  <c r="L507" i="2" s="1"/>
  <c r="K508" i="3"/>
  <c r="K511" i="2"/>
  <c r="L511" i="2" s="1"/>
  <c r="K512" i="3"/>
  <c r="K515" i="2"/>
  <c r="L515" i="2" s="1"/>
  <c r="T515" i="2"/>
  <c r="K516" i="3"/>
  <c r="T519" i="2"/>
  <c r="K520" i="3"/>
  <c r="K523" i="2"/>
  <c r="L523" i="2" s="1"/>
  <c r="T523" i="2"/>
  <c r="K524" i="3"/>
  <c r="K527" i="2"/>
  <c r="L527" i="2" s="1"/>
  <c r="T527" i="2"/>
  <c r="K531" i="2"/>
  <c r="L531" i="2" s="1"/>
  <c r="T531" i="2"/>
  <c r="K532" i="3"/>
  <c r="R534" i="2"/>
  <c r="K535" i="2"/>
  <c r="L535" i="2" s="1"/>
  <c r="T535" i="2"/>
  <c r="R538" i="2"/>
  <c r="K539" i="2"/>
  <c r="L539" i="2" s="1"/>
  <c r="T539" i="2"/>
  <c r="M540" i="2"/>
  <c r="N540" i="2" s="1"/>
  <c r="R542" i="2"/>
  <c r="K543" i="2"/>
  <c r="L543" i="2" s="1"/>
  <c r="T543" i="2"/>
  <c r="K544" i="3"/>
  <c r="R546" i="2"/>
  <c r="K547" i="2"/>
  <c r="L547" i="2" s="1"/>
  <c r="T547" i="2"/>
  <c r="K548" i="3"/>
  <c r="M548" i="2"/>
  <c r="N548" i="2" s="1"/>
  <c r="R550" i="2"/>
  <c r="K551" i="2"/>
  <c r="L551" i="2" s="1"/>
  <c r="T551" i="2"/>
  <c r="K552" i="3"/>
  <c r="M552" i="2"/>
  <c r="N552" i="2" s="1"/>
  <c r="R554" i="2"/>
  <c r="K555" i="2"/>
  <c r="L555" i="2" s="1"/>
  <c r="T555" i="2"/>
  <c r="K556" i="3"/>
  <c r="M556" i="2"/>
  <c r="N556" i="2" s="1"/>
  <c r="R558" i="2"/>
  <c r="K559" i="2"/>
  <c r="L559" i="2" s="1"/>
  <c r="T559" i="2"/>
  <c r="K560" i="3"/>
  <c r="M560" i="2"/>
  <c r="N560" i="2" s="1"/>
  <c r="R562" i="2"/>
  <c r="K563" i="2"/>
  <c r="L563" i="2" s="1"/>
  <c r="T563" i="2"/>
  <c r="M564" i="2"/>
  <c r="N564" i="2" s="1"/>
  <c r="R566" i="2"/>
  <c r="K567" i="2"/>
  <c r="L567" i="2" s="1"/>
  <c r="T567" i="2"/>
  <c r="K568" i="3"/>
  <c r="R570" i="2"/>
  <c r="K571" i="2"/>
  <c r="L571" i="2" s="1"/>
  <c r="T571" i="2"/>
  <c r="K572" i="3"/>
  <c r="M572" i="2"/>
  <c r="N572" i="2" s="1"/>
  <c r="R574" i="2"/>
  <c r="K575" i="2"/>
  <c r="L575" i="2" s="1"/>
  <c r="T575" i="2"/>
  <c r="K576" i="3"/>
  <c r="M576" i="2"/>
  <c r="N576" i="2" s="1"/>
  <c r="R578" i="2"/>
  <c r="K579" i="2"/>
  <c r="L579" i="2" s="1"/>
  <c r="T579" i="2"/>
  <c r="K580" i="3"/>
  <c r="R582" i="2"/>
  <c r="K583" i="2"/>
  <c r="L583" i="2" s="1"/>
  <c r="T583" i="2"/>
  <c r="K584" i="3"/>
  <c r="M584" i="2"/>
  <c r="N584" i="2" s="1"/>
  <c r="R586" i="2"/>
  <c r="K587" i="2"/>
  <c r="L587" i="2" s="1"/>
  <c r="T587" i="2"/>
  <c r="K588" i="3"/>
  <c r="M588" i="2"/>
  <c r="N588" i="2" s="1"/>
  <c r="R590" i="2"/>
  <c r="K591" i="2"/>
  <c r="L591" i="2" s="1"/>
  <c r="T591" i="2"/>
  <c r="K592" i="3"/>
  <c r="M592" i="2"/>
  <c r="N592" i="2" s="1"/>
  <c r="R594" i="2"/>
  <c r="K595" i="2"/>
  <c r="L595" i="2" s="1"/>
  <c r="T595" i="2"/>
  <c r="K596" i="3"/>
  <c r="M596" i="2"/>
  <c r="N596" i="2" s="1"/>
  <c r="K598" i="2"/>
  <c r="L598" i="2" s="1"/>
  <c r="R599" i="2"/>
  <c r="D600" i="3"/>
  <c r="S600" i="2"/>
  <c r="H602" i="2"/>
  <c r="I602" i="2" s="1"/>
  <c r="D604" i="3"/>
  <c r="S604" i="2"/>
  <c r="H606" i="2"/>
  <c r="I606" i="2" s="1"/>
  <c r="D608" i="3"/>
  <c r="S608" i="2"/>
  <c r="H610" i="2"/>
  <c r="I610" i="2" s="1"/>
  <c r="K612" i="3"/>
  <c r="R612" i="2"/>
  <c r="E613" i="3"/>
  <c r="E614" i="3"/>
  <c r="K614" i="3" s="1"/>
  <c r="N614" i="2"/>
  <c r="R614" i="2"/>
  <c r="E615" i="3"/>
  <c r="K615" i="3" s="1"/>
  <c r="N615" i="2"/>
  <c r="R615" i="2"/>
  <c r="K616" i="3"/>
  <c r="R616" i="2"/>
  <c r="E617" i="3"/>
  <c r="K617" i="3" s="1"/>
  <c r="N617" i="2"/>
  <c r="T617" i="2"/>
  <c r="C621" i="3"/>
  <c r="H621" i="2"/>
  <c r="I621" i="2" s="1"/>
  <c r="O621" i="2"/>
  <c r="P621" i="2" s="1"/>
  <c r="E622" i="3"/>
  <c r="K622" i="3" s="1"/>
  <c r="C626" i="3"/>
  <c r="H626" i="2"/>
  <c r="I626" i="2" s="1"/>
  <c r="O626" i="2"/>
  <c r="P626" i="2" s="1"/>
  <c r="R627" i="2"/>
  <c r="E628" i="3"/>
  <c r="K628" i="3" s="1"/>
  <c r="N628" i="2"/>
  <c r="T628" i="2"/>
  <c r="C632" i="3"/>
  <c r="H632" i="2"/>
  <c r="I632" i="2" s="1"/>
  <c r="O632" i="2"/>
  <c r="P632" i="2" s="1"/>
  <c r="E633" i="3"/>
  <c r="T633" i="2"/>
  <c r="I635" i="2"/>
  <c r="C638" i="3"/>
  <c r="H638" i="2"/>
  <c r="O638" i="2"/>
  <c r="P638" i="2" s="1"/>
  <c r="R639" i="2"/>
  <c r="E640" i="3"/>
  <c r="K640" i="3" s="1"/>
  <c r="N640" i="2"/>
  <c r="R649" i="2"/>
  <c r="E650" i="3"/>
  <c r="N650" i="2"/>
  <c r="E651" i="3"/>
  <c r="K651" i="3" s="1"/>
  <c r="N651" i="2"/>
  <c r="T651" i="2"/>
  <c r="I653" i="2"/>
  <c r="R657" i="2"/>
  <c r="T658" i="2"/>
  <c r="I660" i="2"/>
  <c r="R662" i="2"/>
  <c r="E663" i="3"/>
  <c r="K663" i="3" s="1"/>
  <c r="T663" i="2"/>
  <c r="C667" i="3"/>
  <c r="H667" i="2"/>
  <c r="I667" i="2" s="1"/>
  <c r="O667" i="2"/>
  <c r="P667" i="2" s="1"/>
  <c r="R668" i="2"/>
  <c r="I670" i="2"/>
  <c r="R673" i="2"/>
  <c r="T674" i="2"/>
  <c r="R678" i="2"/>
  <c r="E679" i="3"/>
  <c r="H679" i="3" s="1"/>
  <c r="N679" i="2"/>
  <c r="T679" i="2"/>
  <c r="C683" i="3"/>
  <c r="H683" i="2"/>
  <c r="I683" i="2" s="1"/>
  <c r="O683" i="2"/>
  <c r="P683" i="2" s="1"/>
  <c r="R684" i="2"/>
  <c r="E685" i="3"/>
  <c r="N685" i="2"/>
  <c r="T685" i="2"/>
  <c r="T686" i="2"/>
  <c r="I688" i="2"/>
  <c r="C691" i="3"/>
  <c r="H691" i="2"/>
  <c r="I691" i="2" s="1"/>
  <c r="O691" i="2"/>
  <c r="P691" i="2" s="1"/>
  <c r="R692" i="2"/>
  <c r="E693" i="3"/>
  <c r="K693" i="3" s="1"/>
  <c r="T693" i="2"/>
  <c r="T694" i="2"/>
  <c r="I696" i="2"/>
  <c r="C698" i="3"/>
  <c r="H698" i="2"/>
  <c r="I698" i="2" s="1"/>
  <c r="M698" i="2"/>
  <c r="N698" i="2" s="1"/>
  <c r="T703" i="2"/>
  <c r="G704" i="3"/>
  <c r="R704" i="2"/>
  <c r="I704" i="2"/>
  <c r="I709" i="2"/>
  <c r="F616" i="3"/>
  <c r="U616" i="2"/>
  <c r="P616" i="2"/>
  <c r="E627" i="3"/>
  <c r="K627" i="3" s="1"/>
  <c r="T627" i="2"/>
  <c r="C631" i="3"/>
  <c r="H631" i="2"/>
  <c r="I631" i="2" s="1"/>
  <c r="O631" i="2"/>
  <c r="P631" i="2" s="1"/>
  <c r="C637" i="3"/>
  <c r="H637" i="2"/>
  <c r="I637" i="2" s="1"/>
  <c r="O637" i="2"/>
  <c r="P637" i="2" s="1"/>
  <c r="E639" i="3"/>
  <c r="K639" i="3" s="1"/>
  <c r="T639" i="2"/>
  <c r="C648" i="3"/>
  <c r="H648" i="2"/>
  <c r="I648" i="2" s="1"/>
  <c r="E649" i="3"/>
  <c r="K649" i="3" s="1"/>
  <c r="N652" i="3"/>
  <c r="C656" i="3"/>
  <c r="H656" i="2"/>
  <c r="I656" i="2" s="1"/>
  <c r="E657" i="3"/>
  <c r="K657" i="3" s="1"/>
  <c r="T657" i="2"/>
  <c r="C661" i="3"/>
  <c r="H661" i="2"/>
  <c r="I661" i="2" s="1"/>
  <c r="O661" i="2"/>
  <c r="P661" i="2" s="1"/>
  <c r="E662" i="3"/>
  <c r="K662" i="3" s="1"/>
  <c r="C666" i="3"/>
  <c r="H666" i="2"/>
  <c r="I666" i="2" s="1"/>
  <c r="O666" i="2"/>
  <c r="P666" i="2" s="1"/>
  <c r="E668" i="3"/>
  <c r="T668" i="2"/>
  <c r="C672" i="3"/>
  <c r="H672" i="2"/>
  <c r="I672" i="2" s="1"/>
  <c r="O672" i="2"/>
  <c r="E673" i="3"/>
  <c r="T673" i="2"/>
  <c r="C677" i="3"/>
  <c r="H677" i="2"/>
  <c r="I677" i="2" s="1"/>
  <c r="O677" i="2"/>
  <c r="P677" i="2" s="1"/>
  <c r="E678" i="3"/>
  <c r="K678" i="3" s="1"/>
  <c r="C682" i="3"/>
  <c r="H682" i="2"/>
  <c r="I682" i="2" s="1"/>
  <c r="O682" i="2"/>
  <c r="E684" i="3"/>
  <c r="K684" i="3" s="1"/>
  <c r="C690" i="3"/>
  <c r="H690" i="2"/>
  <c r="I690" i="2" s="1"/>
  <c r="O690" i="2"/>
  <c r="E692" i="3"/>
  <c r="K692" i="3" s="1"/>
  <c r="C703" i="3"/>
  <c r="H703" i="2"/>
  <c r="I703" i="2" s="1"/>
  <c r="O703" i="2"/>
  <c r="P703" i="2" s="1"/>
  <c r="G712" i="3"/>
  <c r="R712" i="2"/>
  <c r="E720" i="3"/>
  <c r="K720" i="3" s="1"/>
  <c r="N720" i="2"/>
  <c r="T720" i="2"/>
  <c r="K518" i="2"/>
  <c r="L518" i="2" s="1"/>
  <c r="N520" i="3"/>
  <c r="K522" i="2"/>
  <c r="L522" i="2" s="1"/>
  <c r="K526" i="2"/>
  <c r="L526" i="2" s="1"/>
  <c r="K530" i="2"/>
  <c r="L530" i="2" s="1"/>
  <c r="K534" i="2"/>
  <c r="L534" i="2" s="1"/>
  <c r="N536" i="3"/>
  <c r="O536" i="2"/>
  <c r="P536" i="2" s="1"/>
  <c r="K538" i="2"/>
  <c r="O540" i="2"/>
  <c r="K542" i="2"/>
  <c r="O544" i="2"/>
  <c r="P544" i="2" s="1"/>
  <c r="K546" i="2"/>
  <c r="L546" i="2" s="1"/>
  <c r="O548" i="2"/>
  <c r="P548" i="2" s="1"/>
  <c r="K550" i="2"/>
  <c r="L550" i="2" s="1"/>
  <c r="O552" i="2"/>
  <c r="P552" i="2" s="1"/>
  <c r="K554" i="2"/>
  <c r="L554" i="2" s="1"/>
  <c r="N556" i="3"/>
  <c r="O556" i="2"/>
  <c r="P556" i="2" s="1"/>
  <c r="K558" i="2"/>
  <c r="L558" i="2" s="1"/>
  <c r="O560" i="2"/>
  <c r="P560" i="2" s="1"/>
  <c r="K562" i="2"/>
  <c r="L562" i="2" s="1"/>
  <c r="O564" i="2"/>
  <c r="P564" i="2" s="1"/>
  <c r="K566" i="2"/>
  <c r="O568" i="2"/>
  <c r="K570" i="2"/>
  <c r="L570" i="2" s="1"/>
  <c r="O572" i="2"/>
  <c r="P572" i="2" s="1"/>
  <c r="K574" i="2"/>
  <c r="L574" i="2" s="1"/>
  <c r="O576" i="2"/>
  <c r="P576" i="2" s="1"/>
  <c r="K578" i="2"/>
  <c r="L578" i="2" s="1"/>
  <c r="O580" i="2"/>
  <c r="P580" i="2" s="1"/>
  <c r="K582" i="2"/>
  <c r="L582" i="2" s="1"/>
  <c r="O584" i="2"/>
  <c r="P584" i="2" s="1"/>
  <c r="K586" i="2"/>
  <c r="L586" i="2" s="1"/>
  <c r="O588" i="2"/>
  <c r="P588" i="2" s="1"/>
  <c r="K590" i="2"/>
  <c r="L590" i="2" s="1"/>
  <c r="K591" i="3"/>
  <c r="O592" i="2"/>
  <c r="P592" i="2" s="1"/>
  <c r="K594" i="2"/>
  <c r="K595" i="3"/>
  <c r="O596" i="2"/>
  <c r="P596" i="2" s="1"/>
  <c r="T597" i="2"/>
  <c r="T599" i="2"/>
  <c r="F600" i="3"/>
  <c r="R600" i="2"/>
  <c r="T603" i="2"/>
  <c r="F604" i="3"/>
  <c r="R604" i="2"/>
  <c r="N605" i="2"/>
  <c r="T607" i="2"/>
  <c r="F608" i="3"/>
  <c r="M619" i="2"/>
  <c r="N619" i="2" s="1"/>
  <c r="C620" i="3"/>
  <c r="H620" i="2"/>
  <c r="I620" i="2" s="1"/>
  <c r="O620" i="2"/>
  <c r="E621" i="3"/>
  <c r="K621" i="3" s="1"/>
  <c r="T621" i="2"/>
  <c r="I623" i="2"/>
  <c r="C625" i="3"/>
  <c r="H625" i="2"/>
  <c r="I625" i="2" s="1"/>
  <c r="O625" i="2"/>
  <c r="P625" i="2" s="1"/>
  <c r="E626" i="3"/>
  <c r="K626" i="3" s="1"/>
  <c r="C630" i="3"/>
  <c r="H630" i="2"/>
  <c r="I630" i="2" s="1"/>
  <c r="O630" i="2"/>
  <c r="P630" i="2" s="1"/>
  <c r="R631" i="2"/>
  <c r="E632" i="3"/>
  <c r="K632" i="3" s="1"/>
  <c r="T632" i="2"/>
  <c r="M635" i="2"/>
  <c r="C636" i="3"/>
  <c r="H636" i="2"/>
  <c r="I636" i="2" s="1"/>
  <c r="O636" i="2"/>
  <c r="P636" i="2" s="1"/>
  <c r="R637" i="2"/>
  <c r="E638" i="3"/>
  <c r="K638" i="3" s="1"/>
  <c r="I641" i="2"/>
  <c r="M644" i="2"/>
  <c r="N644" i="2" s="1"/>
  <c r="C645" i="3"/>
  <c r="H645" i="2"/>
  <c r="O645" i="2"/>
  <c r="P645" i="2" s="1"/>
  <c r="C646" i="3"/>
  <c r="H646" i="2"/>
  <c r="O646" i="2"/>
  <c r="C647" i="3"/>
  <c r="H647" i="2"/>
  <c r="I647" i="2" s="1"/>
  <c r="O647" i="2"/>
  <c r="P647" i="2" s="1"/>
  <c r="R648" i="2"/>
  <c r="T649" i="2"/>
  <c r="M653" i="2"/>
  <c r="C654" i="3"/>
  <c r="H654" i="2"/>
  <c r="I654" i="2" s="1"/>
  <c r="O654" i="2"/>
  <c r="P654" i="2" s="1"/>
  <c r="C655" i="3"/>
  <c r="O655" i="2"/>
  <c r="P655" i="2" s="1"/>
  <c r="R656" i="2"/>
  <c r="M660" i="2"/>
  <c r="N660" i="2" s="1"/>
  <c r="R661" i="2"/>
  <c r="T662" i="2"/>
  <c r="I664" i="2"/>
  <c r="M665" i="2"/>
  <c r="N665" i="2" s="1"/>
  <c r="R666" i="2"/>
  <c r="E667" i="3"/>
  <c r="K667" i="3" s="1"/>
  <c r="T667" i="2"/>
  <c r="M670" i="2"/>
  <c r="N670" i="2" s="1"/>
  <c r="C671" i="3"/>
  <c r="H671" i="2"/>
  <c r="I671" i="2" s="1"/>
  <c r="O671" i="2"/>
  <c r="P671" i="2" s="1"/>
  <c r="R672" i="2"/>
  <c r="I674" i="2"/>
  <c r="M676" i="2"/>
  <c r="N676" i="2" s="1"/>
  <c r="R677" i="2"/>
  <c r="T678" i="2"/>
  <c r="I680" i="2"/>
  <c r="M681" i="2"/>
  <c r="R682" i="2"/>
  <c r="E683" i="3"/>
  <c r="T683" i="2"/>
  <c r="T684" i="2"/>
  <c r="I686" i="2"/>
  <c r="M688" i="2"/>
  <c r="C689" i="3"/>
  <c r="H689" i="2"/>
  <c r="I689" i="2" s="1"/>
  <c r="O689" i="2"/>
  <c r="P689" i="2" s="1"/>
  <c r="R690" i="2"/>
  <c r="E691" i="3"/>
  <c r="K691" i="3" s="1"/>
  <c r="T691" i="2"/>
  <c r="T692" i="2"/>
  <c r="I694" i="2"/>
  <c r="M696" i="2"/>
  <c r="N696" i="2" s="1"/>
  <c r="C697" i="3"/>
  <c r="H697" i="2"/>
  <c r="I697" i="2" s="1"/>
  <c r="O697" i="2"/>
  <c r="P697" i="2" s="1"/>
  <c r="E700" i="3"/>
  <c r="K700" i="3" s="1"/>
  <c r="T700" i="2"/>
  <c r="C706" i="3"/>
  <c r="H706" i="2"/>
  <c r="I706" i="2" s="1"/>
  <c r="O706" i="2"/>
  <c r="P706" i="2" s="1"/>
  <c r="K707" i="2"/>
  <c r="E708" i="3"/>
  <c r="K708" i="3" s="1"/>
  <c r="T708" i="2"/>
  <c r="C711" i="3"/>
  <c r="H711" i="2"/>
  <c r="I711" i="2" s="1"/>
  <c r="O711" i="2"/>
  <c r="P711" i="2" s="1"/>
  <c r="E716" i="3"/>
  <c r="K716" i="3" s="1"/>
  <c r="T716" i="2"/>
  <c r="K714" i="2"/>
  <c r="K718" i="2"/>
  <c r="L718" i="2" s="1"/>
  <c r="N720" i="3"/>
  <c r="I721" i="2"/>
  <c r="R721" i="2"/>
  <c r="K722" i="2"/>
  <c r="T722" i="2"/>
  <c r="M723" i="2"/>
  <c r="O724" i="2"/>
  <c r="P724" i="2" s="1"/>
  <c r="J598" i="3"/>
  <c r="S601" i="2"/>
  <c r="J602" i="3"/>
  <c r="L602" i="3"/>
  <c r="U602" i="2"/>
  <c r="S605" i="2"/>
  <c r="L606" i="3"/>
  <c r="H606" i="3"/>
  <c r="M606" i="3"/>
  <c r="S606" i="3" s="1"/>
  <c r="J606" i="3"/>
  <c r="I606" i="3"/>
  <c r="L606" i="2"/>
  <c r="U606" i="2"/>
  <c r="S609" i="2"/>
  <c r="H610" i="3"/>
  <c r="M610" i="3"/>
  <c r="S610" i="3" s="1"/>
  <c r="L610" i="3"/>
  <c r="I610" i="3"/>
  <c r="J610" i="3"/>
  <c r="L610" i="2"/>
  <c r="U610" i="2"/>
  <c r="S613" i="2"/>
  <c r="L614" i="3"/>
  <c r="I614" i="3"/>
  <c r="O614" i="3"/>
  <c r="J614" i="3"/>
  <c r="L614" i="2"/>
  <c r="U614" i="2"/>
  <c r="S617" i="2"/>
  <c r="H618" i="3"/>
  <c r="L618" i="3"/>
  <c r="J618" i="3"/>
  <c r="I618" i="3"/>
  <c r="U618" i="2"/>
  <c r="P620" i="2"/>
  <c r="S621" i="2"/>
  <c r="L622" i="3"/>
  <c r="I622" i="3"/>
  <c r="H622" i="3"/>
  <c r="M622" i="3"/>
  <c r="S622" i="3" s="1"/>
  <c r="J622" i="3"/>
  <c r="U622" i="2"/>
  <c r="S625" i="2"/>
  <c r="H626" i="3"/>
  <c r="L626" i="3"/>
  <c r="U626" i="2"/>
  <c r="S629" i="2"/>
  <c r="L630" i="3"/>
  <c r="J630" i="3"/>
  <c r="I630" i="3"/>
  <c r="H630" i="3"/>
  <c r="M630" i="3"/>
  <c r="S630" i="3" s="1"/>
  <c r="U630" i="2"/>
  <c r="S633" i="2"/>
  <c r="L634" i="3"/>
  <c r="U634" i="2"/>
  <c r="S637" i="2"/>
  <c r="L638" i="3"/>
  <c r="J638" i="3"/>
  <c r="I638" i="3"/>
  <c r="H638" i="3"/>
  <c r="M638" i="3"/>
  <c r="S638" i="3" s="1"/>
  <c r="U638" i="2"/>
  <c r="S641" i="2"/>
  <c r="H642" i="3"/>
  <c r="M642" i="3"/>
  <c r="S642" i="3" s="1"/>
  <c r="L642" i="3"/>
  <c r="J642" i="3"/>
  <c r="I642" i="3"/>
  <c r="P644" i="2"/>
  <c r="I646" i="3"/>
  <c r="H646" i="3"/>
  <c r="M646" i="3"/>
  <c r="S646" i="3" s="1"/>
  <c r="L646" i="3"/>
  <c r="M650" i="3"/>
  <c r="S650" i="3" s="1"/>
  <c r="L650" i="3"/>
  <c r="P652" i="2"/>
  <c r="I654" i="3"/>
  <c r="H654" i="3"/>
  <c r="M654" i="3"/>
  <c r="S654" i="3" s="1"/>
  <c r="L654" i="3"/>
  <c r="J654" i="3"/>
  <c r="S657" i="2"/>
  <c r="L658" i="3"/>
  <c r="L658" i="2"/>
  <c r="U658" i="2"/>
  <c r="P660" i="2"/>
  <c r="S661" i="2"/>
  <c r="I662" i="3"/>
  <c r="H662" i="3"/>
  <c r="L662" i="3"/>
  <c r="J662" i="3"/>
  <c r="L662" i="2"/>
  <c r="U662" i="2"/>
  <c r="P664" i="2"/>
  <c r="S665" i="2"/>
  <c r="M666" i="3"/>
  <c r="S666" i="3" s="1"/>
  <c r="L666" i="3"/>
  <c r="J666" i="3"/>
  <c r="I666" i="3"/>
  <c r="H666" i="3"/>
  <c r="L666" i="2"/>
  <c r="U666" i="2"/>
  <c r="P668" i="2"/>
  <c r="S669" i="2"/>
  <c r="I670" i="3"/>
  <c r="H670" i="3"/>
  <c r="M670" i="3"/>
  <c r="S670" i="3" s="1"/>
  <c r="L670" i="3"/>
  <c r="J670" i="3"/>
  <c r="U670" i="2"/>
  <c r="P672" i="2"/>
  <c r="S673" i="2"/>
  <c r="L674" i="3"/>
  <c r="L674" i="2"/>
  <c r="U674" i="2"/>
  <c r="P676" i="2"/>
  <c r="S677" i="2"/>
  <c r="M678" i="3"/>
  <c r="S678" i="3" s="1"/>
  <c r="L678" i="3"/>
  <c r="H678" i="3"/>
  <c r="I678" i="3"/>
  <c r="J678" i="3"/>
  <c r="U678" i="2"/>
  <c r="P680" i="2"/>
  <c r="S681" i="2"/>
  <c r="H682" i="3"/>
  <c r="O682" i="3"/>
  <c r="L682" i="3"/>
  <c r="M682" i="3"/>
  <c r="S682" i="3" s="1"/>
  <c r="L682" i="2"/>
  <c r="U682" i="2"/>
  <c r="P684" i="2"/>
  <c r="S685" i="2"/>
  <c r="M686" i="3"/>
  <c r="S686" i="3" s="1"/>
  <c r="L686" i="3"/>
  <c r="L686" i="2"/>
  <c r="U686" i="2"/>
  <c r="P688" i="2"/>
  <c r="S689" i="2"/>
  <c r="J690" i="3"/>
  <c r="I690" i="3"/>
  <c r="H690" i="3"/>
  <c r="L690" i="3"/>
  <c r="L690" i="2"/>
  <c r="U690" i="2"/>
  <c r="S693" i="2"/>
  <c r="J694" i="3"/>
  <c r="M694" i="3"/>
  <c r="S694" i="3" s="1"/>
  <c r="L694" i="3"/>
  <c r="H694" i="3"/>
  <c r="L694" i="2"/>
  <c r="U694" i="2"/>
  <c r="S697" i="2"/>
  <c r="L698" i="3"/>
  <c r="J698" i="3"/>
  <c r="M698" i="3"/>
  <c r="S698" i="3" s="1"/>
  <c r="H698" i="3"/>
  <c r="I698" i="3"/>
  <c r="U698" i="2"/>
  <c r="S701" i="2"/>
  <c r="J702" i="3"/>
  <c r="I702" i="3"/>
  <c r="M702" i="3"/>
  <c r="S702" i="3" s="1"/>
  <c r="L702" i="3"/>
  <c r="H702" i="3"/>
  <c r="U702" i="2"/>
  <c r="H704" i="2"/>
  <c r="S705" i="2"/>
  <c r="M706" i="3"/>
  <c r="S706" i="3" s="1"/>
  <c r="L706" i="3"/>
  <c r="J706" i="3"/>
  <c r="I706" i="3"/>
  <c r="H706" i="3"/>
  <c r="L706" i="2"/>
  <c r="U706" i="2"/>
  <c r="H708" i="2"/>
  <c r="I708" i="2" s="1"/>
  <c r="S709" i="2"/>
  <c r="J710" i="3"/>
  <c r="M710" i="3"/>
  <c r="S710" i="3" s="1"/>
  <c r="I710" i="3"/>
  <c r="H710" i="3"/>
  <c r="L710" i="3"/>
  <c r="L710" i="2"/>
  <c r="U710" i="2"/>
  <c r="H712" i="2"/>
  <c r="I712" i="2" s="1"/>
  <c r="S713" i="2"/>
  <c r="J714" i="3"/>
  <c r="H714" i="3"/>
  <c r="M714" i="3"/>
  <c r="S714" i="3" s="1"/>
  <c r="L714" i="3"/>
  <c r="I714" i="3"/>
  <c r="L714" i="2"/>
  <c r="H716" i="2"/>
  <c r="J718" i="3"/>
  <c r="M718" i="3"/>
  <c r="S718" i="3" s="1"/>
  <c r="L718" i="3"/>
  <c r="H718" i="3"/>
  <c r="I718" i="3"/>
  <c r="N719" i="2"/>
  <c r="H720" i="2"/>
  <c r="M722" i="3"/>
  <c r="S722" i="3" s="1"/>
  <c r="L722" i="3"/>
  <c r="J722" i="3"/>
  <c r="I722" i="3"/>
  <c r="H722" i="3"/>
  <c r="L722" i="2"/>
  <c r="N723" i="2"/>
  <c r="S725" i="2"/>
  <c r="K701" i="2"/>
  <c r="L701" i="2" s="1"/>
  <c r="T701" i="2"/>
  <c r="K705" i="2"/>
  <c r="T705" i="2"/>
  <c r="K709" i="2"/>
  <c r="L709" i="2" s="1"/>
  <c r="N711" i="3"/>
  <c r="K713" i="2"/>
  <c r="L713" i="2" s="1"/>
  <c r="M714" i="2"/>
  <c r="N714" i="2" s="1"/>
  <c r="I716" i="2"/>
  <c r="R716" i="2"/>
  <c r="K717" i="2"/>
  <c r="M718" i="2"/>
  <c r="N718" i="2" s="1"/>
  <c r="I720" i="2"/>
  <c r="R720" i="2"/>
  <c r="K721" i="2"/>
  <c r="L721" i="2" s="1"/>
  <c r="M722" i="2"/>
  <c r="O723" i="2"/>
  <c r="K725" i="2"/>
  <c r="L725" i="2" s="1"/>
  <c r="T725" i="2"/>
  <c r="M601" i="3"/>
  <c r="S601" i="3" s="1"/>
  <c r="L601" i="3"/>
  <c r="J601" i="3"/>
  <c r="I601" i="3"/>
  <c r="H601" i="3"/>
  <c r="L601" i="2"/>
  <c r="O605" i="3"/>
  <c r="J605" i="3"/>
  <c r="I605" i="3"/>
  <c r="H605" i="3"/>
  <c r="M605" i="3"/>
  <c r="S605" i="3" s="1"/>
  <c r="L605" i="3"/>
  <c r="L605" i="2"/>
  <c r="J609" i="3"/>
  <c r="O609" i="3"/>
  <c r="L609" i="2"/>
  <c r="S612" i="2"/>
  <c r="O613" i="3"/>
  <c r="L613" i="3"/>
  <c r="U613" i="2"/>
  <c r="S616" i="2"/>
  <c r="J617" i="3"/>
  <c r="H617" i="3"/>
  <c r="M617" i="3"/>
  <c r="S617" i="3" s="1"/>
  <c r="L617" i="3"/>
  <c r="U617" i="2"/>
  <c r="S620" i="2"/>
  <c r="L621" i="3"/>
  <c r="I621" i="3"/>
  <c r="H621" i="3"/>
  <c r="U621" i="2"/>
  <c r="S624" i="2"/>
  <c r="J625" i="3"/>
  <c r="H625" i="3"/>
  <c r="L625" i="3"/>
  <c r="I625" i="3"/>
  <c r="L625" i="2"/>
  <c r="U625" i="2"/>
  <c r="S628" i="2"/>
  <c r="L629" i="3"/>
  <c r="I629" i="3"/>
  <c r="H629" i="3"/>
  <c r="U629" i="2"/>
  <c r="S632" i="2"/>
  <c r="M633" i="3"/>
  <c r="S633" i="3" s="1"/>
  <c r="L633" i="3"/>
  <c r="U633" i="2"/>
  <c r="M637" i="3"/>
  <c r="S637" i="3" s="1"/>
  <c r="L637" i="3"/>
  <c r="J637" i="3"/>
  <c r="I637" i="3"/>
  <c r="H637" i="3"/>
  <c r="L637" i="2"/>
  <c r="J641" i="3"/>
  <c r="I641" i="3"/>
  <c r="M641" i="3"/>
  <c r="S641" i="3" s="1"/>
  <c r="L641" i="3"/>
  <c r="L641" i="2"/>
  <c r="L645" i="3"/>
  <c r="J645" i="3"/>
  <c r="I645" i="3"/>
  <c r="M645" i="3"/>
  <c r="S645" i="3" s="1"/>
  <c r="H645" i="3"/>
  <c r="L645" i="2"/>
  <c r="S648" i="2"/>
  <c r="H649" i="3"/>
  <c r="M649" i="3"/>
  <c r="S649" i="3" s="1"/>
  <c r="L649" i="3"/>
  <c r="J649" i="3"/>
  <c r="I649" i="3"/>
  <c r="U649" i="2"/>
  <c r="P651" i="2"/>
  <c r="S652" i="2"/>
  <c r="L653" i="3"/>
  <c r="J653" i="3"/>
  <c r="I653" i="3"/>
  <c r="H653" i="3"/>
  <c r="M653" i="3"/>
  <c r="S653" i="3" s="1"/>
  <c r="U653" i="2"/>
  <c r="S656" i="2"/>
  <c r="H657" i="3"/>
  <c r="L657" i="3"/>
  <c r="J657" i="3"/>
  <c r="U657" i="2"/>
  <c r="P659" i="2"/>
  <c r="S660" i="2"/>
  <c r="L661" i="3"/>
  <c r="J661" i="3"/>
  <c r="I661" i="3"/>
  <c r="H661" i="3"/>
  <c r="M661" i="3"/>
  <c r="S661" i="3" s="1"/>
  <c r="U661" i="2"/>
  <c r="S664" i="2"/>
  <c r="H665" i="3"/>
  <c r="L665" i="3"/>
  <c r="J665" i="3"/>
  <c r="I665" i="3"/>
  <c r="U665" i="2"/>
  <c r="S668" i="2"/>
  <c r="L669" i="3"/>
  <c r="J669" i="3"/>
  <c r="I669" i="3"/>
  <c r="L669" i="2"/>
  <c r="U669" i="2"/>
  <c r="S672" i="2"/>
  <c r="M673" i="3"/>
  <c r="S673" i="3" s="1"/>
  <c r="L673" i="3"/>
  <c r="U673" i="2"/>
  <c r="S676" i="2"/>
  <c r="I677" i="3"/>
  <c r="H677" i="3"/>
  <c r="M677" i="3"/>
  <c r="S677" i="3" s="1"/>
  <c r="L677" i="3"/>
  <c r="U677" i="2"/>
  <c r="S680" i="2"/>
  <c r="L681" i="3"/>
  <c r="U681" i="2"/>
  <c r="L685" i="3"/>
  <c r="M689" i="3"/>
  <c r="S689" i="3" s="1"/>
  <c r="L689" i="3"/>
  <c r="J689" i="3"/>
  <c r="I689" i="3"/>
  <c r="H689" i="3"/>
  <c r="L689" i="2"/>
  <c r="M693" i="3"/>
  <c r="S693" i="3" s="1"/>
  <c r="L693" i="3"/>
  <c r="J693" i="3"/>
  <c r="I693" i="3"/>
  <c r="H693" i="3"/>
  <c r="M697" i="3"/>
  <c r="S697" i="3" s="1"/>
  <c r="L697" i="3"/>
  <c r="M701" i="3"/>
  <c r="S701" i="3" s="1"/>
  <c r="J701" i="3"/>
  <c r="H701" i="3"/>
  <c r="L701" i="3"/>
  <c r="I701" i="3"/>
  <c r="I705" i="3"/>
  <c r="M705" i="3"/>
  <c r="S705" i="3" s="1"/>
  <c r="L705" i="3"/>
  <c r="J705" i="3"/>
  <c r="H705" i="3"/>
  <c r="L705" i="2"/>
  <c r="M709" i="3"/>
  <c r="S709" i="3" s="1"/>
  <c r="J709" i="3"/>
  <c r="I709" i="3"/>
  <c r="L709" i="3"/>
  <c r="H709" i="3"/>
  <c r="I713" i="3"/>
  <c r="H713" i="3"/>
  <c r="L713" i="3"/>
  <c r="M713" i="3"/>
  <c r="S713" i="3" s="1"/>
  <c r="J713" i="3"/>
  <c r="P715" i="2"/>
  <c r="S716" i="2"/>
  <c r="M717" i="3"/>
  <c r="S717" i="3" s="1"/>
  <c r="H717" i="3"/>
  <c r="L717" i="3"/>
  <c r="I717" i="3"/>
  <c r="J717" i="3"/>
  <c r="L717" i="2"/>
  <c r="U717" i="2"/>
  <c r="S720" i="2"/>
  <c r="I721" i="3"/>
  <c r="M721" i="3"/>
  <c r="S721" i="3" s="1"/>
  <c r="J721" i="3"/>
  <c r="H721" i="3"/>
  <c r="L721" i="3"/>
  <c r="U721" i="2"/>
  <c r="N722" i="2"/>
  <c r="H723" i="2"/>
  <c r="P723" i="2"/>
  <c r="S724" i="2"/>
  <c r="M725" i="3"/>
  <c r="S725" i="3" s="1"/>
  <c r="J725" i="3"/>
  <c r="H725" i="3"/>
  <c r="L725" i="3"/>
  <c r="I725" i="3"/>
  <c r="U725" i="2"/>
  <c r="K700" i="2"/>
  <c r="M701" i="2"/>
  <c r="R703" i="2"/>
  <c r="K704" i="2"/>
  <c r="L704" i="2" s="1"/>
  <c r="R707" i="2"/>
  <c r="K708" i="2"/>
  <c r="L708" i="2" s="1"/>
  <c r="M709" i="2"/>
  <c r="R711" i="2"/>
  <c r="K712" i="2"/>
  <c r="M713" i="2"/>
  <c r="N713" i="2" s="1"/>
  <c r="O714" i="2"/>
  <c r="P714" i="2" s="1"/>
  <c r="I715" i="2"/>
  <c r="R715" i="2"/>
  <c r="M717" i="2"/>
  <c r="O718" i="2"/>
  <c r="R719" i="2"/>
  <c r="K720" i="2"/>
  <c r="M721" i="2"/>
  <c r="N721" i="2" s="1"/>
  <c r="O722" i="2"/>
  <c r="I723" i="2"/>
  <c r="R723" i="2"/>
  <c r="K724" i="2"/>
  <c r="L724" i="2" s="1"/>
  <c r="T724" i="2"/>
  <c r="M725" i="2"/>
  <c r="J612" i="3"/>
  <c r="I612" i="3"/>
  <c r="L612" i="3"/>
  <c r="M612" i="3"/>
  <c r="S612" i="3" s="1"/>
  <c r="H612" i="3"/>
  <c r="J616" i="3"/>
  <c r="H616" i="3"/>
  <c r="I616" i="3"/>
  <c r="S619" i="2"/>
  <c r="L620" i="3"/>
  <c r="M620" i="3"/>
  <c r="S620" i="3" s="1"/>
  <c r="U620" i="2"/>
  <c r="S623" i="2"/>
  <c r="M624" i="3"/>
  <c r="S624" i="3" s="1"/>
  <c r="J624" i="3"/>
  <c r="L624" i="3"/>
  <c r="I624" i="3"/>
  <c r="U624" i="2"/>
  <c r="S627" i="2"/>
  <c r="J628" i="3"/>
  <c r="M628" i="3"/>
  <c r="S628" i="3" s="1"/>
  <c r="L628" i="3"/>
  <c r="U628" i="2"/>
  <c r="S631" i="2"/>
  <c r="L632" i="3"/>
  <c r="J632" i="3"/>
  <c r="I632" i="3"/>
  <c r="H632" i="3"/>
  <c r="U632" i="2"/>
  <c r="S635" i="2"/>
  <c r="J636" i="3"/>
  <c r="I636" i="3"/>
  <c r="H636" i="3"/>
  <c r="M636" i="3"/>
  <c r="S636" i="3" s="1"/>
  <c r="L636" i="3"/>
  <c r="L636" i="2"/>
  <c r="U636" i="2"/>
  <c r="S639" i="2"/>
  <c r="M640" i="3"/>
  <c r="S640" i="3" s="1"/>
  <c r="L640" i="3"/>
  <c r="I640" i="3"/>
  <c r="H640" i="3"/>
  <c r="U640" i="2"/>
  <c r="S643" i="2"/>
  <c r="L644" i="3"/>
  <c r="U644" i="2"/>
  <c r="P646" i="2"/>
  <c r="S647" i="2"/>
  <c r="J648" i="3"/>
  <c r="I648" i="3"/>
  <c r="H648" i="3"/>
  <c r="M648" i="3"/>
  <c r="S648" i="3" s="1"/>
  <c r="L648" i="3"/>
  <c r="L648" i="2"/>
  <c r="U648" i="2"/>
  <c r="S651" i="2"/>
  <c r="M652" i="3"/>
  <c r="S652" i="3" s="1"/>
  <c r="L652" i="3"/>
  <c r="J652" i="3"/>
  <c r="I652" i="3"/>
  <c r="H652" i="3"/>
  <c r="U652" i="2"/>
  <c r="S655" i="2"/>
  <c r="L656" i="3"/>
  <c r="U656" i="2"/>
  <c r="P658" i="2"/>
  <c r="S659" i="2"/>
  <c r="M660" i="3"/>
  <c r="S660" i="3" s="1"/>
  <c r="L660" i="3"/>
  <c r="H660" i="3"/>
  <c r="U660" i="2"/>
  <c r="S663" i="2"/>
  <c r="L664" i="3"/>
  <c r="L664" i="2"/>
  <c r="U664" i="2"/>
  <c r="S667" i="2"/>
  <c r="L668" i="3"/>
  <c r="J668" i="3"/>
  <c r="I668" i="3"/>
  <c r="U668" i="2"/>
  <c r="S671" i="2"/>
  <c r="H672" i="3"/>
  <c r="M672" i="3"/>
  <c r="S672" i="3" s="1"/>
  <c r="L672" i="3"/>
  <c r="J672" i="3"/>
  <c r="I672" i="3"/>
  <c r="L672" i="2"/>
  <c r="U672" i="2"/>
  <c r="S675" i="2"/>
  <c r="L676" i="3"/>
  <c r="J676" i="3"/>
  <c r="I676" i="3"/>
  <c r="U676" i="2"/>
  <c r="S679" i="2"/>
  <c r="L680" i="3"/>
  <c r="L680" i="2"/>
  <c r="U680" i="2"/>
  <c r="P682" i="2"/>
  <c r="S683" i="2"/>
  <c r="M684" i="3"/>
  <c r="S684" i="3" s="1"/>
  <c r="L684" i="3"/>
  <c r="J684" i="3"/>
  <c r="I684" i="3"/>
  <c r="U684" i="2"/>
  <c r="P686" i="2"/>
  <c r="S687" i="2"/>
  <c r="I688" i="3"/>
  <c r="H688" i="3"/>
  <c r="M688" i="3"/>
  <c r="S688" i="3" s="1"/>
  <c r="J688" i="3"/>
  <c r="L688" i="3"/>
  <c r="U688" i="2"/>
  <c r="P690" i="2"/>
  <c r="S691" i="2"/>
  <c r="L692" i="3"/>
  <c r="J692" i="3"/>
  <c r="I692" i="3"/>
  <c r="U692" i="2"/>
  <c r="S695" i="2"/>
  <c r="L696" i="3"/>
  <c r="J696" i="3"/>
  <c r="I696" i="3"/>
  <c r="H696" i="3"/>
  <c r="M696" i="3"/>
  <c r="S696" i="3" s="1"/>
  <c r="U696" i="2"/>
  <c r="S699" i="2"/>
  <c r="H700" i="3"/>
  <c r="J700" i="3"/>
  <c r="L700" i="3"/>
  <c r="L700" i="2"/>
  <c r="U700" i="2"/>
  <c r="N701" i="2"/>
  <c r="P702" i="2"/>
  <c r="S703" i="2"/>
  <c r="L704" i="3"/>
  <c r="M704" i="3"/>
  <c r="S704" i="3" s="1"/>
  <c r="J704" i="3"/>
  <c r="U704" i="2"/>
  <c r="S707" i="2"/>
  <c r="H708" i="3"/>
  <c r="L708" i="3"/>
  <c r="J708" i="3"/>
  <c r="M708" i="3"/>
  <c r="S708" i="3" s="1"/>
  <c r="I708" i="3"/>
  <c r="U708" i="2"/>
  <c r="N709" i="2"/>
  <c r="P710" i="2"/>
  <c r="S711" i="2"/>
  <c r="L712" i="3"/>
  <c r="I712" i="3"/>
  <c r="H712" i="3"/>
  <c r="M712" i="3"/>
  <c r="S712" i="3" s="1"/>
  <c r="J712" i="3"/>
  <c r="O712" i="3"/>
  <c r="L712" i="2"/>
  <c r="U712" i="2"/>
  <c r="H714" i="2"/>
  <c r="I714" i="2" s="1"/>
  <c r="S715" i="2"/>
  <c r="I716" i="3"/>
  <c r="M716" i="3"/>
  <c r="S716" i="3" s="1"/>
  <c r="J716" i="3"/>
  <c r="L716" i="3"/>
  <c r="U716" i="2"/>
  <c r="N717" i="2"/>
  <c r="H718" i="2"/>
  <c r="I718" i="2" s="1"/>
  <c r="P718" i="2"/>
  <c r="S719" i="2"/>
  <c r="L720" i="3"/>
  <c r="M720" i="3"/>
  <c r="S720" i="3" s="1"/>
  <c r="H720" i="3"/>
  <c r="L720" i="2"/>
  <c r="U720" i="2"/>
  <c r="P722" i="2"/>
  <c r="H724" i="3"/>
  <c r="L724" i="3"/>
  <c r="I724" i="3"/>
  <c r="O724" i="3"/>
  <c r="M724" i="3"/>
  <c r="S724" i="3" s="1"/>
  <c r="J724" i="3"/>
  <c r="N725" i="2"/>
  <c r="K723" i="2"/>
  <c r="T723" i="2"/>
  <c r="M724" i="2"/>
  <c r="N724" i="2" s="1"/>
  <c r="O725" i="2"/>
  <c r="M619" i="3"/>
  <c r="S619" i="3" s="1"/>
  <c r="L619" i="3"/>
  <c r="J619" i="3"/>
  <c r="I619" i="3"/>
  <c r="H619" i="3"/>
  <c r="I623" i="3"/>
  <c r="H623" i="3"/>
  <c r="M623" i="3"/>
  <c r="S623" i="3" s="1"/>
  <c r="J623" i="3"/>
  <c r="L623" i="3"/>
  <c r="L623" i="2"/>
  <c r="M627" i="3"/>
  <c r="S627" i="3" s="1"/>
  <c r="L627" i="3"/>
  <c r="J627" i="3"/>
  <c r="I627" i="3"/>
  <c r="H627" i="3"/>
  <c r="I631" i="3"/>
  <c r="H631" i="3"/>
  <c r="M631" i="3"/>
  <c r="S631" i="3" s="1"/>
  <c r="L631" i="3"/>
  <c r="J631" i="3"/>
  <c r="L631" i="2"/>
  <c r="M635" i="3"/>
  <c r="S635" i="3" s="1"/>
  <c r="L635" i="3"/>
  <c r="J635" i="3"/>
  <c r="I635" i="3"/>
  <c r="H635" i="3"/>
  <c r="I639" i="3"/>
  <c r="H639" i="3"/>
  <c r="M639" i="3"/>
  <c r="S639" i="3" s="1"/>
  <c r="L639" i="3"/>
  <c r="J639" i="3"/>
  <c r="L643" i="3"/>
  <c r="L643" i="2"/>
  <c r="M647" i="3"/>
  <c r="S647" i="3" s="1"/>
  <c r="L647" i="3"/>
  <c r="J647" i="3"/>
  <c r="I647" i="3"/>
  <c r="H647" i="3"/>
  <c r="J651" i="3"/>
  <c r="I651" i="3"/>
  <c r="M651" i="3"/>
  <c r="S651" i="3" s="1"/>
  <c r="L651" i="3"/>
  <c r="M655" i="3"/>
  <c r="S655" i="3" s="1"/>
  <c r="L655" i="3"/>
  <c r="J655" i="3"/>
  <c r="I655" i="3"/>
  <c r="H655" i="3"/>
  <c r="L655" i="2"/>
  <c r="L659" i="3"/>
  <c r="L659" i="2"/>
  <c r="M663" i="3"/>
  <c r="S663" i="3" s="1"/>
  <c r="L663" i="3"/>
  <c r="J663" i="3"/>
  <c r="I663" i="3"/>
  <c r="H663" i="3"/>
  <c r="J667" i="3"/>
  <c r="I667" i="3"/>
  <c r="H667" i="3"/>
  <c r="M667" i="3"/>
  <c r="S667" i="3" s="1"/>
  <c r="L667" i="3"/>
  <c r="M671" i="3"/>
  <c r="S671" i="3" s="1"/>
  <c r="L671" i="3"/>
  <c r="J671" i="3"/>
  <c r="I671" i="3"/>
  <c r="H671" i="3"/>
  <c r="L671" i="2"/>
  <c r="M675" i="3"/>
  <c r="S675" i="3" s="1"/>
  <c r="L675" i="3"/>
  <c r="I675" i="3"/>
  <c r="J675" i="3"/>
  <c r="H675" i="3"/>
  <c r="L675" i="2"/>
  <c r="L679" i="3"/>
  <c r="L683" i="3"/>
  <c r="J683" i="3"/>
  <c r="L687" i="3"/>
  <c r="H691" i="3"/>
  <c r="M691" i="3"/>
  <c r="S691" i="3" s="1"/>
  <c r="L691" i="3"/>
  <c r="O695" i="3"/>
  <c r="L695" i="3"/>
  <c r="J695" i="3"/>
  <c r="I695" i="3"/>
  <c r="H695" i="3"/>
  <c r="M695" i="3"/>
  <c r="S695" i="3" s="1"/>
  <c r="L695" i="2"/>
  <c r="S698" i="2"/>
  <c r="L699" i="3"/>
  <c r="I699" i="3"/>
  <c r="M699" i="3"/>
  <c r="S699" i="3" s="1"/>
  <c r="J699" i="3"/>
  <c r="H699" i="3"/>
  <c r="L699" i="2"/>
  <c r="U699" i="2"/>
  <c r="H701" i="2"/>
  <c r="I701" i="2" s="1"/>
  <c r="S702" i="2"/>
  <c r="L703" i="3"/>
  <c r="J703" i="3"/>
  <c r="H703" i="3"/>
  <c r="U703" i="2"/>
  <c r="H705" i="2"/>
  <c r="I705" i="2" s="1"/>
  <c r="S706" i="2"/>
  <c r="M707" i="3"/>
  <c r="S707" i="3" s="1"/>
  <c r="L707" i="3"/>
  <c r="J707" i="3"/>
  <c r="I707" i="3"/>
  <c r="H707" i="3"/>
  <c r="L707" i="2"/>
  <c r="U707" i="2"/>
  <c r="H709" i="2"/>
  <c r="S710" i="2"/>
  <c r="O711" i="3"/>
  <c r="L711" i="3"/>
  <c r="J711" i="3"/>
  <c r="I711" i="3"/>
  <c r="H711" i="3"/>
  <c r="M711" i="3"/>
  <c r="S711" i="3" s="1"/>
  <c r="L711" i="2"/>
  <c r="U711" i="2"/>
  <c r="H713" i="2"/>
  <c r="I713" i="2" s="1"/>
  <c r="S714" i="2"/>
  <c r="I715" i="3"/>
  <c r="J715" i="3"/>
  <c r="H715" i="3"/>
  <c r="M715" i="3"/>
  <c r="S715" i="3" s="1"/>
  <c r="L715" i="3"/>
  <c r="U715" i="2"/>
  <c r="H717" i="2"/>
  <c r="I717" i="2" s="1"/>
  <c r="S718" i="2"/>
  <c r="L719" i="3"/>
  <c r="I719" i="3"/>
  <c r="J719" i="3"/>
  <c r="H719" i="3"/>
  <c r="M719" i="3"/>
  <c r="S719" i="3" s="1"/>
  <c r="L719" i="2"/>
  <c r="U719" i="2"/>
  <c r="H721" i="2"/>
  <c r="S722" i="2"/>
  <c r="M723" i="3"/>
  <c r="S723" i="3" s="1"/>
  <c r="L723" i="3"/>
  <c r="I723" i="3"/>
  <c r="H723" i="3"/>
  <c r="J723" i="3"/>
  <c r="L723" i="2"/>
  <c r="U723" i="2"/>
  <c r="H725" i="2"/>
  <c r="I725" i="2" s="1"/>
  <c r="P725" i="2"/>
  <c r="W713" i="2" l="1"/>
  <c r="V713" i="2"/>
  <c r="J713" i="2"/>
  <c r="J707" i="2"/>
  <c r="W707" i="2"/>
  <c r="V707" i="2"/>
  <c r="O687" i="3"/>
  <c r="N719" i="3"/>
  <c r="O598" i="3"/>
  <c r="K683" i="3"/>
  <c r="M683" i="3"/>
  <c r="S683" i="3" s="1"/>
  <c r="H683" i="3"/>
  <c r="O683" i="3"/>
  <c r="W625" i="2"/>
  <c r="J625" i="2"/>
  <c r="V625" i="2"/>
  <c r="N568" i="3"/>
  <c r="K685" i="3"/>
  <c r="M685" i="3"/>
  <c r="S685" i="3" s="1"/>
  <c r="J685" i="3"/>
  <c r="I685" i="3"/>
  <c r="H685" i="3"/>
  <c r="O685" i="3"/>
  <c r="W632" i="2"/>
  <c r="J632" i="2"/>
  <c r="V632" i="2"/>
  <c r="K613" i="3"/>
  <c r="I613" i="3"/>
  <c r="H613" i="3"/>
  <c r="M613" i="3"/>
  <c r="S613" i="3" s="1"/>
  <c r="J613" i="3"/>
  <c r="M604" i="3"/>
  <c r="S604" i="3" s="1"/>
  <c r="L604" i="3"/>
  <c r="J604" i="3"/>
  <c r="I604" i="3"/>
  <c r="H604" i="3"/>
  <c r="O604" i="3"/>
  <c r="K680" i="3"/>
  <c r="O680" i="3"/>
  <c r="M680" i="3"/>
  <c r="S680" i="3" s="1"/>
  <c r="J680" i="3"/>
  <c r="N570" i="3"/>
  <c r="W611" i="2"/>
  <c r="V611" i="2"/>
  <c r="J611" i="2"/>
  <c r="O593" i="3"/>
  <c r="W665" i="2"/>
  <c r="J665" i="2"/>
  <c r="V665" i="2"/>
  <c r="N639" i="3"/>
  <c r="O594" i="3"/>
  <c r="O655" i="3"/>
  <c r="O716" i="3"/>
  <c r="O694" i="3"/>
  <c r="W689" i="2"/>
  <c r="J689" i="2"/>
  <c r="V689" i="2"/>
  <c r="N680" i="3"/>
  <c r="K673" i="3"/>
  <c r="J673" i="3"/>
  <c r="O673" i="3"/>
  <c r="I673" i="3"/>
  <c r="H673" i="3"/>
  <c r="W602" i="2"/>
  <c r="V602" i="2"/>
  <c r="J602" i="2"/>
  <c r="K607" i="3"/>
  <c r="I607" i="3"/>
  <c r="H607" i="3"/>
  <c r="J607" i="3"/>
  <c r="O544" i="3"/>
  <c r="W614" i="2"/>
  <c r="V614" i="2"/>
  <c r="J614" i="2"/>
  <c r="O607" i="3"/>
  <c r="N582" i="3"/>
  <c r="K676" i="3"/>
  <c r="O676" i="3"/>
  <c r="M676" i="3"/>
  <c r="S676" i="3" s="1"/>
  <c r="H676" i="3"/>
  <c r="N631" i="3"/>
  <c r="K703" i="3"/>
  <c r="M703" i="3"/>
  <c r="S703" i="3" s="1"/>
  <c r="O703" i="3"/>
  <c r="I703" i="3"/>
  <c r="H598" i="3"/>
  <c r="M598" i="3"/>
  <c r="S598" i="3" s="1"/>
  <c r="K598" i="3"/>
  <c r="L598" i="3"/>
  <c r="I598" i="3"/>
  <c r="V576" i="2"/>
  <c r="J576" i="2"/>
  <c r="W576" i="2"/>
  <c r="O574" i="3"/>
  <c r="V564" i="2"/>
  <c r="J564" i="2"/>
  <c r="W564" i="2"/>
  <c r="W440" i="2"/>
  <c r="V440" i="2"/>
  <c r="J440" i="2"/>
  <c r="K570" i="3"/>
  <c r="I570" i="3"/>
  <c r="O570" i="3"/>
  <c r="H570" i="3"/>
  <c r="J570" i="3"/>
  <c r="O498" i="3"/>
  <c r="N504" i="3"/>
  <c r="W492" i="2"/>
  <c r="V492" i="2"/>
  <c r="J492" i="2"/>
  <c r="N583" i="3"/>
  <c r="M473" i="3"/>
  <c r="S473" i="3" s="1"/>
  <c r="L473" i="3"/>
  <c r="J473" i="3"/>
  <c r="I473" i="3"/>
  <c r="H473" i="3"/>
  <c r="O473" i="3"/>
  <c r="O349" i="3"/>
  <c r="J348" i="2"/>
  <c r="W348" i="2"/>
  <c r="V348" i="2"/>
  <c r="W327" i="2"/>
  <c r="V327" i="2"/>
  <c r="J327" i="2"/>
  <c r="L559" i="3"/>
  <c r="J559" i="3"/>
  <c r="H559" i="3"/>
  <c r="O559" i="3"/>
  <c r="M559" i="3"/>
  <c r="S559" i="3" s="1"/>
  <c r="I559" i="3"/>
  <c r="K375" i="3"/>
  <c r="J375" i="3"/>
  <c r="O375" i="3"/>
  <c r="M375" i="3"/>
  <c r="S375" i="3" s="1"/>
  <c r="H375" i="3"/>
  <c r="K362" i="3"/>
  <c r="J362" i="3"/>
  <c r="I362" i="3"/>
  <c r="H362" i="3"/>
  <c r="O362" i="3"/>
  <c r="J675" i="2"/>
  <c r="W675" i="2"/>
  <c r="V675" i="2"/>
  <c r="N354" i="3"/>
  <c r="K367" i="3"/>
  <c r="H367" i="3"/>
  <c r="J367" i="3"/>
  <c r="I367" i="3"/>
  <c r="O367" i="3"/>
  <c r="M367" i="3"/>
  <c r="S367" i="3" s="1"/>
  <c r="K370" i="3"/>
  <c r="H370" i="3"/>
  <c r="M370" i="3"/>
  <c r="S370" i="3" s="1"/>
  <c r="J370" i="3"/>
  <c r="I370" i="3"/>
  <c r="O316" i="3"/>
  <c r="M271" i="3"/>
  <c r="S271" i="3" s="1"/>
  <c r="L271" i="3"/>
  <c r="J271" i="3"/>
  <c r="I271" i="3"/>
  <c r="H271" i="3"/>
  <c r="O271" i="3"/>
  <c r="N208" i="3"/>
  <c r="V252" i="2"/>
  <c r="J252" i="2"/>
  <c r="W252" i="2"/>
  <c r="N119" i="3"/>
  <c r="J142" i="2"/>
  <c r="W142" i="2"/>
  <c r="V142" i="2"/>
  <c r="J134" i="2"/>
  <c r="W134" i="2"/>
  <c r="V134" i="2"/>
  <c r="J130" i="2"/>
  <c r="W130" i="2"/>
  <c r="V130" i="2"/>
  <c r="W69" i="2"/>
  <c r="J69" i="2"/>
  <c r="V69" i="2"/>
  <c r="W65" i="2"/>
  <c r="J65" i="2"/>
  <c r="V65" i="2"/>
  <c r="O47" i="3"/>
  <c r="W33" i="2"/>
  <c r="V33" i="2"/>
  <c r="J33" i="2"/>
  <c r="W29" i="2"/>
  <c r="V29" i="2"/>
  <c r="J29" i="2"/>
  <c r="W9" i="2"/>
  <c r="V9" i="2"/>
  <c r="J9" i="2"/>
  <c r="N158" i="3"/>
  <c r="W135" i="2"/>
  <c r="V135" i="2"/>
  <c r="J135" i="2"/>
  <c r="C8" i="4"/>
  <c r="B6" i="4"/>
  <c r="A9" i="5" s="1"/>
  <c r="B19" i="4"/>
  <c r="E14" i="4"/>
  <c r="D13" i="4"/>
  <c r="D11" i="4"/>
  <c r="E8" i="4"/>
  <c r="C6" i="4"/>
  <c r="D19" i="4"/>
  <c r="E16" i="4"/>
  <c r="C11" i="4"/>
  <c r="D9" i="4"/>
  <c r="E7" i="4"/>
  <c r="B16" i="4"/>
  <c r="C20" i="4"/>
  <c r="E19" i="4"/>
  <c r="C17" i="4"/>
  <c r="D14" i="4"/>
  <c r="C7" i="4"/>
  <c r="D6" i="4"/>
  <c r="E11" i="4"/>
  <c r="B7" i="4"/>
  <c r="C18" i="4"/>
  <c r="D17" i="4"/>
  <c r="B15" i="4"/>
  <c r="B12" i="4"/>
  <c r="E17" i="4"/>
  <c r="D16" i="4"/>
  <c r="D20" i="4"/>
  <c r="D12" i="4"/>
  <c r="C16" i="4"/>
  <c r="C15" i="4"/>
  <c r="E12" i="4"/>
  <c r="E9" i="4"/>
  <c r="E13" i="4"/>
  <c r="C13" i="4"/>
  <c r="B11" i="4"/>
  <c r="E15" i="4"/>
  <c r="C14" i="4"/>
  <c r="B13" i="4"/>
  <c r="D10" i="4"/>
  <c r="D7" i="4"/>
  <c r="B10" i="4"/>
  <c r="C9" i="4"/>
  <c r="B20" i="4"/>
  <c r="B14" i="4"/>
  <c r="C12" i="4"/>
  <c r="E10" i="4"/>
  <c r="B8" i="4"/>
  <c r="E20" i="4"/>
  <c r="E6" i="4"/>
  <c r="E18" i="4"/>
  <c r="B9" i="4"/>
  <c r="C10" i="4"/>
  <c r="D8" i="4"/>
  <c r="C19" i="4"/>
  <c r="D18" i="4"/>
  <c r="B17" i="4"/>
  <c r="D15" i="4"/>
  <c r="B18" i="4"/>
  <c r="N127" i="3"/>
  <c r="W271" i="2"/>
  <c r="J271" i="2"/>
  <c r="V271" i="2"/>
  <c r="W717" i="2"/>
  <c r="V717" i="2"/>
  <c r="J717" i="2"/>
  <c r="P538" i="3"/>
  <c r="T538" i="3" s="1"/>
  <c r="J658" i="2"/>
  <c r="W658" i="2"/>
  <c r="V658" i="2"/>
  <c r="W354" i="2"/>
  <c r="V354" i="2"/>
  <c r="J354" i="2"/>
  <c r="N278" i="3"/>
  <c r="W222" i="2"/>
  <c r="V222" i="2"/>
  <c r="J222" i="2"/>
  <c r="J186" i="2"/>
  <c r="W186" i="2"/>
  <c r="V186" i="2"/>
  <c r="V289" i="2"/>
  <c r="J289" i="2"/>
  <c r="W289" i="2"/>
  <c r="J138" i="2"/>
  <c r="W138" i="2"/>
  <c r="V138" i="2"/>
  <c r="J126" i="2"/>
  <c r="W126" i="2"/>
  <c r="V126" i="2"/>
  <c r="J101" i="2"/>
  <c r="W101" i="2"/>
  <c r="V101" i="2"/>
  <c r="W97" i="2"/>
  <c r="V97" i="2"/>
  <c r="J97" i="2"/>
  <c r="W149" i="2"/>
  <c r="V149" i="2"/>
  <c r="J149" i="2"/>
  <c r="W137" i="2"/>
  <c r="V137" i="2"/>
  <c r="J137" i="2"/>
  <c r="W701" i="2"/>
  <c r="V701" i="2"/>
  <c r="J701" i="2"/>
  <c r="I683" i="3"/>
  <c r="O643" i="3"/>
  <c r="O619" i="3"/>
  <c r="J718" i="2"/>
  <c r="W718" i="2"/>
  <c r="V718" i="2"/>
  <c r="O633" i="3"/>
  <c r="J706" i="2"/>
  <c r="W706" i="2"/>
  <c r="V706" i="2"/>
  <c r="J694" i="2"/>
  <c r="W694" i="2"/>
  <c r="V694" i="2"/>
  <c r="J690" i="2"/>
  <c r="W690" i="2"/>
  <c r="V690" i="2"/>
  <c r="O616" i="3"/>
  <c r="J683" i="2"/>
  <c r="W683" i="2"/>
  <c r="V683" i="2"/>
  <c r="W660" i="2"/>
  <c r="J660" i="2"/>
  <c r="V660" i="2"/>
  <c r="W621" i="2"/>
  <c r="J621" i="2"/>
  <c r="V621" i="2"/>
  <c r="N569" i="3"/>
  <c r="N537" i="3"/>
  <c r="N517" i="3"/>
  <c r="K669" i="3"/>
  <c r="H669" i="3"/>
  <c r="O669" i="3"/>
  <c r="M669" i="3"/>
  <c r="S669" i="3" s="1"/>
  <c r="W645" i="2"/>
  <c r="J645" i="2"/>
  <c r="V645" i="2"/>
  <c r="J616" i="2"/>
  <c r="V616" i="2"/>
  <c r="W616" i="2"/>
  <c r="N550" i="3"/>
  <c r="N608" i="3"/>
  <c r="V536" i="2"/>
  <c r="J536" i="2"/>
  <c r="W536" i="2"/>
  <c r="O535" i="3"/>
  <c r="N451" i="3"/>
  <c r="W408" i="2"/>
  <c r="J408" i="2"/>
  <c r="V408" i="2"/>
  <c r="N391" i="3"/>
  <c r="L513" i="3"/>
  <c r="J513" i="3"/>
  <c r="I513" i="3"/>
  <c r="H513" i="3"/>
  <c r="O513" i="3"/>
  <c r="M513" i="3"/>
  <c r="S513" i="3" s="1"/>
  <c r="O370" i="3"/>
  <c r="W472" i="2"/>
  <c r="V472" i="2"/>
  <c r="J472" i="2"/>
  <c r="O540" i="3"/>
  <c r="O511" i="3"/>
  <c r="O424" i="3"/>
  <c r="O369" i="3"/>
  <c r="W335" i="2"/>
  <c r="V335" i="2"/>
  <c r="J335" i="2"/>
  <c r="K353" i="3"/>
  <c r="O353" i="3"/>
  <c r="M353" i="3"/>
  <c r="S353" i="3" s="1"/>
  <c r="I353" i="3"/>
  <c r="H353" i="3"/>
  <c r="L353" i="3"/>
  <c r="O313" i="3"/>
  <c r="O293" i="3"/>
  <c r="J400" i="2"/>
  <c r="W400" i="2"/>
  <c r="V400" i="2"/>
  <c r="J344" i="2"/>
  <c r="W344" i="2"/>
  <c r="V344" i="2"/>
  <c r="J304" i="2"/>
  <c r="V304" i="2"/>
  <c r="W304" i="2"/>
  <c r="O302" i="3"/>
  <c r="K405" i="3"/>
  <c r="M405" i="3"/>
  <c r="S405" i="3" s="1"/>
  <c r="I405" i="3"/>
  <c r="H405" i="3"/>
  <c r="O405" i="3"/>
  <c r="J405" i="3"/>
  <c r="N280" i="3"/>
  <c r="N301" i="3"/>
  <c r="W375" i="2"/>
  <c r="V375" i="2"/>
  <c r="J375" i="2"/>
  <c r="W221" i="2"/>
  <c r="V221" i="2"/>
  <c r="J221" i="2"/>
  <c r="W270" i="2"/>
  <c r="J270" i="2"/>
  <c r="V270" i="2"/>
  <c r="J175" i="2"/>
  <c r="W175" i="2"/>
  <c r="V175" i="2"/>
  <c r="V244" i="2"/>
  <c r="J244" i="2"/>
  <c r="W244" i="2"/>
  <c r="L272" i="3"/>
  <c r="K272" i="3"/>
  <c r="I272" i="3"/>
  <c r="H272" i="3"/>
  <c r="O272" i="3"/>
  <c r="M272" i="3"/>
  <c r="S272" i="3" s="1"/>
  <c r="N220" i="3"/>
  <c r="H182" i="3"/>
  <c r="O182" i="3"/>
  <c r="M182" i="3"/>
  <c r="S182" i="3" s="1"/>
  <c r="L182" i="3"/>
  <c r="J182" i="3"/>
  <c r="I182" i="3"/>
  <c r="O159" i="3"/>
  <c r="O312" i="3"/>
  <c r="O277" i="3"/>
  <c r="O516" i="3"/>
  <c r="O443" i="3"/>
  <c r="O374" i="3"/>
  <c r="O176" i="3"/>
  <c r="O147" i="3"/>
  <c r="O337" i="3"/>
  <c r="O451" i="3"/>
  <c r="O512" i="3"/>
  <c r="O410" i="3"/>
  <c r="O173" i="3"/>
  <c r="O192" i="3"/>
  <c r="O127" i="3"/>
  <c r="O266" i="3"/>
  <c r="O297" i="3"/>
  <c r="O411" i="3"/>
  <c r="O467" i="3"/>
  <c r="O442" i="3"/>
  <c r="O133" i="3"/>
  <c r="O184" i="3"/>
  <c r="O250" i="3"/>
  <c r="O334" i="3"/>
  <c r="O265" i="3"/>
  <c r="O427" i="3"/>
  <c r="O165" i="3"/>
  <c r="O191" i="3"/>
  <c r="O292" i="3"/>
  <c r="O331" i="3"/>
  <c r="O254" i="3"/>
  <c r="O305" i="3"/>
  <c r="O391" i="3"/>
  <c r="O413" i="3"/>
  <c r="O435" i="3"/>
  <c r="O145" i="3"/>
  <c r="O204" i="3"/>
  <c r="O115" i="3"/>
  <c r="O383" i="3"/>
  <c r="O342" i="3"/>
  <c r="O419" i="3"/>
  <c r="O459" i="3"/>
  <c r="O536" i="3"/>
  <c r="P536" i="3" s="1"/>
  <c r="J93" i="2"/>
  <c r="W93" i="2"/>
  <c r="V93" i="2"/>
  <c r="J57" i="2"/>
  <c r="W57" i="2"/>
  <c r="V57" i="2"/>
  <c r="W53" i="2"/>
  <c r="V53" i="2"/>
  <c r="J53" i="2"/>
  <c r="O51" i="3"/>
  <c r="W25" i="2"/>
  <c r="V25" i="2"/>
  <c r="J25" i="2"/>
  <c r="W21" i="2"/>
  <c r="V21" i="2"/>
  <c r="J21" i="2"/>
  <c r="O38" i="3"/>
  <c r="O121" i="3"/>
  <c r="W147" i="2"/>
  <c r="V147" i="2"/>
  <c r="J147" i="2"/>
  <c r="W127" i="2"/>
  <c r="V127" i="2"/>
  <c r="J127" i="2"/>
  <c r="J671" i="2"/>
  <c r="W671" i="2"/>
  <c r="V671" i="2"/>
  <c r="J698" i="2"/>
  <c r="W698" i="2"/>
  <c r="V698" i="2"/>
  <c r="J691" i="2"/>
  <c r="W691" i="2"/>
  <c r="V691" i="2"/>
  <c r="K664" i="3"/>
  <c r="H664" i="3"/>
  <c r="O664" i="3"/>
  <c r="J664" i="3"/>
  <c r="I664" i="3"/>
  <c r="J646" i="2"/>
  <c r="W646" i="2"/>
  <c r="V646" i="2"/>
  <c r="K644" i="3"/>
  <c r="J644" i="3"/>
  <c r="I644" i="3"/>
  <c r="O644" i="3"/>
  <c r="M644" i="3"/>
  <c r="S644" i="3" s="1"/>
  <c r="O468" i="3"/>
  <c r="O268" i="3"/>
  <c r="M295" i="3"/>
  <c r="S295" i="3" s="1"/>
  <c r="L295" i="3"/>
  <c r="O295" i="3"/>
  <c r="J295" i="3"/>
  <c r="I295" i="3"/>
  <c r="H295" i="3"/>
  <c r="W275" i="2"/>
  <c r="V275" i="2"/>
  <c r="J275" i="2"/>
  <c r="C74" i="4"/>
  <c r="O647" i="3"/>
  <c r="O702" i="3"/>
  <c r="J630" i="2"/>
  <c r="W630" i="2"/>
  <c r="V630" i="2"/>
  <c r="W661" i="2"/>
  <c r="J661" i="2"/>
  <c r="V661" i="2"/>
  <c r="W709" i="2"/>
  <c r="V709" i="2"/>
  <c r="J709" i="2"/>
  <c r="W696" i="2"/>
  <c r="J696" i="2"/>
  <c r="V696" i="2"/>
  <c r="N659" i="3"/>
  <c r="K650" i="3"/>
  <c r="O650" i="3"/>
  <c r="J650" i="3"/>
  <c r="I650" i="3"/>
  <c r="H650" i="3"/>
  <c r="O592" i="3"/>
  <c r="O552" i="3"/>
  <c r="N690" i="3"/>
  <c r="K681" i="3"/>
  <c r="I681" i="3"/>
  <c r="H681" i="3"/>
  <c r="M681" i="3"/>
  <c r="S681" i="3" s="1"/>
  <c r="J681" i="3"/>
  <c r="O681" i="3"/>
  <c r="N656" i="3"/>
  <c r="W607" i="2"/>
  <c r="J607" i="2"/>
  <c r="V607" i="2"/>
  <c r="K602" i="3"/>
  <c r="I602" i="3"/>
  <c r="H602" i="3"/>
  <c r="O602" i="3"/>
  <c r="M602" i="3"/>
  <c r="S602" i="3" s="1"/>
  <c r="W676" i="2"/>
  <c r="J676" i="2"/>
  <c r="V676" i="2"/>
  <c r="O502" i="3"/>
  <c r="N632" i="3"/>
  <c r="O519" i="3"/>
  <c r="I480" i="3"/>
  <c r="H480" i="3"/>
  <c r="O480" i="3"/>
  <c r="M480" i="3"/>
  <c r="S480" i="3" s="1"/>
  <c r="L480" i="3"/>
  <c r="K480" i="3"/>
  <c r="H476" i="3"/>
  <c r="I476" i="3"/>
  <c r="K476" i="3"/>
  <c r="M476" i="3"/>
  <c r="S476" i="3" s="1"/>
  <c r="L476" i="3"/>
  <c r="H472" i="3"/>
  <c r="L472" i="3"/>
  <c r="O472" i="3"/>
  <c r="I472" i="3"/>
  <c r="K472" i="3"/>
  <c r="N404" i="3"/>
  <c r="L505" i="3"/>
  <c r="J505" i="3"/>
  <c r="I505" i="3"/>
  <c r="H505" i="3"/>
  <c r="O505" i="3"/>
  <c r="M505" i="3"/>
  <c r="S505" i="3" s="1"/>
  <c r="M472" i="3"/>
  <c r="S472" i="3" s="1"/>
  <c r="L489" i="3"/>
  <c r="J489" i="3"/>
  <c r="I489" i="3"/>
  <c r="H489" i="3"/>
  <c r="O489" i="3"/>
  <c r="M489" i="3"/>
  <c r="S489" i="3" s="1"/>
  <c r="K425" i="3"/>
  <c r="M425" i="3"/>
  <c r="S425" i="3" s="1"/>
  <c r="I425" i="3"/>
  <c r="H425" i="3"/>
  <c r="O425" i="3"/>
  <c r="W319" i="2"/>
  <c r="V319" i="2"/>
  <c r="J319" i="2"/>
  <c r="W311" i="2"/>
  <c r="V311" i="2"/>
  <c r="J311" i="2"/>
  <c r="J638" i="2"/>
  <c r="W638" i="2"/>
  <c r="V638" i="2"/>
  <c r="J345" i="2"/>
  <c r="W345" i="2"/>
  <c r="V345" i="2"/>
  <c r="W387" i="2"/>
  <c r="V387" i="2"/>
  <c r="J387" i="2"/>
  <c r="K449" i="3"/>
  <c r="M449" i="3"/>
  <c r="S449" i="3" s="1"/>
  <c r="I449" i="3"/>
  <c r="H449" i="3"/>
  <c r="O449" i="3"/>
  <c r="W371" i="2"/>
  <c r="J371" i="2"/>
  <c r="V371" i="2"/>
  <c r="O260" i="3"/>
  <c r="W205" i="2"/>
  <c r="V205" i="2"/>
  <c r="J205" i="2"/>
  <c r="N229" i="3"/>
  <c r="N264" i="3"/>
  <c r="J190" i="2"/>
  <c r="W190" i="2"/>
  <c r="V190" i="2"/>
  <c r="J191" i="2"/>
  <c r="V191" i="2"/>
  <c r="W191" i="2"/>
  <c r="V256" i="2"/>
  <c r="J256" i="2"/>
  <c r="W256" i="2"/>
  <c r="K306" i="3"/>
  <c r="I306" i="3"/>
  <c r="H306" i="3"/>
  <c r="O306" i="3"/>
  <c r="J306" i="3"/>
  <c r="M306" i="3"/>
  <c r="S306" i="3" s="1"/>
  <c r="O203" i="3"/>
  <c r="O167" i="3"/>
  <c r="O155" i="3"/>
  <c r="W89" i="2"/>
  <c r="V89" i="2"/>
  <c r="J89" i="2"/>
  <c r="W85" i="2"/>
  <c r="V85" i="2"/>
  <c r="J85" i="2"/>
  <c r="O27" i="3"/>
  <c r="L222" i="3"/>
  <c r="K222" i="3"/>
  <c r="H222" i="3"/>
  <c r="I222" i="3"/>
  <c r="O222" i="3"/>
  <c r="M222" i="3"/>
  <c r="S222" i="3" s="1"/>
  <c r="N131" i="3"/>
  <c r="N166" i="3"/>
  <c r="O116" i="3"/>
  <c r="W167" i="2"/>
  <c r="V167" i="2"/>
  <c r="J167" i="2"/>
  <c r="W139" i="2"/>
  <c r="V139" i="2"/>
  <c r="J139" i="2"/>
  <c r="K656" i="3"/>
  <c r="I656" i="3"/>
  <c r="H656" i="3"/>
  <c r="O656" i="3"/>
  <c r="M656" i="3"/>
  <c r="S656" i="3" s="1"/>
  <c r="Q511" i="3"/>
  <c r="P511" i="3"/>
  <c r="T511" i="3" s="1"/>
  <c r="V341" i="2"/>
  <c r="J341" i="2"/>
  <c r="W341" i="2"/>
  <c r="O201" i="3"/>
  <c r="V297" i="2"/>
  <c r="J297" i="2"/>
  <c r="W297" i="2"/>
  <c r="W287" i="2"/>
  <c r="V287" i="2"/>
  <c r="J287" i="2"/>
  <c r="W109" i="2"/>
  <c r="V109" i="2"/>
  <c r="J109" i="2"/>
  <c r="W61" i="2"/>
  <c r="V61" i="2"/>
  <c r="J61" i="2"/>
  <c r="W155" i="2"/>
  <c r="V155" i="2"/>
  <c r="J155" i="2"/>
  <c r="M679" i="3"/>
  <c r="S679" i="3" s="1"/>
  <c r="H680" i="3"/>
  <c r="M664" i="3"/>
  <c r="S664" i="3" s="1"/>
  <c r="H644" i="3"/>
  <c r="N699" i="3"/>
  <c r="W712" i="2"/>
  <c r="J712" i="2"/>
  <c r="V712" i="2"/>
  <c r="J711" i="2"/>
  <c r="W711" i="2"/>
  <c r="V711" i="2"/>
  <c r="W636" i="2"/>
  <c r="J636" i="2"/>
  <c r="V636" i="2"/>
  <c r="N588" i="3"/>
  <c r="N712" i="3"/>
  <c r="W704" i="2"/>
  <c r="J704" i="2"/>
  <c r="V704" i="2"/>
  <c r="N525" i="3"/>
  <c r="K674" i="3"/>
  <c r="M674" i="3"/>
  <c r="S674" i="3" s="1"/>
  <c r="J674" i="3"/>
  <c r="I674" i="3"/>
  <c r="H674" i="3"/>
  <c r="O674" i="3"/>
  <c r="K687" i="3"/>
  <c r="H687" i="3"/>
  <c r="M687" i="3"/>
  <c r="S687" i="3" s="1"/>
  <c r="I687" i="3"/>
  <c r="J687" i="3"/>
  <c r="J650" i="2"/>
  <c r="W650" i="2"/>
  <c r="V650" i="2"/>
  <c r="J622" i="2"/>
  <c r="W622" i="2"/>
  <c r="V622" i="2"/>
  <c r="N668" i="3"/>
  <c r="J619" i="2"/>
  <c r="W619" i="2"/>
  <c r="V619" i="2"/>
  <c r="O490" i="3"/>
  <c r="N482" i="3"/>
  <c r="W456" i="2"/>
  <c r="V456" i="2"/>
  <c r="J456" i="2"/>
  <c r="H496" i="3"/>
  <c r="I496" i="3"/>
  <c r="O496" i="3"/>
  <c r="M496" i="3"/>
  <c r="S496" i="3" s="1"/>
  <c r="L496" i="3"/>
  <c r="H492" i="3"/>
  <c r="O492" i="3"/>
  <c r="M492" i="3"/>
  <c r="S492" i="3" s="1"/>
  <c r="I492" i="3"/>
  <c r="K492" i="3"/>
  <c r="O488" i="3"/>
  <c r="M488" i="3"/>
  <c r="S488" i="3" s="1"/>
  <c r="I488" i="3"/>
  <c r="H488" i="3"/>
  <c r="L484" i="3"/>
  <c r="H484" i="3"/>
  <c r="O484" i="3"/>
  <c r="K484" i="3"/>
  <c r="M484" i="3"/>
  <c r="S484" i="3" s="1"/>
  <c r="L488" i="3"/>
  <c r="N499" i="3"/>
  <c r="W488" i="2"/>
  <c r="V488" i="2"/>
  <c r="J488" i="2"/>
  <c r="W480" i="2"/>
  <c r="V480" i="2"/>
  <c r="J480" i="2"/>
  <c r="N453" i="3"/>
  <c r="N421" i="3"/>
  <c r="W502" i="2"/>
  <c r="V502" i="2"/>
  <c r="J502" i="2"/>
  <c r="O491" i="3"/>
  <c r="O409" i="3"/>
  <c r="W378" i="2"/>
  <c r="V378" i="2"/>
  <c r="J378" i="2"/>
  <c r="N369" i="3"/>
  <c r="K347" i="3"/>
  <c r="J347" i="3"/>
  <c r="H347" i="3"/>
  <c r="I347" i="3"/>
  <c r="M347" i="3"/>
  <c r="S347" i="3" s="1"/>
  <c r="K399" i="3"/>
  <c r="H399" i="3"/>
  <c r="J399" i="3"/>
  <c r="I399" i="3"/>
  <c r="O399" i="3"/>
  <c r="M399" i="3"/>
  <c r="S399" i="3" s="1"/>
  <c r="N378" i="3"/>
  <c r="H360" i="3"/>
  <c r="O360" i="3"/>
  <c r="L360" i="3"/>
  <c r="J360" i="3"/>
  <c r="M360" i="3"/>
  <c r="S360" i="3" s="1"/>
  <c r="I360" i="3"/>
  <c r="W315" i="2"/>
  <c r="V315" i="2"/>
  <c r="J315" i="2"/>
  <c r="W436" i="2"/>
  <c r="V436" i="2"/>
  <c r="J436" i="2"/>
  <c r="J388" i="2"/>
  <c r="W388" i="2"/>
  <c r="V388" i="2"/>
  <c r="O278" i="3"/>
  <c r="K495" i="3"/>
  <c r="O495" i="3"/>
  <c r="M495" i="3"/>
  <c r="S495" i="3" s="1"/>
  <c r="J495" i="3"/>
  <c r="H495" i="3"/>
  <c r="K371" i="3"/>
  <c r="O371" i="3"/>
  <c r="M371" i="3"/>
  <c r="S371" i="3" s="1"/>
  <c r="H371" i="3"/>
  <c r="J371" i="3"/>
  <c r="W359" i="2"/>
  <c r="V359" i="2"/>
  <c r="J359" i="2"/>
  <c r="N292" i="3"/>
  <c r="V321" i="2"/>
  <c r="J321" i="2"/>
  <c r="W321" i="2"/>
  <c r="V317" i="2"/>
  <c r="J317" i="2"/>
  <c r="W317" i="2"/>
  <c r="N357" i="3"/>
  <c r="N333" i="3"/>
  <c r="W189" i="2"/>
  <c r="J189" i="2"/>
  <c r="V189" i="2"/>
  <c r="W291" i="2"/>
  <c r="V291" i="2"/>
  <c r="J291" i="2"/>
  <c r="J272" i="2"/>
  <c r="W272" i="2"/>
  <c r="V272" i="2"/>
  <c r="W243" i="2"/>
  <c r="J243" i="2"/>
  <c r="V243" i="2"/>
  <c r="N232" i="3"/>
  <c r="O228" i="3"/>
  <c r="O151" i="3"/>
  <c r="J81" i="2"/>
  <c r="W81" i="2"/>
  <c r="V81" i="2"/>
  <c r="W49" i="2"/>
  <c r="J49" i="2"/>
  <c r="V49" i="2"/>
  <c r="N126" i="3"/>
  <c r="O16" i="3"/>
  <c r="W159" i="2"/>
  <c r="V159" i="2"/>
  <c r="J159" i="2"/>
  <c r="J654" i="2"/>
  <c r="W654" i="2"/>
  <c r="V654" i="2"/>
  <c r="J623" i="2"/>
  <c r="W623" i="2"/>
  <c r="V623" i="2"/>
  <c r="Q619" i="3"/>
  <c r="P619" i="3"/>
  <c r="T619" i="3" s="1"/>
  <c r="O357" i="3"/>
  <c r="K534" i="3"/>
  <c r="O534" i="3"/>
  <c r="J534" i="3"/>
  <c r="I534" i="3"/>
  <c r="H534" i="3"/>
  <c r="V398" i="2"/>
  <c r="W398" i="2"/>
  <c r="J398" i="2"/>
  <c r="H392" i="3"/>
  <c r="O392" i="3"/>
  <c r="L392" i="3"/>
  <c r="J392" i="3"/>
  <c r="I392" i="3"/>
  <c r="M392" i="3"/>
  <c r="S392" i="3" s="1"/>
  <c r="W229" i="2"/>
  <c r="V229" i="2"/>
  <c r="J229" i="2"/>
  <c r="N224" i="3"/>
  <c r="O9" i="3"/>
  <c r="I207" i="3"/>
  <c r="K207" i="3"/>
  <c r="H207" i="3"/>
  <c r="M207" i="3"/>
  <c r="S207" i="3" s="1"/>
  <c r="L207" i="3"/>
  <c r="O207" i="3"/>
  <c r="W173" i="2"/>
  <c r="J173" i="2"/>
  <c r="V173" i="2"/>
  <c r="W125" i="2"/>
  <c r="V125" i="2"/>
  <c r="J125" i="2"/>
  <c r="O648" i="3"/>
  <c r="I680" i="3"/>
  <c r="N714" i="3"/>
  <c r="W708" i="2"/>
  <c r="J708" i="2"/>
  <c r="V708" i="2"/>
  <c r="W620" i="2"/>
  <c r="J620" i="2"/>
  <c r="V620" i="2"/>
  <c r="N596" i="3"/>
  <c r="K668" i="3"/>
  <c r="M668" i="3"/>
  <c r="S668" i="3" s="1"/>
  <c r="H668" i="3"/>
  <c r="O668" i="3"/>
  <c r="J667" i="2"/>
  <c r="W667" i="2"/>
  <c r="V667" i="2"/>
  <c r="K633" i="3"/>
  <c r="I633" i="3"/>
  <c r="H633" i="3"/>
  <c r="J633" i="3"/>
  <c r="N597" i="3"/>
  <c r="K658" i="3"/>
  <c r="H658" i="3"/>
  <c r="O658" i="3"/>
  <c r="M658" i="3"/>
  <c r="S658" i="3" s="1"/>
  <c r="J658" i="3"/>
  <c r="I658" i="3"/>
  <c r="J627" i="2"/>
  <c r="W627" i="2"/>
  <c r="V627" i="2"/>
  <c r="K603" i="3"/>
  <c r="M603" i="3"/>
  <c r="S603" i="3" s="1"/>
  <c r="J603" i="3"/>
  <c r="I603" i="3"/>
  <c r="O560" i="3"/>
  <c r="K704" i="3"/>
  <c r="H704" i="3"/>
  <c r="O704" i="3"/>
  <c r="I704" i="3"/>
  <c r="K629" i="3"/>
  <c r="J629" i="3"/>
  <c r="O629" i="3"/>
  <c r="M629" i="3"/>
  <c r="S629" i="3" s="1"/>
  <c r="J615" i="2"/>
  <c r="W615" i="2"/>
  <c r="V615" i="2"/>
  <c r="N661" i="3"/>
  <c r="O561" i="3"/>
  <c r="N673" i="3"/>
  <c r="W644" i="2"/>
  <c r="J644" i="2"/>
  <c r="V644" i="2"/>
  <c r="O562" i="3"/>
  <c r="O470" i="3"/>
  <c r="N708" i="3"/>
  <c r="N526" i="3"/>
  <c r="N419" i="3"/>
  <c r="N667" i="3"/>
  <c r="M528" i="3"/>
  <c r="S528" i="3" s="1"/>
  <c r="L528" i="3"/>
  <c r="H528" i="3"/>
  <c r="K528" i="3"/>
  <c r="O528" i="3"/>
  <c r="K488" i="3"/>
  <c r="W624" i="2"/>
  <c r="J624" i="2"/>
  <c r="V624" i="2"/>
  <c r="V528" i="2"/>
  <c r="J528" i="2"/>
  <c r="W528" i="2"/>
  <c r="K546" i="3"/>
  <c r="M546" i="3"/>
  <c r="S546" i="3" s="1"/>
  <c r="I546" i="3"/>
  <c r="O546" i="3"/>
  <c r="K522" i="3"/>
  <c r="J522" i="3"/>
  <c r="H522" i="3"/>
  <c r="O522" i="3"/>
  <c r="M522" i="3"/>
  <c r="S522" i="3" s="1"/>
  <c r="W351" i="2"/>
  <c r="V351" i="2"/>
  <c r="J351" i="2"/>
  <c r="W346" i="2"/>
  <c r="V346" i="2"/>
  <c r="J346" i="2"/>
  <c r="N409" i="3"/>
  <c r="N321" i="3"/>
  <c r="N336" i="3"/>
  <c r="N375" i="3"/>
  <c r="N420" i="3"/>
  <c r="N248" i="3"/>
  <c r="N266" i="3"/>
  <c r="N366" i="3"/>
  <c r="N382" i="3"/>
  <c r="N318" i="3"/>
  <c r="N503" i="3"/>
  <c r="N244" i="3"/>
  <c r="N397" i="3"/>
  <c r="N398" i="3"/>
  <c r="N441" i="3"/>
  <c r="N256" i="3"/>
  <c r="N298" i="3"/>
  <c r="N489" i="3"/>
  <c r="N452" i="3"/>
  <c r="N239" i="3"/>
  <c r="N335" i="3"/>
  <c r="N531" i="3"/>
  <c r="N252" i="3"/>
  <c r="N364" i="3"/>
  <c r="N319" i="3"/>
  <c r="N334" i="3"/>
  <c r="N471" i="3"/>
  <c r="J349" i="2"/>
  <c r="W349" i="2"/>
  <c r="V349" i="2"/>
  <c r="N365" i="3"/>
  <c r="W603" i="2"/>
  <c r="J603" i="2"/>
  <c r="V603" i="2"/>
  <c r="J396" i="2"/>
  <c r="W396" i="2"/>
  <c r="V396" i="2"/>
  <c r="O345" i="3"/>
  <c r="N173" i="3"/>
  <c r="O248" i="3"/>
  <c r="K248" i="3"/>
  <c r="M248" i="3"/>
  <c r="S248" i="3" s="1"/>
  <c r="L248" i="3"/>
  <c r="H248" i="3"/>
  <c r="J194" i="2"/>
  <c r="W194" i="2"/>
  <c r="V194" i="2"/>
  <c r="K294" i="3"/>
  <c r="M294" i="3"/>
  <c r="S294" i="3" s="1"/>
  <c r="H294" i="3"/>
  <c r="O294" i="3"/>
  <c r="J294" i="3"/>
  <c r="I294" i="3"/>
  <c r="M263" i="3"/>
  <c r="S263" i="3" s="1"/>
  <c r="L263" i="3"/>
  <c r="J263" i="3"/>
  <c r="I263" i="3"/>
  <c r="H263" i="3"/>
  <c r="O263" i="3"/>
  <c r="V248" i="2"/>
  <c r="J248" i="2"/>
  <c r="W248" i="2"/>
  <c r="N245" i="3"/>
  <c r="K201" i="3"/>
  <c r="H201" i="3"/>
  <c r="M201" i="3"/>
  <c r="S201" i="3" s="1"/>
  <c r="J201" i="3"/>
  <c r="I201" i="3"/>
  <c r="J154" i="2"/>
  <c r="W154" i="2"/>
  <c r="V154" i="2"/>
  <c r="W77" i="2"/>
  <c r="V77" i="2"/>
  <c r="J77" i="2"/>
  <c r="W45" i="2"/>
  <c r="V45" i="2"/>
  <c r="J45" i="2"/>
  <c r="W41" i="2"/>
  <c r="V41" i="2"/>
  <c r="J41" i="2"/>
  <c r="O19" i="3"/>
  <c r="J17" i="2"/>
  <c r="W17" i="2"/>
  <c r="V17" i="2"/>
  <c r="N69" i="3"/>
  <c r="J119" i="2"/>
  <c r="W119" i="2"/>
  <c r="V119" i="2"/>
  <c r="O20" i="3"/>
  <c r="O90" i="3"/>
  <c r="O58" i="3"/>
  <c r="W151" i="2"/>
  <c r="V151" i="2"/>
  <c r="J151" i="2"/>
  <c r="W131" i="2"/>
  <c r="V131" i="2"/>
  <c r="J131" i="2"/>
  <c r="J117" i="2"/>
  <c r="W117" i="2"/>
  <c r="V117" i="2"/>
  <c r="C44" i="4"/>
  <c r="J674" i="2"/>
  <c r="W674" i="2"/>
  <c r="V674" i="2"/>
  <c r="K679" i="3"/>
  <c r="J679" i="3"/>
  <c r="I679" i="3"/>
  <c r="O679" i="3"/>
  <c r="J626" i="2"/>
  <c r="W626" i="2"/>
  <c r="V626" i="2"/>
  <c r="N533" i="3"/>
  <c r="N709" i="3"/>
  <c r="K659" i="3"/>
  <c r="M659" i="3"/>
  <c r="S659" i="3" s="1"/>
  <c r="J659" i="3"/>
  <c r="I659" i="3"/>
  <c r="O659" i="3"/>
  <c r="H659" i="3"/>
  <c r="W669" i="2"/>
  <c r="J669" i="2"/>
  <c r="V669" i="2"/>
  <c r="O557" i="3"/>
  <c r="W681" i="2"/>
  <c r="J681" i="2"/>
  <c r="V681" i="2"/>
  <c r="W577" i="2"/>
  <c r="V577" i="2"/>
  <c r="J577" i="2"/>
  <c r="N435" i="3"/>
  <c r="O580" i="3"/>
  <c r="H517" i="3"/>
  <c r="O517" i="3"/>
  <c r="M517" i="3"/>
  <c r="S517" i="3" s="1"/>
  <c r="L517" i="3"/>
  <c r="J517" i="3"/>
  <c r="I517" i="3"/>
  <c r="K620" i="3"/>
  <c r="H620" i="3"/>
  <c r="J620" i="3"/>
  <c r="I620" i="3"/>
  <c r="O620" i="3"/>
  <c r="O456" i="3"/>
  <c r="O377" i="3"/>
  <c r="O361" i="3"/>
  <c r="J517" i="2"/>
  <c r="W517" i="2"/>
  <c r="V517" i="2"/>
  <c r="J380" i="2"/>
  <c r="W380" i="2"/>
  <c r="V380" i="2"/>
  <c r="W299" i="2"/>
  <c r="V299" i="2"/>
  <c r="J299" i="2"/>
  <c r="N332" i="3"/>
  <c r="J368" i="2"/>
  <c r="V368" i="2"/>
  <c r="W368" i="2"/>
  <c r="H357" i="3"/>
  <c r="I357" i="3"/>
  <c r="M357" i="3"/>
  <c r="S357" i="3" s="1"/>
  <c r="K357" i="3"/>
  <c r="L357" i="3"/>
  <c r="W278" i="2"/>
  <c r="V278" i="2"/>
  <c r="J278" i="2"/>
  <c r="W234" i="2"/>
  <c r="V234" i="2"/>
  <c r="J234" i="2"/>
  <c r="W247" i="2"/>
  <c r="J247" i="2"/>
  <c r="V247" i="2"/>
  <c r="W230" i="2"/>
  <c r="V230" i="2"/>
  <c r="J230" i="2"/>
  <c r="N199" i="3"/>
  <c r="J150" i="2"/>
  <c r="W150" i="2"/>
  <c r="V150" i="2"/>
  <c r="O135" i="3"/>
  <c r="W73" i="2"/>
  <c r="J73" i="2"/>
  <c r="V73" i="2"/>
  <c r="N79" i="3"/>
  <c r="N25" i="3"/>
  <c r="N78" i="3"/>
  <c r="J11" i="7"/>
  <c r="H152" i="2"/>
  <c r="I152" i="2" s="1"/>
  <c r="H377" i="2"/>
  <c r="I377" i="2" s="1"/>
  <c r="H50" i="2"/>
  <c r="I50" i="2" s="1"/>
  <c r="H158" i="2"/>
  <c r="I158" i="2" s="1"/>
  <c r="H428" i="2"/>
  <c r="I428" i="2" s="1"/>
  <c r="H496" i="2"/>
  <c r="I496" i="2" s="1"/>
  <c r="H655" i="2"/>
  <c r="I655" i="2" s="1"/>
  <c r="Q711" i="3"/>
  <c r="P711" i="3"/>
  <c r="T711" i="3" s="1"/>
  <c r="O639" i="3"/>
  <c r="J656" i="3"/>
  <c r="O678" i="3"/>
  <c r="W697" i="2"/>
  <c r="J697" i="2"/>
  <c r="V697" i="2"/>
  <c r="J647" i="2"/>
  <c r="W647" i="2"/>
  <c r="V647" i="2"/>
  <c r="N565" i="3"/>
  <c r="K686" i="3"/>
  <c r="H686" i="3"/>
  <c r="J686" i="3"/>
  <c r="I686" i="3"/>
  <c r="J639" i="2"/>
  <c r="W639" i="2"/>
  <c r="V639" i="2"/>
  <c r="K643" i="3"/>
  <c r="J643" i="3"/>
  <c r="I643" i="3"/>
  <c r="M643" i="3"/>
  <c r="S643" i="3" s="1"/>
  <c r="K634" i="3"/>
  <c r="O634" i="3"/>
  <c r="M634" i="3"/>
  <c r="S634" i="3" s="1"/>
  <c r="I634" i="3"/>
  <c r="H634" i="3"/>
  <c r="W652" i="2"/>
  <c r="J652" i="2"/>
  <c r="V652" i="2"/>
  <c r="N502" i="3"/>
  <c r="N490" i="3"/>
  <c r="N467" i="3"/>
  <c r="W424" i="2"/>
  <c r="V424" i="2"/>
  <c r="J424" i="2"/>
  <c r="K697" i="3"/>
  <c r="I697" i="3"/>
  <c r="J697" i="3"/>
  <c r="H697" i="3"/>
  <c r="O697" i="3"/>
  <c r="V532" i="2"/>
  <c r="W532" i="2"/>
  <c r="J532" i="2"/>
  <c r="O406" i="3"/>
  <c r="O358" i="3"/>
  <c r="N485" i="3"/>
  <c r="W476" i="2"/>
  <c r="V476" i="2"/>
  <c r="J476" i="2"/>
  <c r="L564" i="3"/>
  <c r="I564" i="3"/>
  <c r="K564" i="3"/>
  <c r="M564" i="3"/>
  <c r="S564" i="3" s="1"/>
  <c r="W484" i="2"/>
  <c r="V484" i="2"/>
  <c r="J484" i="2"/>
  <c r="O389" i="3"/>
  <c r="W460" i="2"/>
  <c r="V460" i="2"/>
  <c r="J460" i="2"/>
  <c r="W303" i="2"/>
  <c r="V303" i="2"/>
  <c r="J303" i="2"/>
  <c r="W347" i="2"/>
  <c r="V347" i="2"/>
  <c r="J347" i="2"/>
  <c r="O298" i="3"/>
  <c r="K395" i="3"/>
  <c r="H395" i="3"/>
  <c r="O395" i="3"/>
  <c r="M395" i="3"/>
  <c r="S395" i="3" s="1"/>
  <c r="J395" i="3"/>
  <c r="I395" i="3"/>
  <c r="J357" i="2"/>
  <c r="W357" i="2"/>
  <c r="V357" i="2"/>
  <c r="N446" i="3"/>
  <c r="O327" i="3"/>
  <c r="V386" i="2"/>
  <c r="W386" i="2"/>
  <c r="J386" i="2"/>
  <c r="O288" i="3"/>
  <c r="W282" i="2"/>
  <c r="V282" i="2"/>
  <c r="J282" i="2"/>
  <c r="W237" i="2"/>
  <c r="V237" i="2"/>
  <c r="J237" i="2"/>
  <c r="J182" i="2"/>
  <c r="W182" i="2"/>
  <c r="V182" i="2"/>
  <c r="O197" i="3"/>
  <c r="N240" i="3"/>
  <c r="N188" i="3"/>
  <c r="J174" i="2"/>
  <c r="W174" i="2"/>
  <c r="V174" i="2"/>
  <c r="J146" i="2"/>
  <c r="W146" i="2"/>
  <c r="V146" i="2"/>
  <c r="W37" i="2"/>
  <c r="V37" i="2"/>
  <c r="J37" i="2"/>
  <c r="C33" i="4"/>
  <c r="N233" i="3"/>
  <c r="N89" i="3"/>
  <c r="H179" i="3"/>
  <c r="O179" i="3"/>
  <c r="I179" i="3"/>
  <c r="M179" i="3"/>
  <c r="S179" i="3" s="1"/>
  <c r="K177" i="3"/>
  <c r="O177" i="3"/>
  <c r="J177" i="3"/>
  <c r="I177" i="3"/>
  <c r="H177" i="3"/>
  <c r="J243" i="3"/>
  <c r="I243" i="3"/>
  <c r="O243" i="3"/>
  <c r="M243" i="3"/>
  <c r="S243" i="3" s="1"/>
  <c r="L243" i="3"/>
  <c r="H243" i="3"/>
  <c r="W163" i="2"/>
  <c r="V163" i="2"/>
  <c r="J163" i="2"/>
  <c r="W143" i="2"/>
  <c r="V143" i="2"/>
  <c r="J143" i="2"/>
  <c r="N123" i="3"/>
  <c r="N110" i="3"/>
  <c r="N94" i="3"/>
  <c r="W724" i="2"/>
  <c r="V724" i="2"/>
  <c r="J724" i="2"/>
  <c r="J679" i="2"/>
  <c r="W679" i="2"/>
  <c r="V679" i="2"/>
  <c r="W323" i="2"/>
  <c r="V323" i="2"/>
  <c r="J323" i="2"/>
  <c r="W279" i="2"/>
  <c r="V279" i="2"/>
  <c r="J279" i="2"/>
  <c r="W141" i="2"/>
  <c r="V141" i="2"/>
  <c r="J141" i="2"/>
  <c r="V516" i="2"/>
  <c r="W516" i="2"/>
  <c r="J516" i="2"/>
  <c r="W451" i="2"/>
  <c r="V451" i="2"/>
  <c r="J451" i="2"/>
  <c r="W342" i="2"/>
  <c r="V342" i="2"/>
  <c r="J342" i="2"/>
  <c r="W318" i="2"/>
  <c r="V318" i="2"/>
  <c r="J318" i="2"/>
  <c r="W294" i="2"/>
  <c r="J294" i="2"/>
  <c r="V294" i="2"/>
  <c r="N201" i="3"/>
  <c r="W267" i="2"/>
  <c r="J267" i="2"/>
  <c r="V267" i="2"/>
  <c r="H160" i="3"/>
  <c r="O160" i="3"/>
  <c r="M160" i="3"/>
  <c r="S160" i="3" s="1"/>
  <c r="L160" i="3"/>
  <c r="J160" i="3"/>
  <c r="I160" i="3"/>
  <c r="H144" i="3"/>
  <c r="O144" i="3"/>
  <c r="M144" i="3"/>
  <c r="S144" i="3" s="1"/>
  <c r="L144" i="3"/>
  <c r="J144" i="3"/>
  <c r="I144" i="3"/>
  <c r="O95" i="3"/>
  <c r="N146" i="3"/>
  <c r="J106" i="2"/>
  <c r="W106" i="2"/>
  <c r="V106" i="2"/>
  <c r="J90" i="2"/>
  <c r="W90" i="2"/>
  <c r="V90" i="2"/>
  <c r="J58" i="2"/>
  <c r="V58" i="2"/>
  <c r="W58" i="2"/>
  <c r="O40" i="3"/>
  <c r="J10" i="2"/>
  <c r="W10" i="2"/>
  <c r="V10" i="2"/>
  <c r="N206" i="3"/>
  <c r="K367" i="2"/>
  <c r="L367" i="2" s="1"/>
  <c r="K516" i="2"/>
  <c r="L516" i="2" s="1"/>
  <c r="K259" i="2"/>
  <c r="L259" i="2" s="1"/>
  <c r="K258" i="2"/>
  <c r="L258" i="2" s="1"/>
  <c r="K239" i="2"/>
  <c r="L239" i="2" s="1"/>
  <c r="K305" i="2"/>
  <c r="L305" i="2" s="1"/>
  <c r="O635" i="3"/>
  <c r="O696" i="3"/>
  <c r="N722" i="3"/>
  <c r="K716" i="2"/>
  <c r="L716" i="2" s="1"/>
  <c r="O637" i="3"/>
  <c r="O625" i="3"/>
  <c r="I609" i="3"/>
  <c r="W716" i="2"/>
  <c r="J716" i="2"/>
  <c r="V716" i="2"/>
  <c r="H700" i="2"/>
  <c r="I700" i="2" s="1"/>
  <c r="O690" i="3"/>
  <c r="J626" i="3"/>
  <c r="J686" i="2"/>
  <c r="W686" i="2"/>
  <c r="V686" i="2"/>
  <c r="W680" i="2"/>
  <c r="J680" i="2"/>
  <c r="V680" i="2"/>
  <c r="N651" i="3"/>
  <c r="N615" i="3"/>
  <c r="N584" i="3"/>
  <c r="N552" i="3"/>
  <c r="N528" i="3"/>
  <c r="N694" i="3"/>
  <c r="W677" i="2"/>
  <c r="J677" i="2"/>
  <c r="V677" i="2"/>
  <c r="N664" i="3"/>
  <c r="O648" i="2"/>
  <c r="P648" i="2" s="1"/>
  <c r="W637" i="2"/>
  <c r="J637" i="2"/>
  <c r="V637" i="2"/>
  <c r="N623" i="3"/>
  <c r="N687" i="3"/>
  <c r="W653" i="2"/>
  <c r="J653" i="2"/>
  <c r="V653" i="2"/>
  <c r="N643" i="3"/>
  <c r="J635" i="2"/>
  <c r="W635" i="2"/>
  <c r="V635" i="2"/>
  <c r="N629" i="3"/>
  <c r="N624" i="3"/>
  <c r="N581" i="3"/>
  <c r="N549" i="3"/>
  <c r="K540" i="3"/>
  <c r="N529" i="3"/>
  <c r="N521" i="3"/>
  <c r="N513" i="3"/>
  <c r="M715" i="2"/>
  <c r="N715" i="2" s="1"/>
  <c r="W649" i="2"/>
  <c r="J649" i="2"/>
  <c r="V649" i="2"/>
  <c r="N635" i="3"/>
  <c r="N610" i="3"/>
  <c r="J600" i="2"/>
  <c r="W600" i="2"/>
  <c r="V600" i="2"/>
  <c r="H719" i="2"/>
  <c r="I719" i="2" s="1"/>
  <c r="W693" i="2"/>
  <c r="J693" i="2"/>
  <c r="V693" i="2"/>
  <c r="O663" i="2"/>
  <c r="P663" i="2" s="1"/>
  <c r="N646" i="3"/>
  <c r="N625" i="3"/>
  <c r="N566" i="3"/>
  <c r="N534" i="3"/>
  <c r="N672" i="3"/>
  <c r="N637" i="3"/>
  <c r="N605" i="3"/>
  <c r="J597" i="3"/>
  <c r="I597" i="3"/>
  <c r="H597" i="3"/>
  <c r="O597" i="3"/>
  <c r="M597" i="3"/>
  <c r="S597" i="3" s="1"/>
  <c r="L597" i="3"/>
  <c r="O577" i="3"/>
  <c r="N684" i="3"/>
  <c r="O665" i="2"/>
  <c r="P665" i="2" s="1"/>
  <c r="O653" i="2"/>
  <c r="P653" i="2" s="1"/>
  <c r="N604" i="3"/>
  <c r="M590" i="3"/>
  <c r="S590" i="3" s="1"/>
  <c r="O578" i="3"/>
  <c r="H560" i="2"/>
  <c r="I560" i="2" s="1"/>
  <c r="M558" i="3"/>
  <c r="S558" i="3" s="1"/>
  <c r="H542" i="3"/>
  <c r="M538" i="3"/>
  <c r="S538" i="3" s="1"/>
  <c r="L530" i="3"/>
  <c r="H526" i="3"/>
  <c r="H518" i="3"/>
  <c r="L514" i="3"/>
  <c r="M506" i="3"/>
  <c r="S506" i="3" s="1"/>
  <c r="O486" i="3"/>
  <c r="N691" i="3"/>
  <c r="M643" i="2"/>
  <c r="N643" i="2" s="1"/>
  <c r="W599" i="2"/>
  <c r="J599" i="2"/>
  <c r="V599" i="2"/>
  <c r="L583" i="3"/>
  <c r="J583" i="3"/>
  <c r="I583" i="3"/>
  <c r="H583" i="3"/>
  <c r="O583" i="3"/>
  <c r="M583" i="3"/>
  <c r="S583" i="3" s="1"/>
  <c r="W545" i="2"/>
  <c r="V545" i="2"/>
  <c r="J545" i="2"/>
  <c r="L521" i="3"/>
  <c r="J521" i="3"/>
  <c r="I521" i="3"/>
  <c r="H521" i="3"/>
  <c r="O521" i="3"/>
  <c r="M521" i="3"/>
  <c r="S521" i="3" s="1"/>
  <c r="N500" i="3"/>
  <c r="N399" i="3"/>
  <c r="N383" i="3"/>
  <c r="H547" i="3"/>
  <c r="L547" i="3"/>
  <c r="I547" i="3"/>
  <c r="M547" i="3"/>
  <c r="S547" i="3" s="1"/>
  <c r="J547" i="3"/>
  <c r="O547" i="3"/>
  <c r="O454" i="3"/>
  <c r="O422" i="3"/>
  <c r="O386" i="3"/>
  <c r="O354" i="3"/>
  <c r="J687" i="2"/>
  <c r="W687" i="2"/>
  <c r="V687" i="2"/>
  <c r="N579" i="3"/>
  <c r="I536" i="3"/>
  <c r="K500" i="3"/>
  <c r="N456" i="3"/>
  <c r="M443" i="2"/>
  <c r="N443" i="2" s="1"/>
  <c r="N424" i="3"/>
  <c r="N683" i="3"/>
  <c r="N621" i="3"/>
  <c r="L500" i="3"/>
  <c r="L567" i="3"/>
  <c r="J567" i="3"/>
  <c r="H567" i="3"/>
  <c r="O567" i="3"/>
  <c r="M567" i="3"/>
  <c r="S567" i="3" s="1"/>
  <c r="I567" i="3"/>
  <c r="K542" i="3"/>
  <c r="I508" i="3"/>
  <c r="N501" i="3"/>
  <c r="N483" i="3"/>
  <c r="N469" i="3"/>
  <c r="N437" i="3"/>
  <c r="K427" i="2"/>
  <c r="L427" i="2" s="1"/>
  <c r="J605" i="2"/>
  <c r="W605" i="2"/>
  <c r="V605" i="2"/>
  <c r="N530" i="3"/>
  <c r="O452" i="3"/>
  <c r="O440" i="3"/>
  <c r="P440" i="3" s="1"/>
  <c r="O420" i="3"/>
  <c r="N698" i="3"/>
  <c r="J601" i="2"/>
  <c r="W601" i="2"/>
  <c r="V601" i="2"/>
  <c r="H571" i="3"/>
  <c r="O571" i="3"/>
  <c r="L571" i="3"/>
  <c r="J571" i="3"/>
  <c r="I571" i="3"/>
  <c r="M571" i="3"/>
  <c r="S571" i="3" s="1"/>
  <c r="V524" i="2"/>
  <c r="W524" i="2"/>
  <c r="J524" i="2"/>
  <c r="M485" i="2"/>
  <c r="N485" i="2" s="1"/>
  <c r="O483" i="3"/>
  <c r="L481" i="3"/>
  <c r="J481" i="3"/>
  <c r="H481" i="3"/>
  <c r="O481" i="3"/>
  <c r="M481" i="3"/>
  <c r="S481" i="3" s="1"/>
  <c r="I481" i="3"/>
  <c r="O461" i="3"/>
  <c r="O453" i="3"/>
  <c r="O445" i="3"/>
  <c r="O437" i="3"/>
  <c r="O429" i="3"/>
  <c r="O421" i="3"/>
  <c r="O417" i="3"/>
  <c r="L397" i="3"/>
  <c r="H345" i="3"/>
  <c r="N402" i="3"/>
  <c r="M354" i="2"/>
  <c r="N354" i="2" s="1"/>
  <c r="N294" i="3"/>
  <c r="N700" i="3"/>
  <c r="W553" i="2"/>
  <c r="V553" i="2"/>
  <c r="J553" i="2"/>
  <c r="O460" i="2"/>
  <c r="P460" i="2" s="1"/>
  <c r="N430" i="3"/>
  <c r="K401" i="3"/>
  <c r="N396" i="3"/>
  <c r="J379" i="3"/>
  <c r="O363" i="3"/>
  <c r="W355" i="2"/>
  <c r="J355" i="2"/>
  <c r="V355" i="2"/>
  <c r="O329" i="3"/>
  <c r="J277" i="3"/>
  <c r="N595" i="3"/>
  <c r="N405" i="3"/>
  <c r="N385" i="3"/>
  <c r="N371" i="3"/>
  <c r="H360" i="2"/>
  <c r="I360" i="2" s="1"/>
  <c r="N352" i="3"/>
  <c r="K313" i="2"/>
  <c r="L313" i="2" s="1"/>
  <c r="K510" i="3"/>
  <c r="O403" i="3"/>
  <c r="O359" i="3"/>
  <c r="J288" i="2"/>
  <c r="W288" i="2"/>
  <c r="V288" i="2"/>
  <c r="H282" i="3"/>
  <c r="M254" i="3"/>
  <c r="S254" i="3" s="1"/>
  <c r="N361" i="3"/>
  <c r="V325" i="2"/>
  <c r="J325" i="2"/>
  <c r="W325" i="2"/>
  <c r="N316" i="3"/>
  <c r="K306" i="2"/>
  <c r="L306" i="2" s="1"/>
  <c r="N296" i="3"/>
  <c r="N410" i="3"/>
  <c r="N381" i="3"/>
  <c r="H355" i="3"/>
  <c r="O323" i="3"/>
  <c r="M368" i="2"/>
  <c r="N368" i="2" s="1"/>
  <c r="N363" i="3"/>
  <c r="N347" i="3"/>
  <c r="O337" i="2"/>
  <c r="P337" i="2" s="1"/>
  <c r="N317" i="3"/>
  <c r="K296" i="3"/>
  <c r="N547" i="3"/>
  <c r="O452" i="2"/>
  <c r="P452" i="2" s="1"/>
  <c r="N422" i="3"/>
  <c r="M394" i="2"/>
  <c r="N394" i="2" s="1"/>
  <c r="N389" i="3"/>
  <c r="O308" i="3"/>
  <c r="O296" i="3"/>
  <c r="I268" i="3"/>
  <c r="I252" i="3"/>
  <c r="O244" i="3"/>
  <c r="O224" i="3"/>
  <c r="W241" i="2"/>
  <c r="V241" i="2"/>
  <c r="J241" i="2"/>
  <c r="W233" i="2"/>
  <c r="V233" i="2"/>
  <c r="J233" i="2"/>
  <c r="W225" i="2"/>
  <c r="V225" i="2"/>
  <c r="J225" i="2"/>
  <c r="W213" i="2"/>
  <c r="J213" i="2"/>
  <c r="V213" i="2"/>
  <c r="L203" i="3"/>
  <c r="W197" i="2"/>
  <c r="V197" i="2"/>
  <c r="J197" i="2"/>
  <c r="W181" i="2"/>
  <c r="J181" i="2"/>
  <c r="V181" i="2"/>
  <c r="H167" i="3"/>
  <c r="M143" i="3"/>
  <c r="S143" i="3" s="1"/>
  <c r="H135" i="3"/>
  <c r="O280" i="2"/>
  <c r="P280" i="2" s="1"/>
  <c r="W258" i="2"/>
  <c r="V258" i="2"/>
  <c r="J258" i="2"/>
  <c r="W254" i="2"/>
  <c r="V254" i="2"/>
  <c r="J254" i="2"/>
  <c r="W250" i="2"/>
  <c r="V250" i="2"/>
  <c r="J250" i="2"/>
  <c r="W246" i="2"/>
  <c r="V246" i="2"/>
  <c r="J246" i="2"/>
  <c r="W242" i="2"/>
  <c r="V242" i="2"/>
  <c r="J242" i="2"/>
  <c r="N237" i="3"/>
  <c r="M303" i="3"/>
  <c r="S303" i="3" s="1"/>
  <c r="L303" i="3"/>
  <c r="O303" i="3"/>
  <c r="J303" i="3"/>
  <c r="I303" i="3"/>
  <c r="H303" i="3"/>
  <c r="M275" i="2"/>
  <c r="N275" i="2" s="1"/>
  <c r="M253" i="2"/>
  <c r="N253" i="2" s="1"/>
  <c r="L245" i="3"/>
  <c r="I245" i="3"/>
  <c r="O245" i="3"/>
  <c r="M245" i="3"/>
  <c r="S245" i="3" s="1"/>
  <c r="J245" i="3"/>
  <c r="H245" i="3"/>
  <c r="O208" i="3"/>
  <c r="K288" i="3"/>
  <c r="N247" i="3"/>
  <c r="N274" i="3"/>
  <c r="W266" i="2"/>
  <c r="V266" i="2"/>
  <c r="J266" i="2"/>
  <c r="N260" i="3"/>
  <c r="J241" i="3"/>
  <c r="I237" i="3"/>
  <c r="W232" i="2"/>
  <c r="V232" i="2"/>
  <c r="J232" i="2"/>
  <c r="O229" i="3"/>
  <c r="I227" i="3"/>
  <c r="H227" i="3"/>
  <c r="O227" i="3"/>
  <c r="M227" i="3"/>
  <c r="S227" i="3" s="1"/>
  <c r="L227" i="3"/>
  <c r="J227" i="3"/>
  <c r="O225" i="3"/>
  <c r="O217" i="3"/>
  <c r="O213" i="3"/>
  <c r="J207" i="2"/>
  <c r="V207" i="2"/>
  <c r="W207" i="2"/>
  <c r="O185" i="3"/>
  <c r="O181" i="3"/>
  <c r="M283" i="2"/>
  <c r="N283" i="2" s="1"/>
  <c r="N273" i="3"/>
  <c r="N236" i="3"/>
  <c r="N228" i="3"/>
  <c r="N215" i="3"/>
  <c r="M202" i="2"/>
  <c r="N202" i="2" s="1"/>
  <c r="N183" i="3"/>
  <c r="J259" i="3"/>
  <c r="I259" i="3"/>
  <c r="O259" i="3"/>
  <c r="L259" i="3"/>
  <c r="M259" i="3"/>
  <c r="S259" i="3" s="1"/>
  <c r="H259" i="3"/>
  <c r="N204" i="3"/>
  <c r="K183" i="3"/>
  <c r="K165" i="2"/>
  <c r="L165" i="2" s="1"/>
  <c r="K133" i="2"/>
  <c r="L133" i="2" s="1"/>
  <c r="J13" i="2"/>
  <c r="W13" i="2"/>
  <c r="V13" i="2"/>
  <c r="W5" i="2"/>
  <c r="V5" i="2"/>
  <c r="J5" i="2"/>
  <c r="N57" i="3"/>
  <c r="N95" i="3"/>
  <c r="N47" i="3"/>
  <c r="N270" i="3"/>
  <c r="M212" i="2"/>
  <c r="N212" i="2" s="1"/>
  <c r="N162" i="3"/>
  <c r="K151" i="3"/>
  <c r="N142" i="3"/>
  <c r="N105" i="3"/>
  <c r="N17" i="3"/>
  <c r="N5" i="3"/>
  <c r="N299" i="3"/>
  <c r="O124" i="3"/>
  <c r="M120" i="3"/>
  <c r="S120" i="3" s="1"/>
  <c r="O24" i="3"/>
  <c r="O12" i="3"/>
  <c r="O8" i="3"/>
  <c r="K64" i="2"/>
  <c r="L64" i="2" s="1"/>
  <c r="N46" i="3"/>
  <c r="N26" i="3"/>
  <c r="O21" i="3"/>
  <c r="K21" i="2"/>
  <c r="L21" i="2" s="1"/>
  <c r="N113" i="3"/>
  <c r="N102" i="3"/>
  <c r="N86" i="3"/>
  <c r="M69" i="2"/>
  <c r="N69" i="2" s="1"/>
  <c r="K20" i="2"/>
  <c r="L20" i="2" s="1"/>
  <c r="J22" i="7"/>
  <c r="H590" i="2"/>
  <c r="I590" i="2" s="1"/>
  <c r="H555" i="2"/>
  <c r="I555" i="2" s="1"/>
  <c r="H437" i="2"/>
  <c r="I437" i="2" s="1"/>
  <c r="H573" i="2"/>
  <c r="I573" i="2" s="1"/>
  <c r="H293" i="2"/>
  <c r="I293" i="2" s="1"/>
  <c r="H204" i="2"/>
  <c r="I204" i="2" s="1"/>
  <c r="H76" i="2"/>
  <c r="I76" i="2" s="1"/>
  <c r="H160" i="2"/>
  <c r="I160" i="2" s="1"/>
  <c r="M674" i="2"/>
  <c r="N674" i="2" s="1"/>
  <c r="M11" i="2"/>
  <c r="N11" i="2" s="1"/>
  <c r="J3" i="7"/>
  <c r="H473" i="2"/>
  <c r="I473" i="2" s="1"/>
  <c r="H220" i="2"/>
  <c r="I220" i="2" s="1"/>
  <c r="H245" i="2"/>
  <c r="I245" i="2" s="1"/>
  <c r="H12" i="2"/>
  <c r="I12" i="2" s="1"/>
  <c r="J14" i="7"/>
  <c r="H571" i="2"/>
  <c r="I571" i="2" s="1"/>
  <c r="H511" i="2"/>
  <c r="I511" i="2" s="1"/>
  <c r="H475" i="2"/>
  <c r="I475" i="2" s="1"/>
  <c r="H7" i="2"/>
  <c r="I7" i="2" s="1"/>
  <c r="K520" i="2"/>
  <c r="L520" i="2" s="1"/>
  <c r="K529" i="2"/>
  <c r="L529" i="2" s="1"/>
  <c r="K565" i="2"/>
  <c r="L565" i="2" s="1"/>
  <c r="K517" i="2"/>
  <c r="L517" i="2" s="1"/>
  <c r="K508" i="2"/>
  <c r="L508" i="2" s="1"/>
  <c r="K260" i="2"/>
  <c r="L260" i="2" s="1"/>
  <c r="K252" i="2"/>
  <c r="L252" i="2" s="1"/>
  <c r="J17" i="7"/>
  <c r="H583" i="2"/>
  <c r="I583" i="2" s="1"/>
  <c r="H575" i="2"/>
  <c r="I575" i="2" s="1"/>
  <c r="H513" i="2"/>
  <c r="I513" i="2" s="1"/>
  <c r="H585" i="2"/>
  <c r="I585" i="2" s="1"/>
  <c r="H402" i="2"/>
  <c r="I402" i="2" s="1"/>
  <c r="H257" i="2"/>
  <c r="I257" i="2" s="1"/>
  <c r="H116" i="2"/>
  <c r="I116" i="2" s="1"/>
  <c r="H111" i="2"/>
  <c r="I111" i="2" s="1"/>
  <c r="H103" i="2"/>
  <c r="I103" i="2" s="1"/>
  <c r="H79" i="2"/>
  <c r="I79" i="2" s="1"/>
  <c r="O501" i="2"/>
  <c r="P501" i="2" s="1"/>
  <c r="O418" i="2"/>
  <c r="P418" i="2" s="1"/>
  <c r="K660" i="2"/>
  <c r="L660" i="2" s="1"/>
  <c r="K698" i="2"/>
  <c r="L698" i="2" s="1"/>
  <c r="K691" i="2"/>
  <c r="L691" i="2" s="1"/>
  <c r="K649" i="2"/>
  <c r="L649" i="2" s="1"/>
  <c r="K521" i="2"/>
  <c r="L521" i="2" s="1"/>
  <c r="K702" i="2"/>
  <c r="L702" i="2" s="1"/>
  <c r="K412" i="2"/>
  <c r="L412" i="2" s="1"/>
  <c r="K400" i="2"/>
  <c r="L400" i="2" s="1"/>
  <c r="K238" i="2"/>
  <c r="L238" i="2" s="1"/>
  <c r="K163" i="2"/>
  <c r="L163" i="2" s="1"/>
  <c r="K131" i="2"/>
  <c r="L131" i="2" s="1"/>
  <c r="K114" i="2"/>
  <c r="L114" i="2" s="1"/>
  <c r="K268" i="2"/>
  <c r="L268" i="2" s="1"/>
  <c r="K277" i="2"/>
  <c r="L277" i="2" s="1"/>
  <c r="O497" i="2"/>
  <c r="P497" i="2" s="1"/>
  <c r="O624" i="2"/>
  <c r="P624" i="2" s="1"/>
  <c r="O211" i="2"/>
  <c r="P211" i="2" s="1"/>
  <c r="O191" i="2"/>
  <c r="P191" i="2" s="1"/>
  <c r="O179" i="2"/>
  <c r="P179" i="2" s="1"/>
  <c r="O202" i="2"/>
  <c r="P202" i="2" s="1"/>
  <c r="O139" i="2"/>
  <c r="P139" i="2" s="1"/>
  <c r="O171" i="2"/>
  <c r="P171" i="2" s="1"/>
  <c r="O70" i="2"/>
  <c r="P70" i="2" s="1"/>
  <c r="O218" i="2"/>
  <c r="P218" i="2" s="1"/>
  <c r="O186" i="2"/>
  <c r="P186" i="2" s="1"/>
  <c r="O123" i="2"/>
  <c r="P123" i="2" s="1"/>
  <c r="O137" i="2"/>
  <c r="P137" i="2" s="1"/>
  <c r="O43" i="2"/>
  <c r="P43" i="2" s="1"/>
  <c r="M539" i="2"/>
  <c r="N539" i="2" s="1"/>
  <c r="M671" i="2"/>
  <c r="N671" i="2" s="1"/>
  <c r="M691" i="2"/>
  <c r="N691" i="2" s="1"/>
  <c r="M649" i="2"/>
  <c r="N649" i="2" s="1"/>
  <c r="M550" i="2"/>
  <c r="N550" i="2" s="1"/>
  <c r="M658" i="2"/>
  <c r="N658" i="2" s="1"/>
  <c r="M664" i="2"/>
  <c r="N664" i="2" s="1"/>
  <c r="M558" i="2"/>
  <c r="N558" i="2" s="1"/>
  <c r="M326" i="2"/>
  <c r="N326" i="2" s="1"/>
  <c r="M457" i="2"/>
  <c r="N457" i="2" s="1"/>
  <c r="M308" i="2"/>
  <c r="N308" i="2" s="1"/>
  <c r="M294" i="2"/>
  <c r="N294" i="2" s="1"/>
  <c r="M32" i="2"/>
  <c r="N32" i="2" s="1"/>
  <c r="M24" i="2"/>
  <c r="N24" i="2" s="1"/>
  <c r="M112" i="2"/>
  <c r="N112" i="2" s="1"/>
  <c r="M100" i="2"/>
  <c r="N100" i="2" s="1"/>
  <c r="M38" i="2"/>
  <c r="N38" i="2" s="1"/>
  <c r="M229" i="2"/>
  <c r="N229" i="2" s="1"/>
  <c r="M62" i="2"/>
  <c r="N62" i="2" s="1"/>
  <c r="J31" i="7"/>
  <c r="H591" i="2"/>
  <c r="I591" i="2" s="1"/>
  <c r="H563" i="2"/>
  <c r="I563" i="2" s="1"/>
  <c r="H522" i="2"/>
  <c r="I522" i="2" s="1"/>
  <c r="H485" i="2"/>
  <c r="I485" i="2" s="1"/>
  <c r="H8" i="2"/>
  <c r="I8" i="2" s="1"/>
  <c r="H164" i="2"/>
  <c r="I164" i="2" s="1"/>
  <c r="H188" i="2"/>
  <c r="I188" i="2" s="1"/>
  <c r="H4" i="2"/>
  <c r="I4" i="2" s="1"/>
  <c r="H68" i="2"/>
  <c r="I68" i="2" s="1"/>
  <c r="K632" i="2"/>
  <c r="L632" i="2" s="1"/>
  <c r="K628" i="2"/>
  <c r="L628" i="2" s="1"/>
  <c r="K581" i="2"/>
  <c r="L581" i="2" s="1"/>
  <c r="K533" i="2"/>
  <c r="L533" i="2" s="1"/>
  <c r="K549" i="2"/>
  <c r="L549" i="2" s="1"/>
  <c r="K505" i="2"/>
  <c r="L505" i="2" s="1"/>
  <c r="K480" i="2"/>
  <c r="L480" i="2" s="1"/>
  <c r="K383" i="2"/>
  <c r="L383" i="2" s="1"/>
  <c r="K348" i="2"/>
  <c r="L348" i="2" s="1"/>
  <c r="K553" i="2"/>
  <c r="L553" i="2" s="1"/>
  <c r="K242" i="2"/>
  <c r="L242" i="2" s="1"/>
  <c r="K227" i="2"/>
  <c r="L227" i="2" s="1"/>
  <c r="K208" i="2"/>
  <c r="L208" i="2" s="1"/>
  <c r="K134" i="2"/>
  <c r="L134" i="2" s="1"/>
  <c r="K159" i="2"/>
  <c r="L159" i="2" s="1"/>
  <c r="K155" i="2"/>
  <c r="L155" i="2" s="1"/>
  <c r="K180" i="2"/>
  <c r="L180" i="2" s="1"/>
  <c r="K146" i="2"/>
  <c r="L146" i="2" s="1"/>
  <c r="O698" i="2"/>
  <c r="P698" i="2" s="1"/>
  <c r="O558" i="2"/>
  <c r="P558" i="2" s="1"/>
  <c r="O550" i="2"/>
  <c r="P550" i="2" s="1"/>
  <c r="O604" i="2"/>
  <c r="P604" i="2" s="1"/>
  <c r="O539" i="2"/>
  <c r="P539" i="2" s="1"/>
  <c r="O457" i="2"/>
  <c r="P457" i="2" s="1"/>
  <c r="O326" i="2"/>
  <c r="P326" i="2" s="1"/>
  <c r="O294" i="2"/>
  <c r="P294" i="2" s="1"/>
  <c r="O442" i="2"/>
  <c r="P442" i="2" s="1"/>
  <c r="O229" i="2"/>
  <c r="P229" i="2" s="1"/>
  <c r="O268" i="2"/>
  <c r="P268" i="2" s="1"/>
  <c r="O266" i="2"/>
  <c r="P266" i="2" s="1"/>
  <c r="O131" i="2"/>
  <c r="P131" i="2" s="1"/>
  <c r="O62" i="2"/>
  <c r="P62" i="2" s="1"/>
  <c r="O236" i="2"/>
  <c r="P236" i="2" s="1"/>
  <c r="O99" i="2"/>
  <c r="P99" i="2" s="1"/>
  <c r="O75" i="2"/>
  <c r="P75" i="2" s="1"/>
  <c r="O125" i="2"/>
  <c r="P125" i="2" s="1"/>
  <c r="O238" i="2"/>
  <c r="P238" i="2" s="1"/>
  <c r="O32" i="2"/>
  <c r="P32" i="2" s="1"/>
  <c r="O24" i="2"/>
  <c r="P24" i="2" s="1"/>
  <c r="K500" i="2"/>
  <c r="L500" i="2" s="1"/>
  <c r="K488" i="2"/>
  <c r="L488" i="2" s="1"/>
  <c r="K345" i="2"/>
  <c r="L345" i="2" s="1"/>
  <c r="K372" i="2"/>
  <c r="L372" i="2" s="1"/>
  <c r="O717" i="2"/>
  <c r="P717" i="2" s="1"/>
  <c r="O582" i="2"/>
  <c r="P582" i="2" s="1"/>
  <c r="O606" i="2"/>
  <c r="P606" i="2" s="1"/>
  <c r="O526" i="2"/>
  <c r="P526" i="2" s="1"/>
  <c r="O449" i="2"/>
  <c r="P449" i="2" s="1"/>
  <c r="O479" i="2"/>
  <c r="P479" i="2" s="1"/>
  <c r="O469" i="2"/>
  <c r="P469" i="2" s="1"/>
  <c r="O286" i="2"/>
  <c r="P286" i="2" s="1"/>
  <c r="O311" i="2"/>
  <c r="P311" i="2" s="1"/>
  <c r="O410" i="2"/>
  <c r="P410" i="2" s="1"/>
  <c r="O422" i="2"/>
  <c r="P422" i="2" s="1"/>
  <c r="O348" i="2"/>
  <c r="P348" i="2" s="1"/>
  <c r="O503" i="2"/>
  <c r="P503" i="2" s="1"/>
  <c r="O227" i="2"/>
  <c r="P227" i="2" s="1"/>
  <c r="O225" i="2"/>
  <c r="P225" i="2" s="1"/>
  <c r="O203" i="2"/>
  <c r="P203" i="2" s="1"/>
  <c r="O183" i="2"/>
  <c r="P183" i="2" s="1"/>
  <c r="O242" i="2"/>
  <c r="P242" i="2" s="1"/>
  <c r="O155" i="2"/>
  <c r="P155" i="2" s="1"/>
  <c r="O106" i="2"/>
  <c r="P106" i="2" s="1"/>
  <c r="O90" i="2"/>
  <c r="P90" i="2" s="1"/>
  <c r="O66" i="2"/>
  <c r="P66" i="2" s="1"/>
  <c r="O180" i="2"/>
  <c r="P180" i="2" s="1"/>
  <c r="O113" i="2"/>
  <c r="P113" i="2" s="1"/>
  <c r="O16" i="2"/>
  <c r="P16" i="2" s="1"/>
  <c r="O39" i="2"/>
  <c r="P39" i="2" s="1"/>
  <c r="J8" i="7"/>
  <c r="H579" i="2"/>
  <c r="I579" i="2" s="1"/>
  <c r="H538" i="2"/>
  <c r="I538" i="2" s="1"/>
  <c r="H206" i="2"/>
  <c r="I206" i="2" s="1"/>
  <c r="H92" i="2"/>
  <c r="I92" i="2" s="1"/>
  <c r="H118" i="2"/>
  <c r="I118" i="2" s="1"/>
  <c r="H104" i="2"/>
  <c r="I104" i="2" s="1"/>
  <c r="H23" i="2"/>
  <c r="I23" i="2" s="1"/>
  <c r="H122" i="2"/>
  <c r="I122" i="2" s="1"/>
  <c r="H52" i="2"/>
  <c r="I52" i="2" s="1"/>
  <c r="H144" i="2"/>
  <c r="I144" i="2" s="1"/>
  <c r="H128" i="2"/>
  <c r="I128" i="2" s="1"/>
  <c r="H107" i="2"/>
  <c r="I107" i="2" s="1"/>
  <c r="H67" i="2"/>
  <c r="I67" i="2" s="1"/>
  <c r="H55" i="2"/>
  <c r="I55" i="2" s="1"/>
  <c r="H51" i="2"/>
  <c r="I51" i="2" s="1"/>
  <c r="H44" i="2"/>
  <c r="I44" i="2" s="1"/>
  <c r="H28" i="2"/>
  <c r="I28" i="2" s="1"/>
  <c r="H20" i="2"/>
  <c r="I20" i="2" s="1"/>
  <c r="K513" i="2"/>
  <c r="L513" i="2" s="1"/>
  <c r="K585" i="2"/>
  <c r="L585" i="2" s="1"/>
  <c r="K616" i="2"/>
  <c r="L616" i="2" s="1"/>
  <c r="K230" i="2"/>
  <c r="L230" i="2" s="1"/>
  <c r="K147" i="2"/>
  <c r="L147" i="2" s="1"/>
  <c r="O566" i="2"/>
  <c r="P566" i="2" s="1"/>
  <c r="O510" i="2"/>
  <c r="P510" i="2" s="1"/>
  <c r="O350" i="2"/>
  <c r="P350" i="2" s="1"/>
  <c r="O375" i="2"/>
  <c r="P375" i="2" s="1"/>
  <c r="O319" i="2"/>
  <c r="P319" i="2" s="1"/>
  <c r="O221" i="2"/>
  <c r="P221" i="2" s="1"/>
  <c r="K101" i="2"/>
  <c r="L101" i="2" s="1"/>
  <c r="N39" i="3"/>
  <c r="D28" i="4"/>
  <c r="E36" i="4"/>
  <c r="B33" i="4"/>
  <c r="D26" i="4"/>
  <c r="B29" i="4"/>
  <c r="E31" i="4"/>
  <c r="C34" i="4"/>
  <c r="C35" i="4"/>
  <c r="N11" i="3"/>
  <c r="L113" i="3"/>
  <c r="L202" i="3"/>
  <c r="J202" i="3"/>
  <c r="I202" i="3"/>
  <c r="H202" i="3"/>
  <c r="O202" i="3"/>
  <c r="M202" i="3"/>
  <c r="S202" i="3" s="1"/>
  <c r="N148" i="3"/>
  <c r="K105" i="2"/>
  <c r="L105" i="2" s="1"/>
  <c r="N190" i="3"/>
  <c r="K172" i="2"/>
  <c r="L172" i="2" s="1"/>
  <c r="H169" i="2"/>
  <c r="I169" i="2" s="1"/>
  <c r="N122" i="3"/>
  <c r="N112" i="3"/>
  <c r="N108" i="3"/>
  <c r="N104" i="3"/>
  <c r="N100" i="3"/>
  <c r="N96" i="3"/>
  <c r="N92" i="3"/>
  <c r="N88" i="3"/>
  <c r="N84" i="3"/>
  <c r="N80" i="3"/>
  <c r="N76" i="3"/>
  <c r="N72" i="3"/>
  <c r="N68" i="3"/>
  <c r="N64" i="3"/>
  <c r="N60" i="3"/>
  <c r="N56" i="3"/>
  <c r="N52" i="3"/>
  <c r="N48" i="3"/>
  <c r="N44" i="3"/>
  <c r="N40" i="3"/>
  <c r="N36" i="3"/>
  <c r="K18" i="2"/>
  <c r="L18" i="2" s="1"/>
  <c r="N12" i="3"/>
  <c r="N4" i="3"/>
  <c r="K85" i="2"/>
  <c r="L85" i="2" s="1"/>
  <c r="K17" i="2"/>
  <c r="L17" i="2" s="1"/>
  <c r="O22" i="3"/>
  <c r="H192" i="2"/>
  <c r="I192" i="2" s="1"/>
  <c r="B73" i="4"/>
  <c r="D70" i="4"/>
  <c r="D73" i="4"/>
  <c r="E63" i="4"/>
  <c r="D69" i="4"/>
  <c r="C60" i="4"/>
  <c r="C61" i="4"/>
  <c r="K196" i="2"/>
  <c r="L196" i="2" s="1"/>
  <c r="B43" i="4"/>
  <c r="B52" i="4"/>
  <c r="C47" i="4"/>
  <c r="D52" i="4"/>
  <c r="E43" i="4"/>
  <c r="E48" i="4"/>
  <c r="C46" i="4"/>
  <c r="J642" i="2"/>
  <c r="W642" i="2"/>
  <c r="V642" i="2"/>
  <c r="K608" i="3"/>
  <c r="W459" i="2"/>
  <c r="V459" i="2"/>
  <c r="J459" i="2"/>
  <c r="L591" i="3"/>
  <c r="J591" i="3"/>
  <c r="I591" i="3"/>
  <c r="H591" i="3"/>
  <c r="O591" i="3"/>
  <c r="M591" i="3"/>
  <c r="S591" i="3" s="1"/>
  <c r="J356" i="2"/>
  <c r="W356" i="2"/>
  <c r="V356" i="2"/>
  <c r="N193" i="3"/>
  <c r="M223" i="3"/>
  <c r="S223" i="3" s="1"/>
  <c r="L223" i="3"/>
  <c r="J223" i="3"/>
  <c r="I223" i="3"/>
  <c r="H223" i="3"/>
  <c r="O223" i="3"/>
  <c r="N211" i="3"/>
  <c r="O715" i="3"/>
  <c r="W705" i="2"/>
  <c r="V705" i="2"/>
  <c r="J705" i="2"/>
  <c r="H722" i="2"/>
  <c r="I722" i="2" s="1"/>
  <c r="J714" i="2"/>
  <c r="W714" i="2"/>
  <c r="V714" i="2"/>
  <c r="N710" i="3"/>
  <c r="O705" i="3"/>
  <c r="O693" i="3"/>
  <c r="N703" i="3"/>
  <c r="N685" i="3"/>
  <c r="W664" i="2"/>
  <c r="J664" i="2"/>
  <c r="V664" i="2"/>
  <c r="N592" i="3"/>
  <c r="N669" i="3"/>
  <c r="W648" i="2"/>
  <c r="J648" i="2"/>
  <c r="V648" i="2"/>
  <c r="N642" i="3"/>
  <c r="N634" i="3"/>
  <c r="M608" i="3"/>
  <c r="S608" i="3" s="1"/>
  <c r="J608" i="3"/>
  <c r="L608" i="3"/>
  <c r="I608" i="3"/>
  <c r="H608" i="3"/>
  <c r="O608" i="3"/>
  <c r="N599" i="3"/>
  <c r="N585" i="3"/>
  <c r="M580" i="2"/>
  <c r="N580" i="2" s="1"/>
  <c r="N553" i="3"/>
  <c r="N696" i="3"/>
  <c r="K661" i="2"/>
  <c r="L661" i="2" s="1"/>
  <c r="I615" i="3"/>
  <c r="H615" i="3"/>
  <c r="M615" i="3"/>
  <c r="S615" i="3" s="1"/>
  <c r="J615" i="3"/>
  <c r="O615" i="3"/>
  <c r="L615" i="3"/>
  <c r="J604" i="2"/>
  <c r="W604" i="2"/>
  <c r="V604" i="2"/>
  <c r="O588" i="3"/>
  <c r="O576" i="3"/>
  <c r="H663" i="2"/>
  <c r="I663" i="2" s="1"/>
  <c r="N645" i="3"/>
  <c r="W640" i="2"/>
  <c r="J640" i="2"/>
  <c r="V640" i="2"/>
  <c r="N630" i="3"/>
  <c r="M611" i="3"/>
  <c r="S611" i="3" s="1"/>
  <c r="L611" i="3"/>
  <c r="J611" i="3"/>
  <c r="I611" i="3"/>
  <c r="O611" i="3"/>
  <c r="H611" i="3"/>
  <c r="N586" i="3"/>
  <c r="N554" i="3"/>
  <c r="O694" i="2"/>
  <c r="P694" i="2" s="1"/>
  <c r="N677" i="3"/>
  <c r="N609" i="3"/>
  <c r="O581" i="3"/>
  <c r="O573" i="3"/>
  <c r="N692" i="3"/>
  <c r="N627" i="3"/>
  <c r="W613" i="2"/>
  <c r="J613" i="2"/>
  <c r="V613" i="2"/>
  <c r="V592" i="2"/>
  <c r="J592" i="2"/>
  <c r="W592" i="2"/>
  <c r="O590" i="3"/>
  <c r="O586" i="3"/>
  <c r="V580" i="2"/>
  <c r="J580" i="2"/>
  <c r="W580" i="2"/>
  <c r="O558" i="3"/>
  <c r="V548" i="2"/>
  <c r="J548" i="2"/>
  <c r="W548" i="2"/>
  <c r="O538" i="3"/>
  <c r="M530" i="3"/>
  <c r="S530" i="3" s="1"/>
  <c r="O506" i="3"/>
  <c r="N527" i="3"/>
  <c r="K499" i="2"/>
  <c r="L499" i="2" s="1"/>
  <c r="N494" i="3"/>
  <c r="N486" i="3"/>
  <c r="N478" i="3"/>
  <c r="N470" i="3"/>
  <c r="W464" i="2"/>
  <c r="V464" i="2"/>
  <c r="J464" i="2"/>
  <c r="N459" i="3"/>
  <c r="W448" i="2"/>
  <c r="V448" i="2"/>
  <c r="J448" i="2"/>
  <c r="N443" i="3"/>
  <c r="W432" i="2"/>
  <c r="V432" i="2"/>
  <c r="J432" i="2"/>
  <c r="N427" i="3"/>
  <c r="W416" i="2"/>
  <c r="V416" i="2"/>
  <c r="J416" i="2"/>
  <c r="N411" i="3"/>
  <c r="N567" i="3"/>
  <c r="O520" i="3"/>
  <c r="P520" i="3" s="1"/>
  <c r="N515" i="3"/>
  <c r="K481" i="2"/>
  <c r="L481" i="2" s="1"/>
  <c r="O458" i="3"/>
  <c r="O430" i="3"/>
  <c r="O426" i="3"/>
  <c r="O390" i="3"/>
  <c r="N468" i="3"/>
  <c r="N436" i="3"/>
  <c r="N559" i="3"/>
  <c r="N543" i="3"/>
  <c r="M500" i="3"/>
  <c r="S500" i="3" s="1"/>
  <c r="O407" i="3"/>
  <c r="M677" i="2"/>
  <c r="N677" i="2" s="1"/>
  <c r="N487" i="3"/>
  <c r="N473" i="3"/>
  <c r="N457" i="3"/>
  <c r="N425" i="3"/>
  <c r="K630" i="2"/>
  <c r="L630" i="2" s="1"/>
  <c r="J541" i="3"/>
  <c r="I541" i="3"/>
  <c r="H541" i="3"/>
  <c r="O541" i="3"/>
  <c r="M541" i="3"/>
  <c r="S541" i="3" s="1"/>
  <c r="L541" i="3"/>
  <c r="O504" i="3"/>
  <c r="O428" i="3"/>
  <c r="N551" i="3"/>
  <c r="M524" i="2"/>
  <c r="N524" i="2" s="1"/>
  <c r="O503" i="3"/>
  <c r="L497" i="3"/>
  <c r="J497" i="3"/>
  <c r="I497" i="3"/>
  <c r="H497" i="3"/>
  <c r="O497" i="3"/>
  <c r="M497" i="3"/>
  <c r="S497" i="3" s="1"/>
  <c r="W490" i="2"/>
  <c r="V490" i="2"/>
  <c r="J490" i="2"/>
  <c r="I483" i="3"/>
  <c r="W474" i="2"/>
  <c r="V474" i="2"/>
  <c r="J474" i="2"/>
  <c r="O465" i="3"/>
  <c r="W463" i="2"/>
  <c r="V463" i="2"/>
  <c r="J463" i="2"/>
  <c r="O457" i="3"/>
  <c r="W455" i="2"/>
  <c r="V455" i="2"/>
  <c r="J455" i="2"/>
  <c r="W447" i="2"/>
  <c r="V447" i="2"/>
  <c r="J447" i="2"/>
  <c r="H445" i="3"/>
  <c r="O441" i="3"/>
  <c r="H439" i="2"/>
  <c r="I439" i="2" s="1"/>
  <c r="H437" i="3"/>
  <c r="O433" i="3"/>
  <c r="W431" i="2"/>
  <c r="V431" i="2"/>
  <c r="J431" i="2"/>
  <c r="H423" i="2"/>
  <c r="I423" i="2" s="1"/>
  <c r="W411" i="2"/>
  <c r="V411" i="2"/>
  <c r="J411" i="2"/>
  <c r="M397" i="3"/>
  <c r="S397" i="3" s="1"/>
  <c r="O393" i="3"/>
  <c r="N372" i="3"/>
  <c r="N342" i="3"/>
  <c r="N326" i="3"/>
  <c r="N310" i="3"/>
  <c r="M633" i="2"/>
  <c r="N633" i="2" s="1"/>
  <c r="W391" i="2"/>
  <c r="V391" i="2"/>
  <c r="J391" i="2"/>
  <c r="N386" i="3"/>
  <c r="N346" i="3"/>
  <c r="O341" i="3"/>
  <c r="O317" i="3"/>
  <c r="O281" i="3"/>
  <c r="O261" i="3"/>
  <c r="J384" i="2"/>
  <c r="W384" i="2"/>
  <c r="V384" i="2"/>
  <c r="H376" i="2"/>
  <c r="I376" i="2" s="1"/>
  <c r="N343" i="3"/>
  <c r="N327" i="3"/>
  <c r="N311" i="3"/>
  <c r="I359" i="3"/>
  <c r="O346" i="2"/>
  <c r="P346" i="2" s="1"/>
  <c r="J308" i="2"/>
  <c r="V308" i="2"/>
  <c r="W308" i="2"/>
  <c r="O290" i="3"/>
  <c r="I282" i="3"/>
  <c r="O262" i="3"/>
  <c r="H254" i="3"/>
  <c r="W557" i="2"/>
  <c r="V557" i="2"/>
  <c r="J557" i="2"/>
  <c r="J524" i="3"/>
  <c r="I524" i="3"/>
  <c r="H524" i="3"/>
  <c r="O524" i="3"/>
  <c r="M524" i="3"/>
  <c r="S524" i="3" s="1"/>
  <c r="L524" i="3"/>
  <c r="N458" i="3"/>
  <c r="W403" i="2"/>
  <c r="V403" i="2"/>
  <c r="J403" i="2"/>
  <c r="N392" i="3"/>
  <c r="N377" i="3"/>
  <c r="N367" i="3"/>
  <c r="V329" i="2"/>
  <c r="J329" i="2"/>
  <c r="W329" i="2"/>
  <c r="N320" i="3"/>
  <c r="M315" i="2"/>
  <c r="N315" i="2" s="1"/>
  <c r="N626" i="3"/>
  <c r="N563" i="3"/>
  <c r="N370" i="3"/>
  <c r="O343" i="3"/>
  <c r="L412" i="3"/>
  <c r="J412" i="3"/>
  <c r="I412" i="3"/>
  <c r="H412" i="3"/>
  <c r="O412" i="3"/>
  <c r="M412" i="3"/>
  <c r="S412" i="3" s="1"/>
  <c r="N376" i="3"/>
  <c r="K361" i="3"/>
  <c r="K345" i="3"/>
  <c r="N337" i="3"/>
  <c r="N305" i="3"/>
  <c r="H452" i="2"/>
  <c r="I452" i="2" s="1"/>
  <c r="J372" i="2"/>
  <c r="W372" i="2"/>
  <c r="V372" i="2"/>
  <c r="L364" i="3"/>
  <c r="J364" i="3"/>
  <c r="H364" i="3"/>
  <c r="O364" i="3"/>
  <c r="M364" i="3"/>
  <c r="S364" i="3" s="1"/>
  <c r="I364" i="3"/>
  <c r="J353" i="2"/>
  <c r="W353" i="2"/>
  <c r="V353" i="2"/>
  <c r="N350" i="3"/>
  <c r="H338" i="2"/>
  <c r="I338" i="2" s="1"/>
  <c r="W330" i="2"/>
  <c r="V330" i="2"/>
  <c r="J330" i="2"/>
  <c r="W322" i="2"/>
  <c r="V322" i="2"/>
  <c r="J322" i="2"/>
  <c r="W314" i="2"/>
  <c r="V314" i="2"/>
  <c r="J314" i="2"/>
  <c r="H302" i="2"/>
  <c r="I302" i="2" s="1"/>
  <c r="W286" i="2"/>
  <c r="J286" i="2"/>
  <c r="V286" i="2"/>
  <c r="O284" i="3"/>
  <c r="O264" i="3"/>
  <c r="O256" i="3"/>
  <c r="L252" i="3"/>
  <c r="O236" i="3"/>
  <c r="N277" i="3"/>
  <c r="M259" i="2"/>
  <c r="N259" i="2" s="1"/>
  <c r="M240" i="2"/>
  <c r="N240" i="2" s="1"/>
  <c r="O238" i="3"/>
  <c r="M234" i="3"/>
  <c r="S234" i="3" s="1"/>
  <c r="O230" i="3"/>
  <c r="M224" i="2"/>
  <c r="N224" i="2" s="1"/>
  <c r="O215" i="3"/>
  <c r="O199" i="3"/>
  <c r="O183" i="3"/>
  <c r="I167" i="3"/>
  <c r="O163" i="3"/>
  <c r="L151" i="3"/>
  <c r="O143" i="3"/>
  <c r="I135" i="3"/>
  <c r="O131" i="3"/>
  <c r="J280" i="2"/>
  <c r="W280" i="2"/>
  <c r="V280" i="2"/>
  <c r="J275" i="3"/>
  <c r="I275" i="3"/>
  <c r="H275" i="3"/>
  <c r="O275" i="3"/>
  <c r="M275" i="3"/>
  <c r="S275" i="3" s="1"/>
  <c r="L275" i="3"/>
  <c r="N231" i="3"/>
  <c r="N221" i="3"/>
  <c r="N213" i="3"/>
  <c r="N205" i="3"/>
  <c r="N197" i="3"/>
  <c r="N189" i="3"/>
  <c r="N181" i="3"/>
  <c r="M408" i="2"/>
  <c r="N408" i="2" s="1"/>
  <c r="H249" i="3"/>
  <c r="O249" i="3"/>
  <c r="M249" i="3"/>
  <c r="S249" i="3" s="1"/>
  <c r="L249" i="3"/>
  <c r="J249" i="3"/>
  <c r="I249" i="3"/>
  <c r="O220" i="3"/>
  <c r="J267" i="3"/>
  <c r="I267" i="3"/>
  <c r="H267" i="3"/>
  <c r="O267" i="3"/>
  <c r="M267" i="3"/>
  <c r="S267" i="3" s="1"/>
  <c r="L267" i="3"/>
  <c r="K244" i="3"/>
  <c r="O305" i="2"/>
  <c r="P305" i="2" s="1"/>
  <c r="K269" i="2"/>
  <c r="L269" i="2" s="1"/>
  <c r="N259" i="3"/>
  <c r="M239" i="3"/>
  <c r="S239" i="3" s="1"/>
  <c r="L239" i="3"/>
  <c r="J239" i="3"/>
  <c r="I239" i="3"/>
  <c r="H239" i="3"/>
  <c r="O239" i="3"/>
  <c r="H233" i="3"/>
  <c r="W226" i="2"/>
  <c r="V226" i="2"/>
  <c r="J226" i="2"/>
  <c r="J195" i="2"/>
  <c r="V195" i="2"/>
  <c r="W195" i="2"/>
  <c r="O161" i="3"/>
  <c r="O149" i="3"/>
  <c r="O129" i="3"/>
  <c r="N195" i="3"/>
  <c r="N249" i="3"/>
  <c r="N192" i="3"/>
  <c r="H168" i="3"/>
  <c r="O168" i="3"/>
  <c r="M168" i="3"/>
  <c r="S168" i="3" s="1"/>
  <c r="L168" i="3"/>
  <c r="J168" i="3"/>
  <c r="I168" i="3"/>
  <c r="M164" i="2"/>
  <c r="N164" i="2" s="1"/>
  <c r="J162" i="2"/>
  <c r="W162" i="2"/>
  <c r="V162" i="2"/>
  <c r="H152" i="3"/>
  <c r="O152" i="3"/>
  <c r="M152" i="3"/>
  <c r="S152" i="3" s="1"/>
  <c r="L152" i="3"/>
  <c r="J152" i="3"/>
  <c r="I152" i="3"/>
  <c r="H136" i="3"/>
  <c r="O136" i="3"/>
  <c r="M136" i="3"/>
  <c r="S136" i="3" s="1"/>
  <c r="L136" i="3"/>
  <c r="J136" i="3"/>
  <c r="I136" i="3"/>
  <c r="K121" i="2"/>
  <c r="L121" i="2" s="1"/>
  <c r="O111" i="3"/>
  <c r="H105" i="2"/>
  <c r="I105" i="2" s="1"/>
  <c r="O83" i="3"/>
  <c r="O79" i="3"/>
  <c r="N53" i="3"/>
  <c r="K93" i="2"/>
  <c r="L93" i="2" s="1"/>
  <c r="N27" i="3"/>
  <c r="J170" i="3"/>
  <c r="I170" i="3"/>
  <c r="H170" i="3"/>
  <c r="O170" i="3"/>
  <c r="M170" i="3"/>
  <c r="S170" i="3" s="1"/>
  <c r="L170" i="3"/>
  <c r="K139" i="3"/>
  <c r="N130" i="3"/>
  <c r="N93" i="3"/>
  <c r="K55" i="2"/>
  <c r="L55" i="2" s="1"/>
  <c r="N33" i="3"/>
  <c r="O14" i="3"/>
  <c r="J122" i="3"/>
  <c r="I122" i="3"/>
  <c r="H122" i="3"/>
  <c r="O122" i="3"/>
  <c r="M122" i="3"/>
  <c r="S122" i="3" s="1"/>
  <c r="L122" i="3"/>
  <c r="O120" i="3"/>
  <c r="J110" i="2"/>
  <c r="W110" i="2"/>
  <c r="V110" i="2"/>
  <c r="J102" i="2"/>
  <c r="W102" i="2"/>
  <c r="V102" i="2"/>
  <c r="H94" i="2"/>
  <c r="I94" i="2" s="1"/>
  <c r="J86" i="2"/>
  <c r="V86" i="2"/>
  <c r="W86" i="2"/>
  <c r="J78" i="2"/>
  <c r="W78" i="2"/>
  <c r="V78" i="2"/>
  <c r="J70" i="2"/>
  <c r="V70" i="2"/>
  <c r="W70" i="2"/>
  <c r="J62" i="2"/>
  <c r="V62" i="2"/>
  <c r="W62" i="2"/>
  <c r="J54" i="2"/>
  <c r="W54" i="2"/>
  <c r="V54" i="2"/>
  <c r="J46" i="2"/>
  <c r="V46" i="2"/>
  <c r="W46" i="2"/>
  <c r="J38" i="2"/>
  <c r="V38" i="2"/>
  <c r="W38" i="2"/>
  <c r="O32" i="3"/>
  <c r="J30" i="2"/>
  <c r="W30" i="2"/>
  <c r="V30" i="2"/>
  <c r="J18" i="2"/>
  <c r="W18" i="2"/>
  <c r="V18" i="2"/>
  <c r="M13" i="2"/>
  <c r="N13" i="2" s="1"/>
  <c r="O46" i="3"/>
  <c r="M247" i="3"/>
  <c r="S247" i="3" s="1"/>
  <c r="H247" i="3"/>
  <c r="O247" i="3"/>
  <c r="L247" i="3"/>
  <c r="J247" i="3"/>
  <c r="I247" i="3"/>
  <c r="M188" i="2"/>
  <c r="N188" i="2" s="1"/>
  <c r="N169" i="3"/>
  <c r="N165" i="3"/>
  <c r="N161" i="3"/>
  <c r="N157" i="3"/>
  <c r="N153" i="3"/>
  <c r="N149" i="3"/>
  <c r="N145" i="3"/>
  <c r="N141" i="3"/>
  <c r="N137" i="3"/>
  <c r="N133" i="3"/>
  <c r="N129" i="3"/>
  <c r="N125" i="3"/>
  <c r="N58" i="3"/>
  <c r="N38" i="3"/>
  <c r="J2" i="7"/>
  <c r="H570" i="2"/>
  <c r="I570" i="2" s="1"/>
  <c r="H559" i="2"/>
  <c r="I559" i="2" s="1"/>
  <c r="H543" i="2"/>
  <c r="I543" i="2" s="1"/>
  <c r="H495" i="2"/>
  <c r="I495" i="2" s="1"/>
  <c r="H397" i="2"/>
  <c r="I397" i="2" s="1"/>
  <c r="H381" i="2"/>
  <c r="I381" i="2" s="1"/>
  <c r="M559" i="2"/>
  <c r="N559" i="2" s="1"/>
  <c r="M543" i="2"/>
  <c r="N543" i="2" s="1"/>
  <c r="M570" i="2"/>
  <c r="N570" i="2" s="1"/>
  <c r="M495" i="2"/>
  <c r="N495" i="2" s="1"/>
  <c r="M381" i="2"/>
  <c r="N381" i="2" s="1"/>
  <c r="M397" i="2"/>
  <c r="N397" i="2" s="1"/>
  <c r="K448" i="2"/>
  <c r="L448" i="2" s="1"/>
  <c r="K130" i="2"/>
  <c r="L130" i="2" s="1"/>
  <c r="K220" i="2"/>
  <c r="L220" i="2" s="1"/>
  <c r="K703" i="2"/>
  <c r="L703" i="2" s="1"/>
  <c r="K678" i="2"/>
  <c r="L678" i="2" s="1"/>
  <c r="K622" i="2"/>
  <c r="L622" i="2" s="1"/>
  <c r="K150" i="2"/>
  <c r="L150" i="2" s="1"/>
  <c r="K174" i="2"/>
  <c r="L174" i="2" s="1"/>
  <c r="K151" i="2"/>
  <c r="L151" i="2" s="1"/>
  <c r="K138" i="2"/>
  <c r="L138" i="2" s="1"/>
  <c r="K188" i="2"/>
  <c r="L188" i="2" s="1"/>
  <c r="M667" i="2"/>
  <c r="N667" i="2" s="1"/>
  <c r="M470" i="2"/>
  <c r="N470" i="2" s="1"/>
  <c r="M409" i="2"/>
  <c r="N409" i="2" s="1"/>
  <c r="M330" i="2"/>
  <c r="N330" i="2" s="1"/>
  <c r="M314" i="2"/>
  <c r="N314" i="2" s="1"/>
  <c r="M237" i="2"/>
  <c r="N237" i="2" s="1"/>
  <c r="M120" i="2"/>
  <c r="N120" i="2" s="1"/>
  <c r="O709" i="2"/>
  <c r="P709" i="2" s="1"/>
  <c r="O583" i="2"/>
  <c r="P583" i="2" s="1"/>
  <c r="O575" i="2"/>
  <c r="P575" i="2" s="1"/>
  <c r="O307" i="2"/>
  <c r="P307" i="2" s="1"/>
  <c r="O402" i="2"/>
  <c r="P402" i="2" s="1"/>
  <c r="O230" i="2"/>
  <c r="P230" i="2" s="1"/>
  <c r="O147" i="2"/>
  <c r="P147" i="2" s="1"/>
  <c r="O103" i="2"/>
  <c r="P103" i="2" s="1"/>
  <c r="O79" i="2"/>
  <c r="P79" i="2" s="1"/>
  <c r="O111" i="2"/>
  <c r="P111" i="2" s="1"/>
  <c r="M583" i="2"/>
  <c r="N583" i="2" s="1"/>
  <c r="M575" i="2"/>
  <c r="N575" i="2" s="1"/>
  <c r="M680" i="2"/>
  <c r="N680" i="2" s="1"/>
  <c r="M669" i="2"/>
  <c r="N669" i="2" s="1"/>
  <c r="M399" i="2"/>
  <c r="N399" i="2" s="1"/>
  <c r="M312" i="2"/>
  <c r="N312" i="2" s="1"/>
  <c r="M116" i="2"/>
  <c r="N116" i="2" s="1"/>
  <c r="M251" i="2"/>
  <c r="N251" i="2" s="1"/>
  <c r="M213" i="2"/>
  <c r="N213" i="2" s="1"/>
  <c r="O700" i="2"/>
  <c r="P700" i="2" s="1"/>
  <c r="O127" i="2"/>
  <c r="P127" i="2" s="1"/>
  <c r="O19" i="2"/>
  <c r="P19" i="2" s="1"/>
  <c r="O31" i="2"/>
  <c r="P31" i="2" s="1"/>
  <c r="K685" i="2"/>
  <c r="L685" i="2" s="1"/>
  <c r="K663" i="2"/>
  <c r="L663" i="2" s="1"/>
  <c r="K452" i="2"/>
  <c r="L452" i="2" s="1"/>
  <c r="K420" i="2"/>
  <c r="L420" i="2" s="1"/>
  <c r="K364" i="2"/>
  <c r="L364" i="2" s="1"/>
  <c r="K166" i="2"/>
  <c r="L166" i="2" s="1"/>
  <c r="K143" i="2"/>
  <c r="L143" i="2" s="1"/>
  <c r="O594" i="2"/>
  <c r="P594" i="2" s="1"/>
  <c r="O542" i="2"/>
  <c r="P542" i="2" s="1"/>
  <c r="O598" i="2"/>
  <c r="P598" i="2" s="1"/>
  <c r="O515" i="2"/>
  <c r="P515" i="2" s="1"/>
  <c r="O487" i="2"/>
  <c r="P487" i="2" s="1"/>
  <c r="O471" i="2"/>
  <c r="P471" i="2" s="1"/>
  <c r="O414" i="2"/>
  <c r="P414" i="2" s="1"/>
  <c r="O426" i="2"/>
  <c r="P426" i="2" s="1"/>
  <c r="O358" i="2"/>
  <c r="P358" i="2" s="1"/>
  <c r="O252" i="2"/>
  <c r="P252" i="2" s="1"/>
  <c r="O260" i="2"/>
  <c r="P260" i="2" s="1"/>
  <c r="O94" i="2"/>
  <c r="P94" i="2" s="1"/>
  <c r="O82" i="2"/>
  <c r="P82" i="2" s="1"/>
  <c r="K611" i="2"/>
  <c r="L611" i="2" s="1"/>
  <c r="K472" i="2"/>
  <c r="L472" i="2" s="1"/>
  <c r="K369" i="2"/>
  <c r="L369" i="2" s="1"/>
  <c r="O602" i="2"/>
  <c r="P602" i="2" s="1"/>
  <c r="O591" i="2"/>
  <c r="P591" i="2" s="1"/>
  <c r="O563" i="2"/>
  <c r="P563" i="2" s="1"/>
  <c r="O485" i="2"/>
  <c r="P485" i="2" s="1"/>
  <c r="O522" i="2"/>
  <c r="P522" i="2" s="1"/>
  <c r="O215" i="2"/>
  <c r="P215" i="2" s="1"/>
  <c r="O178" i="2"/>
  <c r="P178" i="2" s="1"/>
  <c r="O151" i="2"/>
  <c r="P151" i="2" s="1"/>
  <c r="O161" i="2"/>
  <c r="P161" i="2" s="1"/>
  <c r="O169" i="2"/>
  <c r="P169" i="2" s="1"/>
  <c r="O164" i="2"/>
  <c r="P164" i="2" s="1"/>
  <c r="O8" i="2"/>
  <c r="P8" i="2" s="1"/>
  <c r="O4" i="2"/>
  <c r="P4" i="2" s="1"/>
  <c r="M697" i="2"/>
  <c r="N697" i="2" s="1"/>
  <c r="M611" i="2"/>
  <c r="N611" i="2" s="1"/>
  <c r="M708" i="2"/>
  <c r="N708" i="2" s="1"/>
  <c r="M472" i="2"/>
  <c r="N472" i="2" s="1"/>
  <c r="K696" i="2"/>
  <c r="L696" i="2" s="1"/>
  <c r="K683" i="2"/>
  <c r="L683" i="2" s="1"/>
  <c r="K684" i="2"/>
  <c r="L684" i="2" s="1"/>
  <c r="M632" i="2"/>
  <c r="N632" i="2" s="1"/>
  <c r="M623" i="2"/>
  <c r="N623" i="2" s="1"/>
  <c r="M505" i="2"/>
  <c r="N505" i="2" s="1"/>
  <c r="M486" i="2"/>
  <c r="N486" i="2" s="1"/>
  <c r="M480" i="2"/>
  <c r="N480" i="2" s="1"/>
  <c r="M609" i="2"/>
  <c r="N609" i="2" s="1"/>
  <c r="M606" i="2"/>
  <c r="N606" i="2" s="1"/>
  <c r="M526" i="2"/>
  <c r="N526" i="2" s="1"/>
  <c r="M686" i="2"/>
  <c r="N686" i="2" s="1"/>
  <c r="M503" i="2"/>
  <c r="N503" i="2" s="1"/>
  <c r="M479" i="2"/>
  <c r="N479" i="2" s="1"/>
  <c r="M582" i="2"/>
  <c r="N582" i="2" s="1"/>
  <c r="M449" i="2"/>
  <c r="N449" i="2" s="1"/>
  <c r="M525" i="2"/>
  <c r="N525" i="2" s="1"/>
  <c r="M383" i="2"/>
  <c r="N383" i="2" s="1"/>
  <c r="M286" i="2"/>
  <c r="N286" i="2" s="1"/>
  <c r="M203" i="2"/>
  <c r="N203" i="2" s="1"/>
  <c r="M183" i="2"/>
  <c r="N183" i="2" s="1"/>
  <c r="M16" i="2"/>
  <c r="N16" i="2" s="1"/>
  <c r="M66" i="2"/>
  <c r="N66" i="2" s="1"/>
  <c r="M124" i="2"/>
  <c r="N124" i="2" s="1"/>
  <c r="M84" i="2"/>
  <c r="N84" i="2" s="1"/>
  <c r="M193" i="2"/>
  <c r="N193" i="2" s="1"/>
  <c r="M209" i="2"/>
  <c r="N209" i="2" s="1"/>
  <c r="M205" i="2"/>
  <c r="N205" i="2" s="1"/>
  <c r="M106" i="2"/>
  <c r="N106" i="2" s="1"/>
  <c r="M225" i="2"/>
  <c r="N225" i="2" s="1"/>
  <c r="M113" i="2"/>
  <c r="N113" i="2" s="1"/>
  <c r="M90" i="2"/>
  <c r="N90" i="2" s="1"/>
  <c r="J5" i="7"/>
  <c r="H216" i="2"/>
  <c r="I216" i="2" s="1"/>
  <c r="K644" i="2"/>
  <c r="L644" i="2" s="1"/>
  <c r="K532" i="2"/>
  <c r="L532" i="2" s="1"/>
  <c r="K476" i="2"/>
  <c r="L476" i="2" s="1"/>
  <c r="K432" i="2"/>
  <c r="L432" i="2" s="1"/>
  <c r="O595" i="2"/>
  <c r="P595" i="2" s="1"/>
  <c r="O491" i="2"/>
  <c r="P491" i="2" s="1"/>
  <c r="O523" i="2"/>
  <c r="P523" i="2" s="1"/>
  <c r="K537" i="2"/>
  <c r="L537" i="2" s="1"/>
  <c r="K408" i="2"/>
  <c r="L408" i="2" s="1"/>
  <c r="K283" i="2"/>
  <c r="L283" i="2" s="1"/>
  <c r="O433" i="2"/>
  <c r="P433" i="2" s="1"/>
  <c r="O210" i="2"/>
  <c r="P210" i="2" s="1"/>
  <c r="O234" i="2"/>
  <c r="P234" i="2" s="1"/>
  <c r="O119" i="2"/>
  <c r="P119" i="2" s="1"/>
  <c r="K73" i="2"/>
  <c r="L73" i="2" s="1"/>
  <c r="K37" i="2"/>
  <c r="L37" i="2" s="1"/>
  <c r="N175" i="3"/>
  <c r="M158" i="3"/>
  <c r="S158" i="3" s="1"/>
  <c r="L158" i="3"/>
  <c r="J158" i="3"/>
  <c r="I158" i="3"/>
  <c r="H158" i="3"/>
  <c r="O158" i="3"/>
  <c r="M146" i="2"/>
  <c r="N146" i="2" s="1"/>
  <c r="M142" i="3"/>
  <c r="S142" i="3" s="1"/>
  <c r="L142" i="3"/>
  <c r="J142" i="3"/>
  <c r="I142" i="3"/>
  <c r="H142" i="3"/>
  <c r="O142" i="3"/>
  <c r="M130" i="2"/>
  <c r="N130" i="2" s="1"/>
  <c r="M126" i="3"/>
  <c r="S126" i="3" s="1"/>
  <c r="L126" i="3"/>
  <c r="J126" i="3"/>
  <c r="I126" i="3"/>
  <c r="H126" i="3"/>
  <c r="O126" i="3"/>
  <c r="O101" i="3"/>
  <c r="O89" i="3"/>
  <c r="O69" i="3"/>
  <c r="O57" i="3"/>
  <c r="E34" i="4"/>
  <c r="D25" i="4"/>
  <c r="B26" i="4"/>
  <c r="E28" i="4"/>
  <c r="D31" i="4"/>
  <c r="B34" i="4"/>
  <c r="D36" i="4"/>
  <c r="C37" i="4"/>
  <c r="M404" i="2"/>
  <c r="N404" i="2" s="1"/>
  <c r="O196" i="2"/>
  <c r="P196" i="2" s="1"/>
  <c r="N168" i="3"/>
  <c r="N136" i="3"/>
  <c r="N272" i="3"/>
  <c r="N159" i="3"/>
  <c r="N155" i="3"/>
  <c r="N151" i="3"/>
  <c r="N147" i="3"/>
  <c r="N143" i="3"/>
  <c r="N139" i="3"/>
  <c r="N135" i="3"/>
  <c r="M111" i="2"/>
  <c r="N111" i="2" s="1"/>
  <c r="M107" i="2"/>
  <c r="N107" i="2" s="1"/>
  <c r="M103" i="2"/>
  <c r="N103" i="2" s="1"/>
  <c r="M99" i="2"/>
  <c r="N99" i="2" s="1"/>
  <c r="M95" i="2"/>
  <c r="N95" i="2" s="1"/>
  <c r="M87" i="2"/>
  <c r="N87" i="2" s="1"/>
  <c r="M83" i="2"/>
  <c r="N83" i="2" s="1"/>
  <c r="M79" i="2"/>
  <c r="N79" i="2" s="1"/>
  <c r="M75" i="2"/>
  <c r="N75" i="2" s="1"/>
  <c r="M71" i="2"/>
  <c r="N71" i="2" s="1"/>
  <c r="M67" i="2"/>
  <c r="N67" i="2" s="1"/>
  <c r="M63" i="2"/>
  <c r="N63" i="2" s="1"/>
  <c r="M59" i="2"/>
  <c r="N59" i="2" s="1"/>
  <c r="M55" i="2"/>
  <c r="N55" i="2" s="1"/>
  <c r="M47" i="2"/>
  <c r="N47" i="2" s="1"/>
  <c r="M43" i="2"/>
  <c r="N43" i="2" s="1"/>
  <c r="M39" i="2"/>
  <c r="N39" i="2" s="1"/>
  <c r="K22" i="2"/>
  <c r="L22" i="2" s="1"/>
  <c r="K77" i="2"/>
  <c r="L77" i="2" s="1"/>
  <c r="O102" i="3"/>
  <c r="M174" i="2"/>
  <c r="N174" i="2" s="1"/>
  <c r="D60" i="4"/>
  <c r="B65" i="4"/>
  <c r="E60" i="4"/>
  <c r="D66" i="4"/>
  <c r="B72" i="4"/>
  <c r="C62" i="4"/>
  <c r="C63" i="4"/>
  <c r="C49" i="4"/>
  <c r="B47" i="4"/>
  <c r="D49" i="4"/>
  <c r="B55" i="4"/>
  <c r="B46" i="4"/>
  <c r="B51" i="4"/>
  <c r="C48" i="4"/>
  <c r="H587" i="3"/>
  <c r="O587" i="3"/>
  <c r="M587" i="3"/>
  <c r="S587" i="3" s="1"/>
  <c r="L587" i="3"/>
  <c r="J587" i="3"/>
  <c r="I587" i="3"/>
  <c r="W419" i="2"/>
  <c r="V419" i="2"/>
  <c r="J419" i="2"/>
  <c r="N442" i="3"/>
  <c r="J343" i="2"/>
  <c r="W343" i="2"/>
  <c r="V343" i="2"/>
  <c r="W379" i="2"/>
  <c r="V379" i="2"/>
  <c r="J379" i="2"/>
  <c r="N603" i="3"/>
  <c r="H416" i="3"/>
  <c r="O416" i="3"/>
  <c r="M416" i="3"/>
  <c r="S416" i="3" s="1"/>
  <c r="L416" i="3"/>
  <c r="J416" i="3"/>
  <c r="I416" i="3"/>
  <c r="H384" i="3"/>
  <c r="O384" i="3"/>
  <c r="L384" i="3"/>
  <c r="J384" i="3"/>
  <c r="I384" i="3"/>
  <c r="M384" i="3"/>
  <c r="S384" i="3" s="1"/>
  <c r="W326" i="2"/>
  <c r="V326" i="2"/>
  <c r="J326" i="2"/>
  <c r="W310" i="2"/>
  <c r="V310" i="2"/>
  <c r="J310" i="2"/>
  <c r="W274" i="2"/>
  <c r="J274" i="2"/>
  <c r="V274" i="2"/>
  <c r="N223" i="3"/>
  <c r="N185" i="3"/>
  <c r="N269" i="3"/>
  <c r="N282" i="3"/>
  <c r="N202" i="3"/>
  <c r="W133" i="2"/>
  <c r="V133" i="2"/>
  <c r="J133" i="2"/>
  <c r="O96" i="3"/>
  <c r="O80" i="3"/>
  <c r="J66" i="2"/>
  <c r="V66" i="2"/>
  <c r="W66" i="2"/>
  <c r="J34" i="2"/>
  <c r="W34" i="2"/>
  <c r="V34" i="2"/>
  <c r="N70" i="3"/>
  <c r="O33" i="3"/>
  <c r="M567" i="2"/>
  <c r="N567" i="2" s="1"/>
  <c r="M662" i="2"/>
  <c r="N662" i="2" s="1"/>
  <c r="O723" i="3"/>
  <c r="O671" i="3"/>
  <c r="O720" i="3"/>
  <c r="P720" i="3" s="1"/>
  <c r="O700" i="3"/>
  <c r="O717" i="3"/>
  <c r="O689" i="3"/>
  <c r="M609" i="3"/>
  <c r="S609" i="3" s="1"/>
  <c r="N715" i="3"/>
  <c r="O610" i="3"/>
  <c r="N679" i="3"/>
  <c r="N650" i="3"/>
  <c r="N614" i="3"/>
  <c r="N572" i="3"/>
  <c r="N540" i="3"/>
  <c r="W725" i="2"/>
  <c r="V725" i="2"/>
  <c r="J725" i="2"/>
  <c r="O691" i="3"/>
  <c r="O667" i="3"/>
  <c r="O631" i="3"/>
  <c r="O708" i="3"/>
  <c r="I700" i="3"/>
  <c r="O660" i="3"/>
  <c r="J640" i="3"/>
  <c r="O632" i="3"/>
  <c r="M616" i="3"/>
  <c r="S616" i="3" s="1"/>
  <c r="J715" i="2"/>
  <c r="W715" i="2"/>
  <c r="V715" i="2"/>
  <c r="N702" i="3"/>
  <c r="O677" i="3"/>
  <c r="M657" i="3"/>
  <c r="S657" i="3" s="1"/>
  <c r="O653" i="3"/>
  <c r="O617" i="3"/>
  <c r="H609" i="3"/>
  <c r="O722" i="3"/>
  <c r="O666" i="3"/>
  <c r="O654" i="3"/>
  <c r="O646" i="3"/>
  <c r="O638" i="3"/>
  <c r="M626" i="3"/>
  <c r="S626" i="3" s="1"/>
  <c r="O622" i="3"/>
  <c r="M706" i="2"/>
  <c r="N706" i="2" s="1"/>
  <c r="N663" i="3"/>
  <c r="N613" i="3"/>
  <c r="N560" i="3"/>
  <c r="N524" i="3"/>
  <c r="J682" i="2"/>
  <c r="W682" i="2"/>
  <c r="V682" i="2"/>
  <c r="N674" i="3"/>
  <c r="O656" i="2"/>
  <c r="P656" i="2" s="1"/>
  <c r="J670" i="2"/>
  <c r="W670" i="2"/>
  <c r="V670" i="2"/>
  <c r="W606" i="2"/>
  <c r="V606" i="2"/>
  <c r="J606" i="2"/>
  <c r="N589" i="3"/>
  <c r="N557" i="3"/>
  <c r="J710" i="2"/>
  <c r="W710" i="2"/>
  <c r="V710" i="2"/>
  <c r="N688" i="3"/>
  <c r="N681" i="3"/>
  <c r="N676" i="3"/>
  <c r="N670" i="3"/>
  <c r="N665" i="3"/>
  <c r="N660" i="3"/>
  <c r="O614" i="2"/>
  <c r="P614" i="2" s="1"/>
  <c r="J608" i="2"/>
  <c r="W608" i="2"/>
  <c r="V608" i="2"/>
  <c r="N689" i="3"/>
  <c r="J651" i="2"/>
  <c r="W651" i="2"/>
  <c r="V651" i="2"/>
  <c r="N574" i="3"/>
  <c r="N542" i="3"/>
  <c r="N682" i="3"/>
  <c r="N648" i="3"/>
  <c r="O599" i="3"/>
  <c r="O569" i="3"/>
  <c r="N705" i="3"/>
  <c r="N657" i="3"/>
  <c r="O635" i="2"/>
  <c r="P635" i="2" s="1"/>
  <c r="J612" i="2"/>
  <c r="V612" i="2"/>
  <c r="W612" i="2"/>
  <c r="H582" i="3"/>
  <c r="V568" i="2"/>
  <c r="J568" i="2"/>
  <c r="W568" i="2"/>
  <c r="V544" i="2"/>
  <c r="W544" i="2"/>
  <c r="J544" i="2"/>
  <c r="O542" i="3"/>
  <c r="O530" i="3"/>
  <c r="J526" i="3"/>
  <c r="J518" i="3"/>
  <c r="O514" i="3"/>
  <c r="I506" i="3"/>
  <c r="O494" i="3"/>
  <c r="J643" i="2"/>
  <c r="W643" i="2"/>
  <c r="V643" i="2"/>
  <c r="M622" i="2"/>
  <c r="N622" i="2" s="1"/>
  <c r="N512" i="3"/>
  <c r="O431" i="2"/>
  <c r="P431" i="2" s="1"/>
  <c r="J404" i="2"/>
  <c r="W404" i="2"/>
  <c r="V404" i="2"/>
  <c r="N395" i="3"/>
  <c r="N379" i="3"/>
  <c r="N508" i="3"/>
  <c r="O446" i="3"/>
  <c r="O414" i="3"/>
  <c r="O394" i="3"/>
  <c r="O350" i="3"/>
  <c r="M661" i="2"/>
  <c r="N661" i="2" s="1"/>
  <c r="J609" i="2"/>
  <c r="W609" i="2"/>
  <c r="V609" i="2"/>
  <c r="L575" i="3"/>
  <c r="J575" i="3"/>
  <c r="H575" i="3"/>
  <c r="O575" i="3"/>
  <c r="M575" i="3"/>
  <c r="S575" i="3" s="1"/>
  <c r="I575" i="3"/>
  <c r="L551" i="3"/>
  <c r="J551" i="3"/>
  <c r="H551" i="3"/>
  <c r="M551" i="3"/>
  <c r="S551" i="3" s="1"/>
  <c r="O551" i="3"/>
  <c r="I551" i="3"/>
  <c r="H520" i="2"/>
  <c r="I520" i="2" s="1"/>
  <c r="N448" i="3"/>
  <c r="N416" i="3"/>
  <c r="N408" i="3"/>
  <c r="K646" i="2"/>
  <c r="L646" i="2" s="1"/>
  <c r="M624" i="2"/>
  <c r="N624" i="2" s="1"/>
  <c r="N522" i="3"/>
  <c r="N507" i="3"/>
  <c r="O500" i="3"/>
  <c r="O463" i="3"/>
  <c r="O455" i="3"/>
  <c r="O447" i="3"/>
  <c r="O439" i="3"/>
  <c r="O431" i="3"/>
  <c r="O423" i="3"/>
  <c r="O415" i="3"/>
  <c r="O515" i="3"/>
  <c r="W500" i="2"/>
  <c r="V500" i="2"/>
  <c r="J500" i="2"/>
  <c r="N491" i="3"/>
  <c r="N477" i="3"/>
  <c r="N445" i="3"/>
  <c r="N413" i="3"/>
  <c r="M540" i="3"/>
  <c r="S540" i="3" s="1"/>
  <c r="N535" i="3"/>
  <c r="H525" i="3"/>
  <c r="O525" i="3"/>
  <c r="M525" i="3"/>
  <c r="S525" i="3" s="1"/>
  <c r="L525" i="3"/>
  <c r="J525" i="3"/>
  <c r="I525" i="3"/>
  <c r="O460" i="3"/>
  <c r="O448" i="3"/>
  <c r="O524" i="2"/>
  <c r="P524" i="2" s="1"/>
  <c r="M489" i="2"/>
  <c r="N489" i="2" s="1"/>
  <c r="H485" i="3"/>
  <c r="M485" i="3"/>
  <c r="S485" i="3" s="1"/>
  <c r="L485" i="3"/>
  <c r="J485" i="3"/>
  <c r="I485" i="3"/>
  <c r="O485" i="3"/>
  <c r="J483" i="3"/>
  <c r="O471" i="3"/>
  <c r="I469" i="3"/>
  <c r="H469" i="3"/>
  <c r="O469" i="3"/>
  <c r="M469" i="3"/>
  <c r="S469" i="3" s="1"/>
  <c r="L469" i="3"/>
  <c r="J469" i="3"/>
  <c r="H457" i="3"/>
  <c r="I445" i="3"/>
  <c r="I437" i="3"/>
  <c r="H433" i="3"/>
  <c r="O397" i="3"/>
  <c r="H393" i="3"/>
  <c r="L389" i="3"/>
  <c r="H364" i="2"/>
  <c r="I364" i="2" s="1"/>
  <c r="N353" i="3"/>
  <c r="W331" i="2"/>
  <c r="V331" i="2"/>
  <c r="J331" i="2"/>
  <c r="N302" i="3"/>
  <c r="N290" i="3"/>
  <c r="W589" i="2"/>
  <c r="V589" i="2"/>
  <c r="J589" i="2"/>
  <c r="N518" i="3"/>
  <c r="H400" i="3"/>
  <c r="O400" i="3"/>
  <c r="L400" i="3"/>
  <c r="J400" i="3"/>
  <c r="I400" i="3"/>
  <c r="M400" i="3"/>
  <c r="S400" i="3" s="1"/>
  <c r="O379" i="3"/>
  <c r="N362" i="3"/>
  <c r="O321" i="3"/>
  <c r="N368" i="3"/>
  <c r="N349" i="3"/>
  <c r="K341" i="2"/>
  <c r="L341" i="2" s="1"/>
  <c r="N438" i="3"/>
  <c r="W399" i="2"/>
  <c r="V399" i="2"/>
  <c r="J399" i="2"/>
  <c r="N394" i="3"/>
  <c r="J359" i="3"/>
  <c r="O356" i="3"/>
  <c r="M356" i="3"/>
  <c r="S356" i="3" s="1"/>
  <c r="L356" i="3"/>
  <c r="J356" i="3"/>
  <c r="H356" i="3"/>
  <c r="I356" i="3"/>
  <c r="J340" i="2"/>
  <c r="W340" i="2"/>
  <c r="V340" i="2"/>
  <c r="J332" i="2"/>
  <c r="W332" i="2"/>
  <c r="V332" i="2"/>
  <c r="J324" i="2"/>
  <c r="W324" i="2"/>
  <c r="V324" i="2"/>
  <c r="J316" i="2"/>
  <c r="W316" i="2"/>
  <c r="V316" i="2"/>
  <c r="J296" i="2"/>
  <c r="V296" i="2"/>
  <c r="W296" i="2"/>
  <c r="J282" i="3"/>
  <c r="I254" i="3"/>
  <c r="N414" i="3"/>
  <c r="L396" i="3"/>
  <c r="J396" i="3"/>
  <c r="H396" i="3"/>
  <c r="O396" i="3"/>
  <c r="M396" i="3"/>
  <c r="S396" i="3" s="1"/>
  <c r="I396" i="3"/>
  <c r="O371" i="2"/>
  <c r="P371" i="2" s="1"/>
  <c r="V333" i="2"/>
  <c r="J333" i="2"/>
  <c r="W333" i="2"/>
  <c r="N324" i="3"/>
  <c r="N300" i="3"/>
  <c r="N284" i="3"/>
  <c r="M523" i="3"/>
  <c r="S523" i="3" s="1"/>
  <c r="L523" i="3"/>
  <c r="J523" i="3"/>
  <c r="I523" i="3"/>
  <c r="H523" i="3"/>
  <c r="O523" i="3"/>
  <c r="J355" i="3"/>
  <c r="K346" i="2"/>
  <c r="L346" i="2" s="1"/>
  <c r="O315" i="3"/>
  <c r="K393" i="3"/>
  <c r="N360" i="3"/>
  <c r="N344" i="3"/>
  <c r="K335" i="2"/>
  <c r="L335" i="2" s="1"/>
  <c r="N325" i="3"/>
  <c r="O313" i="2"/>
  <c r="P313" i="2" s="1"/>
  <c r="O420" i="2"/>
  <c r="P420" i="2" s="1"/>
  <c r="H351" i="3"/>
  <c r="I296" i="3"/>
  <c r="L268" i="3"/>
  <c r="O252" i="3"/>
  <c r="O240" i="3"/>
  <c r="O232" i="3"/>
  <c r="M287" i="3"/>
  <c r="S287" i="3" s="1"/>
  <c r="L287" i="3"/>
  <c r="J287" i="3"/>
  <c r="I287" i="3"/>
  <c r="H287" i="3"/>
  <c r="O287" i="3"/>
  <c r="N268" i="3"/>
  <c r="W259" i="2"/>
  <c r="J259" i="2"/>
  <c r="V259" i="2"/>
  <c r="O234" i="3"/>
  <c r="O226" i="3"/>
  <c r="O219" i="3"/>
  <c r="W209" i="2"/>
  <c r="V209" i="2"/>
  <c r="J209" i="2"/>
  <c r="W193" i="2"/>
  <c r="J193" i="2"/>
  <c r="V193" i="2"/>
  <c r="O187" i="3"/>
  <c r="H183" i="3"/>
  <c r="O171" i="3"/>
  <c r="H155" i="3"/>
  <c r="M151" i="3"/>
  <c r="S151" i="3" s="1"/>
  <c r="H143" i="3"/>
  <c r="M139" i="3"/>
  <c r="S139" i="3" s="1"/>
  <c r="N241" i="3"/>
  <c r="N225" i="3"/>
  <c r="K179" i="2"/>
  <c r="L179" i="2" s="1"/>
  <c r="L253" i="3"/>
  <c r="I253" i="3"/>
  <c r="H253" i="3"/>
  <c r="M253" i="3"/>
  <c r="S253" i="3" s="1"/>
  <c r="O253" i="3"/>
  <c r="J253" i="3"/>
  <c r="O216" i="3"/>
  <c r="O172" i="3"/>
  <c r="N255" i="3"/>
  <c r="M305" i="2"/>
  <c r="N305" i="2" s="1"/>
  <c r="J268" i="2"/>
  <c r="V268" i="2"/>
  <c r="W268" i="2"/>
  <c r="M241" i="3"/>
  <c r="S241" i="3" s="1"/>
  <c r="W238" i="2"/>
  <c r="V238" i="2"/>
  <c r="J238" i="2"/>
  <c r="I233" i="3"/>
  <c r="W224" i="2"/>
  <c r="V224" i="2"/>
  <c r="J224" i="2"/>
  <c r="O221" i="3"/>
  <c r="J215" i="2"/>
  <c r="V215" i="2"/>
  <c r="W215" i="2"/>
  <c r="O193" i="3"/>
  <c r="O189" i="3"/>
  <c r="J183" i="2"/>
  <c r="V183" i="2"/>
  <c r="W183" i="2"/>
  <c r="N258" i="3"/>
  <c r="N254" i="3"/>
  <c r="N250" i="3"/>
  <c r="N246" i="3"/>
  <c r="N242" i="3"/>
  <c r="N234" i="3"/>
  <c r="N226" i="3"/>
  <c r="N207" i="3"/>
  <c r="M194" i="2"/>
  <c r="N194" i="2" s="1"/>
  <c r="K181" i="2"/>
  <c r="L181" i="2" s="1"/>
  <c r="N212" i="3"/>
  <c r="K202" i="2"/>
  <c r="L202" i="2" s="1"/>
  <c r="K260" i="3"/>
  <c r="N194" i="3"/>
  <c r="N73" i="3"/>
  <c r="N49" i="3"/>
  <c r="N19" i="3"/>
  <c r="N178" i="3"/>
  <c r="K167" i="3"/>
  <c r="K159" i="3"/>
  <c r="N150" i="3"/>
  <c r="K127" i="3"/>
  <c r="N81" i="3"/>
  <c r="K144" i="2"/>
  <c r="L144" i="2" s="1"/>
  <c r="K136" i="2"/>
  <c r="L136" i="2" s="1"/>
  <c r="K128" i="2"/>
  <c r="L128" i="2" s="1"/>
  <c r="H120" i="3"/>
  <c r="J115" i="2"/>
  <c r="W115" i="2"/>
  <c r="V115" i="2"/>
  <c r="J112" i="3"/>
  <c r="J4" i="3"/>
  <c r="I4" i="3"/>
  <c r="H4" i="3"/>
  <c r="O4" i="3"/>
  <c r="M4" i="3"/>
  <c r="S4" i="3" s="1"/>
  <c r="L4" i="3"/>
  <c r="N42" i="3"/>
  <c r="N30" i="3"/>
  <c r="N7" i="3"/>
  <c r="N106" i="3"/>
  <c r="N90" i="3"/>
  <c r="N74" i="3"/>
  <c r="M57" i="2"/>
  <c r="N57" i="2" s="1"/>
  <c r="K44" i="2"/>
  <c r="L44" i="2" s="1"/>
  <c r="N10" i="3"/>
  <c r="M579" i="2"/>
  <c r="N579" i="2" s="1"/>
  <c r="M638" i="2"/>
  <c r="N638" i="2" s="1"/>
  <c r="M626" i="2"/>
  <c r="N626" i="2" s="1"/>
  <c r="M657" i="2"/>
  <c r="N657" i="2" s="1"/>
  <c r="M607" i="2"/>
  <c r="N607" i="2" s="1"/>
  <c r="M538" i="2"/>
  <c r="N538" i="2" s="1"/>
  <c r="M207" i="2"/>
  <c r="N207" i="2" s="1"/>
  <c r="M187" i="2"/>
  <c r="N187" i="2" s="1"/>
  <c r="M28" i="2"/>
  <c r="N28" i="2" s="1"/>
  <c r="M20" i="2"/>
  <c r="N20" i="2" s="1"/>
  <c r="M54" i="2"/>
  <c r="N54" i="2" s="1"/>
  <c r="M115" i="2"/>
  <c r="N115" i="2" s="1"/>
  <c r="M104" i="2"/>
  <c r="N104" i="2" s="1"/>
  <c r="M92" i="2"/>
  <c r="N92" i="2" s="1"/>
  <c r="M52" i="2"/>
  <c r="N52" i="2" s="1"/>
  <c r="M44" i="2"/>
  <c r="N44" i="2" s="1"/>
  <c r="M98" i="2"/>
  <c r="N98" i="2" s="1"/>
  <c r="M86" i="2"/>
  <c r="N86" i="2" s="1"/>
  <c r="M30" i="2"/>
  <c r="N30" i="2" s="1"/>
  <c r="M42" i="2"/>
  <c r="N42" i="2" s="1"/>
  <c r="M110" i="2"/>
  <c r="N110" i="2" s="1"/>
  <c r="M121" i="2"/>
  <c r="N121" i="2" s="1"/>
  <c r="O546" i="2"/>
  <c r="P546" i="2" s="1"/>
  <c r="O705" i="2"/>
  <c r="P705" i="2" s="1"/>
  <c r="O535" i="2"/>
  <c r="P535" i="2" s="1"/>
  <c r="O406" i="2"/>
  <c r="P406" i="2" s="1"/>
  <c r="O353" i="2"/>
  <c r="P353" i="2" s="1"/>
  <c r="O331" i="2"/>
  <c r="P331" i="2" s="1"/>
  <c r="O398" i="2"/>
  <c r="P398" i="2" s="1"/>
  <c r="O434" i="2"/>
  <c r="P434" i="2" s="1"/>
  <c r="O241" i="2"/>
  <c r="P241" i="2" s="1"/>
  <c r="O248" i="2"/>
  <c r="P248" i="2" s="1"/>
  <c r="O244" i="2"/>
  <c r="P244" i="2" s="1"/>
  <c r="O194" i="2"/>
  <c r="P194" i="2" s="1"/>
  <c r="O149" i="2"/>
  <c r="P149" i="2" s="1"/>
  <c r="O63" i="2"/>
  <c r="P63" i="2" s="1"/>
  <c r="M515" i="2"/>
  <c r="N515" i="2" s="1"/>
  <c r="M598" i="2"/>
  <c r="N598" i="2" s="1"/>
  <c r="M594" i="2"/>
  <c r="N594" i="2" s="1"/>
  <c r="M542" i="2"/>
  <c r="N542" i="2" s="1"/>
  <c r="M487" i="2"/>
  <c r="N487" i="2" s="1"/>
  <c r="M471" i="2"/>
  <c r="N471" i="2" s="1"/>
  <c r="M392" i="2"/>
  <c r="N392" i="2" s="1"/>
  <c r="M358" i="2"/>
  <c r="N358" i="2" s="1"/>
  <c r="M300" i="2"/>
  <c r="N300" i="2" s="1"/>
  <c r="M260" i="2"/>
  <c r="N260" i="2" s="1"/>
  <c r="M284" i="2"/>
  <c r="N284" i="2" s="1"/>
  <c r="M72" i="2"/>
  <c r="N72" i="2" s="1"/>
  <c r="M82" i="2"/>
  <c r="N82" i="2" s="1"/>
  <c r="M201" i="2"/>
  <c r="N201" i="2" s="1"/>
  <c r="M94" i="2"/>
  <c r="N94" i="2" s="1"/>
  <c r="J27" i="7"/>
  <c r="H433" i="2"/>
  <c r="I433" i="2" s="1"/>
  <c r="H509" i="2"/>
  <c r="I509" i="2" s="1"/>
  <c r="H210" i="2"/>
  <c r="I210" i="2" s="1"/>
  <c r="H269" i="2"/>
  <c r="I269" i="2" s="1"/>
  <c r="H64" i="2"/>
  <c r="I64" i="2" s="1"/>
  <c r="J30" i="7"/>
  <c r="H578" i="2"/>
  <c r="I578" i="2" s="1"/>
  <c r="J19" i="7"/>
  <c r="H507" i="2"/>
  <c r="I507" i="2" s="1"/>
  <c r="H458" i="2"/>
  <c r="I458" i="2" s="1"/>
  <c r="H389" i="2"/>
  <c r="I389" i="2" s="1"/>
  <c r="H214" i="2"/>
  <c r="I214" i="2" s="1"/>
  <c r="H48" i="2"/>
  <c r="I48" i="2" s="1"/>
  <c r="H156" i="2"/>
  <c r="I156" i="2" s="1"/>
  <c r="H91" i="2"/>
  <c r="I91" i="2" s="1"/>
  <c r="H184" i="2"/>
  <c r="I184" i="2" s="1"/>
  <c r="O413" i="2"/>
  <c r="P413" i="2" s="1"/>
  <c r="O499" i="2"/>
  <c r="P499" i="2" s="1"/>
  <c r="J15" i="7"/>
  <c r="H547" i="2"/>
  <c r="I547" i="2" s="1"/>
  <c r="H198" i="2"/>
  <c r="I198" i="2" s="1"/>
  <c r="H168" i="2"/>
  <c r="I168" i="2" s="1"/>
  <c r="O586" i="2"/>
  <c r="P586" i="2" s="1"/>
  <c r="O421" i="2"/>
  <c r="P421" i="2" s="1"/>
  <c r="O551" i="2"/>
  <c r="P551" i="2" s="1"/>
  <c r="O493" i="2"/>
  <c r="P493" i="2" s="1"/>
  <c r="O374" i="2"/>
  <c r="P374" i="2" s="1"/>
  <c r="O405" i="2"/>
  <c r="P405" i="2" s="1"/>
  <c r="M595" i="2"/>
  <c r="N595" i="2" s="1"/>
  <c r="M523" i="2"/>
  <c r="N523" i="2" s="1"/>
  <c r="M683" i="2"/>
  <c r="N683" i="2" s="1"/>
  <c r="M684" i="2"/>
  <c r="N684" i="2" s="1"/>
  <c r="M652" i="2"/>
  <c r="N652" i="2" s="1"/>
  <c r="M491" i="2"/>
  <c r="N491" i="2" s="1"/>
  <c r="J42" i="7"/>
  <c r="H586" i="2"/>
  <c r="I586" i="2" s="1"/>
  <c r="H551" i="2"/>
  <c r="I551" i="2" s="1"/>
  <c r="H493" i="2"/>
  <c r="I493" i="2" s="1"/>
  <c r="H421" i="2"/>
  <c r="I421" i="2" s="1"/>
  <c r="H593" i="2"/>
  <c r="I593" i="2" s="1"/>
  <c r="H405" i="2"/>
  <c r="I405" i="2" s="1"/>
  <c r="H374" i="2"/>
  <c r="I374" i="2" s="1"/>
  <c r="H373" i="2"/>
  <c r="I373" i="2" s="1"/>
  <c r="K665" i="2"/>
  <c r="L665" i="2" s="1"/>
  <c r="K653" i="2"/>
  <c r="L653" i="2" s="1"/>
  <c r="K635" i="2"/>
  <c r="L635" i="2" s="1"/>
  <c r="K619" i="2"/>
  <c r="L619" i="2" s="1"/>
  <c r="K361" i="2"/>
  <c r="L361" i="2" s="1"/>
  <c r="K281" i="2"/>
  <c r="L281" i="2" s="1"/>
  <c r="K280" i="2"/>
  <c r="L280" i="2" s="1"/>
  <c r="K287" i="2"/>
  <c r="L287" i="2" s="1"/>
  <c r="K265" i="2"/>
  <c r="L265" i="2" s="1"/>
  <c r="O704" i="2"/>
  <c r="P704" i="2" s="1"/>
  <c r="O701" i="2"/>
  <c r="P701" i="2" s="1"/>
  <c r="O600" i="2"/>
  <c r="P600" i="2" s="1"/>
  <c r="O507" i="2"/>
  <c r="P507" i="2" s="1"/>
  <c r="O310" i="2"/>
  <c r="P310" i="2" s="1"/>
  <c r="O298" i="2"/>
  <c r="P298" i="2" s="1"/>
  <c r="O389" i="2"/>
  <c r="P389" i="2" s="1"/>
  <c r="O339" i="2"/>
  <c r="P339" i="2" s="1"/>
  <c r="O458" i="2"/>
  <c r="P458" i="2" s="1"/>
  <c r="O272" i="2"/>
  <c r="P272" i="2" s="1"/>
  <c r="O271" i="2"/>
  <c r="P271" i="2" s="1"/>
  <c r="O278" i="2"/>
  <c r="P278" i="2" s="1"/>
  <c r="O250" i="2"/>
  <c r="P250" i="2" s="1"/>
  <c r="O91" i="2"/>
  <c r="P91" i="2" s="1"/>
  <c r="O175" i="2"/>
  <c r="P175" i="2" s="1"/>
  <c r="O214" i="2"/>
  <c r="P214" i="2" s="1"/>
  <c r="O182" i="2"/>
  <c r="P182" i="2" s="1"/>
  <c r="M673" i="2"/>
  <c r="N673" i="2" s="1"/>
  <c r="M700" i="2"/>
  <c r="N700" i="2" s="1"/>
  <c r="M80" i="2"/>
  <c r="N80" i="2" s="1"/>
  <c r="M36" i="2"/>
  <c r="N36" i="2" s="1"/>
  <c r="O25" i="3"/>
  <c r="N67" i="3"/>
  <c r="N174" i="3"/>
  <c r="C26" i="4"/>
  <c r="E30" i="4"/>
  <c r="C28" i="4"/>
  <c r="B31" i="4"/>
  <c r="E33" i="4"/>
  <c r="C36" i="4"/>
  <c r="E38" i="4"/>
  <c r="H263" i="2"/>
  <c r="I263" i="2" s="1"/>
  <c r="M196" i="2"/>
  <c r="N196" i="2" s="1"/>
  <c r="N156" i="3"/>
  <c r="O18" i="3"/>
  <c r="K266" i="2"/>
  <c r="L266" i="2" s="1"/>
  <c r="H171" i="2"/>
  <c r="I171" i="2" s="1"/>
  <c r="N163" i="3"/>
  <c r="H121" i="2"/>
  <c r="I121" i="2" s="1"/>
  <c r="N116" i="3"/>
  <c r="K26" i="2"/>
  <c r="L26" i="2" s="1"/>
  <c r="N71" i="3"/>
  <c r="O30" i="3"/>
  <c r="E67" i="4"/>
  <c r="E72" i="4"/>
  <c r="D63" i="4"/>
  <c r="B69" i="4"/>
  <c r="E74" i="4"/>
  <c r="C64" i="4"/>
  <c r="C65" i="4"/>
  <c r="E56" i="4"/>
  <c r="D56" i="4"/>
  <c r="E53" i="4"/>
  <c r="E51" i="4"/>
  <c r="D43" i="4"/>
  <c r="D48" i="4"/>
  <c r="D53" i="4"/>
  <c r="C50" i="4"/>
  <c r="W435" i="2"/>
  <c r="V435" i="2"/>
  <c r="J435" i="2"/>
  <c r="J352" i="2"/>
  <c r="V352" i="2"/>
  <c r="W352" i="2"/>
  <c r="J525" i="2"/>
  <c r="V525" i="2"/>
  <c r="W525" i="2"/>
  <c r="L388" i="3"/>
  <c r="J388" i="3"/>
  <c r="H388" i="3"/>
  <c r="O388" i="3"/>
  <c r="M388" i="3"/>
  <c r="S388" i="3" s="1"/>
  <c r="I388" i="3"/>
  <c r="J361" i="2"/>
  <c r="W361" i="2"/>
  <c r="V361" i="2"/>
  <c r="N466" i="3"/>
  <c r="W334" i="2"/>
  <c r="V334" i="2"/>
  <c r="J334" i="2"/>
  <c r="N209" i="3"/>
  <c r="I307" i="3"/>
  <c r="H307" i="3"/>
  <c r="O307" i="3"/>
  <c r="M307" i="3"/>
  <c r="S307" i="3" s="1"/>
  <c r="L307" i="3"/>
  <c r="J307" i="3"/>
  <c r="H128" i="3"/>
  <c r="O128" i="3"/>
  <c r="M128" i="3"/>
  <c r="S128" i="3" s="1"/>
  <c r="L128" i="3"/>
  <c r="J128" i="3"/>
  <c r="I128" i="3"/>
  <c r="O54" i="3"/>
  <c r="N75" i="3"/>
  <c r="J114" i="3"/>
  <c r="I114" i="3"/>
  <c r="H114" i="3"/>
  <c r="O114" i="3"/>
  <c r="M114" i="3"/>
  <c r="S114" i="3" s="1"/>
  <c r="L114" i="3"/>
  <c r="J98" i="2"/>
  <c r="W98" i="2"/>
  <c r="V98" i="2"/>
  <c r="J74" i="2"/>
  <c r="V74" i="2"/>
  <c r="W74" i="2"/>
  <c r="O48" i="3"/>
  <c r="J41" i="7"/>
  <c r="H489" i="2"/>
  <c r="I489" i="2" s="1"/>
  <c r="N725" i="3"/>
  <c r="O692" i="3"/>
  <c r="O636" i="3"/>
  <c r="O713" i="3"/>
  <c r="O709" i="3"/>
  <c r="O701" i="3"/>
  <c r="O657" i="3"/>
  <c r="O621" i="3"/>
  <c r="W720" i="2"/>
  <c r="V720" i="2"/>
  <c r="J720" i="2"/>
  <c r="O670" i="3"/>
  <c r="O642" i="3"/>
  <c r="O626" i="3"/>
  <c r="W721" i="2"/>
  <c r="V721" i="2"/>
  <c r="J721" i="2"/>
  <c r="N612" i="3"/>
  <c r="N580" i="3"/>
  <c r="N548" i="3"/>
  <c r="W656" i="2"/>
  <c r="J656" i="2"/>
  <c r="V656" i="2"/>
  <c r="N641" i="3"/>
  <c r="J631" i="2"/>
  <c r="W631" i="2"/>
  <c r="V631" i="2"/>
  <c r="N593" i="3"/>
  <c r="N561" i="3"/>
  <c r="K519" i="2"/>
  <c r="L519" i="2" s="1"/>
  <c r="N509" i="3"/>
  <c r="N653" i="3"/>
  <c r="O596" i="3"/>
  <c r="O584" i="3"/>
  <c r="O556" i="3"/>
  <c r="P556" i="3" s="1"/>
  <c r="N697" i="3"/>
  <c r="N636" i="3"/>
  <c r="W617" i="2"/>
  <c r="J617" i="2"/>
  <c r="V617" i="2"/>
  <c r="N594" i="3"/>
  <c r="N562" i="3"/>
  <c r="N717" i="3"/>
  <c r="O565" i="3"/>
  <c r="N662" i="3"/>
  <c r="N649" i="3"/>
  <c r="N600" i="3"/>
  <c r="V588" i="2"/>
  <c r="J588" i="2"/>
  <c r="W588" i="2"/>
  <c r="I582" i="3"/>
  <c r="O566" i="3"/>
  <c r="V556" i="2"/>
  <c r="J556" i="2"/>
  <c r="W556" i="2"/>
  <c r="O554" i="3"/>
  <c r="V540" i="2"/>
  <c r="J540" i="2"/>
  <c r="W540" i="2"/>
  <c r="O482" i="3"/>
  <c r="O531" i="3"/>
  <c r="N498" i="3"/>
  <c r="N492" i="3"/>
  <c r="N484" i="3"/>
  <c r="N476" i="3"/>
  <c r="W468" i="2"/>
  <c r="V468" i="2"/>
  <c r="J468" i="2"/>
  <c r="N463" i="3"/>
  <c r="N447" i="3"/>
  <c r="N431" i="3"/>
  <c r="K425" i="2"/>
  <c r="L425" i="2" s="1"/>
  <c r="N415" i="3"/>
  <c r="N403" i="3"/>
  <c r="K393" i="2"/>
  <c r="L393" i="2" s="1"/>
  <c r="H595" i="3"/>
  <c r="O595" i="3"/>
  <c r="M595" i="3"/>
  <c r="S595" i="3" s="1"/>
  <c r="L595" i="3"/>
  <c r="J595" i="3"/>
  <c r="I595" i="3"/>
  <c r="H563" i="3"/>
  <c r="O563" i="3"/>
  <c r="L563" i="3"/>
  <c r="J563" i="3"/>
  <c r="I563" i="3"/>
  <c r="M563" i="3"/>
  <c r="S563" i="3" s="1"/>
  <c r="O450" i="3"/>
  <c r="O418" i="3"/>
  <c r="P418" i="3" s="1"/>
  <c r="O398" i="3"/>
  <c r="O366" i="3"/>
  <c r="L536" i="3"/>
  <c r="N460" i="3"/>
  <c r="N428" i="3"/>
  <c r="J699" i="2"/>
  <c r="W699" i="2"/>
  <c r="V699" i="2"/>
  <c r="K624" i="2"/>
  <c r="L624" i="2" s="1"/>
  <c r="N591" i="3"/>
  <c r="H555" i="3"/>
  <c r="L555" i="3"/>
  <c r="J555" i="3"/>
  <c r="I555" i="3"/>
  <c r="M555" i="3"/>
  <c r="S555" i="3" s="1"/>
  <c r="O555" i="3"/>
  <c r="O527" i="3"/>
  <c r="V512" i="2"/>
  <c r="W512" i="2"/>
  <c r="J512" i="2"/>
  <c r="N510" i="3"/>
  <c r="N495" i="3"/>
  <c r="N481" i="3"/>
  <c r="N465" i="3"/>
  <c r="K455" i="2"/>
  <c r="L455" i="2" s="1"/>
  <c r="N433" i="3"/>
  <c r="N598" i="3"/>
  <c r="L540" i="3"/>
  <c r="H508" i="2"/>
  <c r="I508" i="2" s="1"/>
  <c r="N506" i="3"/>
  <c r="O436" i="3"/>
  <c r="J695" i="2"/>
  <c r="W695" i="2"/>
  <c r="V695" i="2"/>
  <c r="K620" i="2"/>
  <c r="L620" i="2" s="1"/>
  <c r="O499" i="3"/>
  <c r="W494" i="2"/>
  <c r="V494" i="2"/>
  <c r="J494" i="2"/>
  <c r="O487" i="3"/>
  <c r="H478" i="2"/>
  <c r="I478" i="2" s="1"/>
  <c r="I457" i="3"/>
  <c r="I433" i="3"/>
  <c r="M389" i="3"/>
  <c r="S389" i="3" s="1"/>
  <c r="O385" i="3"/>
  <c r="I345" i="3"/>
  <c r="N519" i="3"/>
  <c r="W407" i="2"/>
  <c r="V407" i="2"/>
  <c r="J407" i="2"/>
  <c r="O376" i="2"/>
  <c r="P376" i="2" s="1"/>
  <c r="N359" i="3"/>
  <c r="N330" i="3"/>
  <c r="N314" i="3"/>
  <c r="L543" i="3"/>
  <c r="H543" i="3"/>
  <c r="O543" i="3"/>
  <c r="M543" i="3"/>
  <c r="S543" i="3" s="1"/>
  <c r="I543" i="3"/>
  <c r="J543" i="3"/>
  <c r="J344" i="3"/>
  <c r="I344" i="3"/>
  <c r="H344" i="3"/>
  <c r="O344" i="3"/>
  <c r="L344" i="3"/>
  <c r="M344" i="3"/>
  <c r="S344" i="3" s="1"/>
  <c r="O333" i="3"/>
  <c r="O309" i="3"/>
  <c r="O301" i="3"/>
  <c r="O289" i="3"/>
  <c r="O269" i="3"/>
  <c r="H504" i="2"/>
  <c r="I504" i="2" s="1"/>
  <c r="N384" i="3"/>
  <c r="N339" i="3"/>
  <c r="N323" i="3"/>
  <c r="N307" i="3"/>
  <c r="M507" i="3"/>
  <c r="S507" i="3" s="1"/>
  <c r="L507" i="3"/>
  <c r="J507" i="3"/>
  <c r="I507" i="3"/>
  <c r="O507" i="3"/>
  <c r="H507" i="3"/>
  <c r="O387" i="3"/>
  <c r="L372" i="3"/>
  <c r="J372" i="3"/>
  <c r="H372" i="3"/>
  <c r="O372" i="3"/>
  <c r="M372" i="3"/>
  <c r="S372" i="3" s="1"/>
  <c r="I372" i="3"/>
  <c r="W367" i="2"/>
  <c r="V367" i="2"/>
  <c r="J367" i="2"/>
  <c r="H284" i="2"/>
  <c r="I284" i="2" s="1"/>
  <c r="O274" i="3"/>
  <c r="O456" i="2"/>
  <c r="P456" i="2" s="1"/>
  <c r="N426" i="3"/>
  <c r="N348" i="3"/>
  <c r="N328" i="3"/>
  <c r="M323" i="2"/>
  <c r="N323" i="2" s="1"/>
  <c r="M299" i="2"/>
  <c r="N299" i="2" s="1"/>
  <c r="V541" i="2"/>
  <c r="J541" i="2"/>
  <c r="W541" i="2"/>
  <c r="N380" i="3"/>
  <c r="H368" i="3"/>
  <c r="O368" i="3"/>
  <c r="L368" i="3"/>
  <c r="J368" i="3"/>
  <c r="I368" i="3"/>
  <c r="M368" i="3"/>
  <c r="S368" i="3" s="1"/>
  <c r="O339" i="3"/>
  <c r="O335" i="3"/>
  <c r="O311" i="3"/>
  <c r="N373" i="3"/>
  <c r="N313" i="3"/>
  <c r="H420" i="2"/>
  <c r="I420" i="2" s="1"/>
  <c r="N401" i="3"/>
  <c r="N388" i="3"/>
  <c r="W362" i="2"/>
  <c r="V362" i="2"/>
  <c r="J362" i="2"/>
  <c r="O351" i="3"/>
  <c r="O324" i="3"/>
  <c r="O304" i="3"/>
  <c r="P304" i="3" s="1"/>
  <c r="W298" i="2"/>
  <c r="J298" i="2"/>
  <c r="V298" i="2"/>
  <c r="O276" i="3"/>
  <c r="N267" i="3"/>
  <c r="J239" i="2"/>
  <c r="W239" i="2"/>
  <c r="V239" i="2"/>
  <c r="H234" i="3"/>
  <c r="J231" i="2"/>
  <c r="W231" i="2"/>
  <c r="V231" i="2"/>
  <c r="J223" i="2"/>
  <c r="W223" i="2"/>
  <c r="V223" i="2"/>
  <c r="I183" i="3"/>
  <c r="O139" i="3"/>
  <c r="O119" i="3"/>
  <c r="V382" i="2"/>
  <c r="W382" i="2"/>
  <c r="J382" i="2"/>
  <c r="I299" i="3"/>
  <c r="H299" i="3"/>
  <c r="O299" i="3"/>
  <c r="M299" i="3"/>
  <c r="S299" i="3" s="1"/>
  <c r="L299" i="3"/>
  <c r="J299" i="3"/>
  <c r="W283" i="2"/>
  <c r="V283" i="2"/>
  <c r="J283" i="2"/>
  <c r="N265" i="3"/>
  <c r="K240" i="2"/>
  <c r="L240" i="2" s="1"/>
  <c r="N235" i="3"/>
  <c r="K187" i="2"/>
  <c r="L187" i="2" s="1"/>
  <c r="N177" i="3"/>
  <c r="H257" i="3"/>
  <c r="O257" i="3"/>
  <c r="M257" i="3"/>
  <c r="S257" i="3" s="1"/>
  <c r="L257" i="3"/>
  <c r="J257" i="3"/>
  <c r="I257" i="3"/>
  <c r="O196" i="3"/>
  <c r="O188" i="3"/>
  <c r="O180" i="3"/>
  <c r="N279" i="3"/>
  <c r="K252" i="3"/>
  <c r="N243" i="3"/>
  <c r="J283" i="3"/>
  <c r="I283" i="3"/>
  <c r="H283" i="3"/>
  <c r="O283" i="3"/>
  <c r="M283" i="3"/>
  <c r="S283" i="3" s="1"/>
  <c r="L283" i="3"/>
  <c r="O241" i="3"/>
  <c r="W236" i="2"/>
  <c r="V236" i="2"/>
  <c r="J236" i="2"/>
  <c r="J233" i="3"/>
  <c r="M231" i="3"/>
  <c r="S231" i="3" s="1"/>
  <c r="L231" i="3"/>
  <c r="J231" i="3"/>
  <c r="I231" i="3"/>
  <c r="H231" i="3"/>
  <c r="O231" i="3"/>
  <c r="J203" i="2"/>
  <c r="V203" i="2"/>
  <c r="W203" i="2"/>
  <c r="O169" i="3"/>
  <c r="O157" i="3"/>
  <c r="O137" i="3"/>
  <c r="O125" i="3"/>
  <c r="K343" i="2"/>
  <c r="L343" i="2" s="1"/>
  <c r="N219" i="3"/>
  <c r="W200" i="2"/>
  <c r="V200" i="2"/>
  <c r="J200" i="2"/>
  <c r="N187" i="3"/>
  <c r="N179" i="3"/>
  <c r="N303" i="3"/>
  <c r="N257" i="3"/>
  <c r="N200" i="3"/>
  <c r="M279" i="3"/>
  <c r="S279" i="3" s="1"/>
  <c r="L279" i="3"/>
  <c r="J279" i="3"/>
  <c r="I279" i="3"/>
  <c r="H279" i="3"/>
  <c r="O279" i="3"/>
  <c r="H214" i="3"/>
  <c r="O214" i="3"/>
  <c r="M214" i="3"/>
  <c r="S214" i="3" s="1"/>
  <c r="L214" i="3"/>
  <c r="J214" i="3"/>
  <c r="I214" i="3"/>
  <c r="L164" i="3"/>
  <c r="J164" i="3"/>
  <c r="I164" i="3"/>
  <c r="H164" i="3"/>
  <c r="O164" i="3"/>
  <c r="M164" i="3"/>
  <c r="S164" i="3" s="1"/>
  <c r="L148" i="3"/>
  <c r="J148" i="3"/>
  <c r="I148" i="3"/>
  <c r="H148" i="3"/>
  <c r="O148" i="3"/>
  <c r="M148" i="3"/>
  <c r="S148" i="3" s="1"/>
  <c r="L132" i="3"/>
  <c r="J132" i="3"/>
  <c r="I132" i="3"/>
  <c r="H132" i="3"/>
  <c r="O132" i="3"/>
  <c r="M132" i="3"/>
  <c r="S132" i="3" s="1"/>
  <c r="O91" i="3"/>
  <c r="O87" i="3"/>
  <c r="O43" i="3"/>
  <c r="O39" i="3"/>
  <c r="O31" i="3"/>
  <c r="O23" i="3"/>
  <c r="O15" i="3"/>
  <c r="O7" i="3"/>
  <c r="N45" i="3"/>
  <c r="N83" i="3"/>
  <c r="O117" i="3"/>
  <c r="N138" i="3"/>
  <c r="N101" i="3"/>
  <c r="K51" i="2"/>
  <c r="L51" i="2" s="1"/>
  <c r="N29" i="3"/>
  <c r="J14" i="2"/>
  <c r="W14" i="2"/>
  <c r="V14" i="2"/>
  <c r="N22" i="3"/>
  <c r="N91" i="3"/>
  <c r="O78" i="3"/>
  <c r="M255" i="3"/>
  <c r="S255" i="3" s="1"/>
  <c r="J255" i="3"/>
  <c r="H255" i="3"/>
  <c r="O255" i="3"/>
  <c r="L255" i="3"/>
  <c r="I255" i="3"/>
  <c r="M151" i="2"/>
  <c r="N151" i="2" s="1"/>
  <c r="M139" i="2"/>
  <c r="N139" i="2" s="1"/>
  <c r="N117" i="3"/>
  <c r="N54" i="3"/>
  <c r="N18" i="3"/>
  <c r="J6" i="7"/>
  <c r="H465" i="2"/>
  <c r="I465" i="2" s="1"/>
  <c r="H417" i="2"/>
  <c r="I417" i="2" s="1"/>
  <c r="H518" i="2"/>
  <c r="I518" i="2" s="1"/>
  <c r="H527" i="2"/>
  <c r="I527" i="2" s="1"/>
  <c r="H401" i="2"/>
  <c r="I401" i="2" s="1"/>
  <c r="H265" i="2"/>
  <c r="I265" i="2" s="1"/>
  <c r="H281" i="2"/>
  <c r="I281" i="2" s="1"/>
  <c r="H35" i="2"/>
  <c r="I35" i="2" s="1"/>
  <c r="H27" i="2"/>
  <c r="I27" i="2" s="1"/>
  <c r="H83" i="2"/>
  <c r="I83" i="2" s="1"/>
  <c r="O473" i="2"/>
  <c r="P473" i="2" s="1"/>
  <c r="O12" i="2"/>
  <c r="P12" i="2" s="1"/>
  <c r="M385" i="2"/>
  <c r="N385" i="2" s="1"/>
  <c r="M199" i="2"/>
  <c r="N199" i="2" s="1"/>
  <c r="J38" i="7"/>
  <c r="H597" i="2"/>
  <c r="I597" i="2" s="1"/>
  <c r="O590" i="2"/>
  <c r="P590" i="2" s="1"/>
  <c r="O437" i="2"/>
  <c r="P437" i="2" s="1"/>
  <c r="O290" i="2"/>
  <c r="P290" i="2" s="1"/>
  <c r="O555" i="2"/>
  <c r="P555" i="2" s="1"/>
  <c r="O372" i="2"/>
  <c r="P372" i="2" s="1"/>
  <c r="O345" i="2"/>
  <c r="P345" i="2" s="1"/>
  <c r="O233" i="2"/>
  <c r="P233" i="2" s="1"/>
  <c r="O295" i="2"/>
  <c r="P295" i="2" s="1"/>
  <c r="O170" i="2"/>
  <c r="P170" i="2" s="1"/>
  <c r="O145" i="2"/>
  <c r="P145" i="2" s="1"/>
  <c r="K667" i="2"/>
  <c r="L667" i="2" s="1"/>
  <c r="K561" i="2"/>
  <c r="L561" i="2" s="1"/>
  <c r="O409" i="2"/>
  <c r="P409" i="2" s="1"/>
  <c r="O330" i="2"/>
  <c r="P330" i="2" s="1"/>
  <c r="O314" i="2"/>
  <c r="P314" i="2" s="1"/>
  <c r="O466" i="2"/>
  <c r="P466" i="2" s="1"/>
  <c r="O454" i="2"/>
  <c r="P454" i="2" s="1"/>
  <c r="O237" i="2"/>
  <c r="P237" i="2" s="1"/>
  <c r="O95" i="2"/>
  <c r="P95" i="2" s="1"/>
  <c r="O547" i="2"/>
  <c r="P547" i="2" s="1"/>
  <c r="O198" i="2"/>
  <c r="P198" i="2" s="1"/>
  <c r="O168" i="2"/>
  <c r="P168" i="2" s="1"/>
  <c r="M551" i="2"/>
  <c r="N551" i="2" s="1"/>
  <c r="M586" i="2"/>
  <c r="N586" i="2" s="1"/>
  <c r="M641" i="2"/>
  <c r="N641" i="2" s="1"/>
  <c r="M421" i="2"/>
  <c r="N421" i="2" s="1"/>
  <c r="M405" i="2"/>
  <c r="N405" i="2" s="1"/>
  <c r="M374" i="2"/>
  <c r="N374" i="2" s="1"/>
  <c r="J7" i="7"/>
  <c r="H385" i="2"/>
  <c r="I385" i="2" s="1"/>
  <c r="H176" i="2"/>
  <c r="I176" i="2" s="1"/>
  <c r="O534" i="2"/>
  <c r="P534" i="2" s="1"/>
  <c r="O643" i="2"/>
  <c r="P643" i="2" s="1"/>
  <c r="O453" i="2"/>
  <c r="P453" i="2" s="1"/>
  <c r="O477" i="2"/>
  <c r="P477" i="2" s="1"/>
  <c r="O315" i="2"/>
  <c r="P315" i="2" s="1"/>
  <c r="O274" i="2"/>
  <c r="P274" i="2" s="1"/>
  <c r="O224" i="2"/>
  <c r="P224" i="2" s="1"/>
  <c r="O58" i="2"/>
  <c r="P58" i="2" s="1"/>
  <c r="O78" i="2"/>
  <c r="P78" i="2" s="1"/>
  <c r="O46" i="2"/>
  <c r="P46" i="2" s="1"/>
  <c r="O59" i="2"/>
  <c r="P59" i="2" s="1"/>
  <c r="O47" i="2"/>
  <c r="P47" i="2" s="1"/>
  <c r="O117" i="2"/>
  <c r="P117" i="2" s="1"/>
  <c r="O129" i="2"/>
  <c r="P129" i="2" s="1"/>
  <c r="J34" i="7"/>
  <c r="H534" i="2"/>
  <c r="I534" i="2" s="1"/>
  <c r="H477" i="2"/>
  <c r="I477" i="2" s="1"/>
  <c r="H453" i="2"/>
  <c r="I453" i="2" s="1"/>
  <c r="H59" i="2"/>
  <c r="I59" i="2" s="1"/>
  <c r="H47" i="2"/>
  <c r="I47" i="2" s="1"/>
  <c r="H60" i="2"/>
  <c r="I60" i="2" s="1"/>
  <c r="H96" i="2"/>
  <c r="I96" i="2" s="1"/>
  <c r="O11" i="2"/>
  <c r="P11" i="2" s="1"/>
  <c r="O87" i="2"/>
  <c r="P87" i="2" s="1"/>
  <c r="M490" i="2"/>
  <c r="N490" i="2" s="1"/>
  <c r="M189" i="2"/>
  <c r="N189" i="2" s="1"/>
  <c r="O37" i="3"/>
  <c r="K65" i="2"/>
  <c r="L65" i="2" s="1"/>
  <c r="O70" i="3"/>
  <c r="N275" i="3"/>
  <c r="N210" i="3"/>
  <c r="L178" i="3"/>
  <c r="J178" i="3"/>
  <c r="I178" i="3"/>
  <c r="H178" i="3"/>
  <c r="O178" i="3"/>
  <c r="M178" i="3"/>
  <c r="S178" i="3" s="1"/>
  <c r="M150" i="2"/>
  <c r="N150" i="2" s="1"/>
  <c r="J146" i="3"/>
  <c r="I146" i="3"/>
  <c r="H146" i="3"/>
  <c r="O146" i="3"/>
  <c r="M146" i="3"/>
  <c r="S146" i="3" s="1"/>
  <c r="L146" i="3"/>
  <c r="M134" i="2"/>
  <c r="N134" i="2" s="1"/>
  <c r="J130" i="3"/>
  <c r="I130" i="3"/>
  <c r="H130" i="3"/>
  <c r="O130" i="3"/>
  <c r="M130" i="3"/>
  <c r="S130" i="3" s="1"/>
  <c r="L130" i="3"/>
  <c r="O93" i="3"/>
  <c r="O81" i="3"/>
  <c r="O61" i="3"/>
  <c r="O49" i="3"/>
  <c r="B28" i="4"/>
  <c r="B37" i="4"/>
  <c r="D30" i="4"/>
  <c r="D33" i="4"/>
  <c r="B36" i="4"/>
  <c r="D38" i="4"/>
  <c r="C25" i="4"/>
  <c r="N144" i="3"/>
  <c r="O98" i="3"/>
  <c r="M276" i="2"/>
  <c r="N276" i="2" s="1"/>
  <c r="K262" i="2"/>
  <c r="L262" i="2" s="1"/>
  <c r="N180" i="3"/>
  <c r="M174" i="3"/>
  <c r="S174" i="3" s="1"/>
  <c r="L174" i="3"/>
  <c r="J174" i="3"/>
  <c r="I174" i="3"/>
  <c r="H174" i="3"/>
  <c r="O174" i="3"/>
  <c r="M161" i="2"/>
  <c r="N161" i="2" s="1"/>
  <c r="M153" i="2"/>
  <c r="N153" i="2" s="1"/>
  <c r="M133" i="2"/>
  <c r="N133" i="2" s="1"/>
  <c r="M125" i="2"/>
  <c r="N125" i="2" s="1"/>
  <c r="K115" i="2"/>
  <c r="L115" i="2" s="1"/>
  <c r="N16" i="3"/>
  <c r="K10" i="2"/>
  <c r="L10" i="2" s="1"/>
  <c r="H206" i="3"/>
  <c r="O206" i="3"/>
  <c r="M206" i="3"/>
  <c r="S206" i="3" s="1"/>
  <c r="L206" i="3"/>
  <c r="J206" i="3"/>
  <c r="I206" i="3"/>
  <c r="O42" i="3"/>
  <c r="E64" i="4"/>
  <c r="B62" i="4"/>
  <c r="B60" i="4"/>
  <c r="B66" i="4"/>
  <c r="E71" i="4"/>
  <c r="E61" i="4"/>
  <c r="C66" i="4"/>
  <c r="C67" i="4"/>
  <c r="B54" i="4"/>
  <c r="E44" i="4"/>
  <c r="D42" i="4"/>
  <c r="D54" i="4"/>
  <c r="E45" i="4"/>
  <c r="E50" i="4"/>
  <c r="B56" i="4"/>
  <c r="C52" i="4"/>
  <c r="O335" i="2"/>
  <c r="P335" i="2" s="1"/>
  <c r="O261" i="2"/>
  <c r="P261" i="2" s="1"/>
  <c r="K676" i="2"/>
  <c r="L676" i="2" s="1"/>
  <c r="K497" i="2"/>
  <c r="L497" i="2" s="1"/>
  <c r="K139" i="2"/>
  <c r="L139" i="2" s="1"/>
  <c r="K57" i="2"/>
  <c r="L57" i="2" s="1"/>
  <c r="M535" i="2"/>
  <c r="N535" i="2" s="1"/>
  <c r="M546" i="2"/>
  <c r="N546" i="2" s="1"/>
  <c r="M484" i="2"/>
  <c r="N484" i="2" s="1"/>
  <c r="M474" i="2"/>
  <c r="N474" i="2" s="1"/>
  <c r="M241" i="2"/>
  <c r="N241" i="2" s="1"/>
  <c r="M255" i="2"/>
  <c r="N255" i="2" s="1"/>
  <c r="M247" i="2"/>
  <c r="N247" i="2" s="1"/>
  <c r="M243" i="2"/>
  <c r="N243" i="2" s="1"/>
  <c r="M501" i="2"/>
  <c r="N501" i="2" s="1"/>
  <c r="M6" i="2"/>
  <c r="N6" i="2" s="1"/>
  <c r="M620" i="2"/>
  <c r="N620" i="2" s="1"/>
  <c r="M497" i="2"/>
  <c r="N497" i="2" s="1"/>
  <c r="M211" i="2"/>
  <c r="N211" i="2" s="1"/>
  <c r="M191" i="2"/>
  <c r="N191" i="2" s="1"/>
  <c r="M40" i="2"/>
  <c r="N40" i="2" s="1"/>
  <c r="M197" i="2"/>
  <c r="N197" i="2" s="1"/>
  <c r="M179" i="2"/>
  <c r="N179" i="2" s="1"/>
  <c r="M70" i="2"/>
  <c r="N70" i="2" s="1"/>
  <c r="M181" i="2"/>
  <c r="N181" i="2" s="1"/>
  <c r="M123" i="2"/>
  <c r="N123" i="2" s="1"/>
  <c r="O385" i="2"/>
  <c r="P385" i="2" s="1"/>
  <c r="O199" i="2"/>
  <c r="P199" i="2" s="1"/>
  <c r="M621" i="2"/>
  <c r="N621" i="2" s="1"/>
  <c r="M534" i="2"/>
  <c r="N534" i="2" s="1"/>
  <c r="M453" i="2"/>
  <c r="N453" i="2" s="1"/>
  <c r="M336" i="2"/>
  <c r="N336" i="2" s="1"/>
  <c r="M274" i="2"/>
  <c r="N274" i="2" s="1"/>
  <c r="M60" i="2"/>
  <c r="N60" i="2" s="1"/>
  <c r="M96" i="2"/>
  <c r="N96" i="2" s="1"/>
  <c r="M78" i="2"/>
  <c r="N78" i="2" s="1"/>
  <c r="M46" i="2"/>
  <c r="N46" i="2" s="1"/>
  <c r="M58" i="2"/>
  <c r="N58" i="2" s="1"/>
  <c r="M117" i="2"/>
  <c r="N117" i="2" s="1"/>
  <c r="J44" i="7"/>
  <c r="H501" i="2"/>
  <c r="I501" i="2" s="1"/>
  <c r="H418" i="2"/>
  <c r="I418" i="2" s="1"/>
  <c r="K688" i="2"/>
  <c r="L688" i="2" s="1"/>
  <c r="K670" i="2"/>
  <c r="L670" i="2" s="1"/>
  <c r="K638" i="2"/>
  <c r="L638" i="2" s="1"/>
  <c r="K626" i="2"/>
  <c r="L626" i="2" s="1"/>
  <c r="K657" i="2"/>
  <c r="L657" i="2" s="1"/>
  <c r="K607" i="2"/>
  <c r="L607" i="2" s="1"/>
  <c r="K651" i="2"/>
  <c r="L651" i="2" s="1"/>
  <c r="K612" i="2"/>
  <c r="L612" i="2" s="1"/>
  <c r="K235" i="2"/>
  <c r="L235" i="2" s="1"/>
  <c r="K223" i="2"/>
  <c r="L223" i="2" s="1"/>
  <c r="K135" i="2"/>
  <c r="L135" i="2" s="1"/>
  <c r="K122" i="2"/>
  <c r="L122" i="2" s="1"/>
  <c r="K118" i="2"/>
  <c r="L118" i="2" s="1"/>
  <c r="K126" i="2"/>
  <c r="L126" i="2" s="1"/>
  <c r="J26" i="7"/>
  <c r="H567" i="2"/>
  <c r="I567" i="2" s="1"/>
  <c r="K681" i="2"/>
  <c r="L681" i="2" s="1"/>
  <c r="K510" i="2"/>
  <c r="L510" i="2" s="1"/>
  <c r="K375" i="2"/>
  <c r="L375" i="2" s="1"/>
  <c r="O607" i="2"/>
  <c r="P607" i="2" s="1"/>
  <c r="O538" i="2"/>
  <c r="P538" i="2" s="1"/>
  <c r="O579" i="2"/>
  <c r="P579" i="2" s="1"/>
  <c r="O687" i="2"/>
  <c r="P687" i="2" s="1"/>
  <c r="O618" i="2"/>
  <c r="P618" i="2" s="1"/>
  <c r="O608" i="2"/>
  <c r="P608" i="2" s="1"/>
  <c r="O642" i="2"/>
  <c r="P642" i="2" s="1"/>
  <c r="O235" i="2"/>
  <c r="P235" i="2" s="1"/>
  <c r="O223" i="2"/>
  <c r="P223" i="2" s="1"/>
  <c r="O207" i="2"/>
  <c r="P207" i="2" s="1"/>
  <c r="O187" i="2"/>
  <c r="P187" i="2" s="1"/>
  <c r="O206" i="2"/>
  <c r="P206" i="2" s="1"/>
  <c r="O135" i="2"/>
  <c r="P135" i="2" s="1"/>
  <c r="O54" i="2"/>
  <c r="P54" i="2" s="1"/>
  <c r="O51" i="2"/>
  <c r="P51" i="2" s="1"/>
  <c r="O23" i="2"/>
  <c r="P23" i="2" s="1"/>
  <c r="O110" i="2"/>
  <c r="P110" i="2" s="1"/>
  <c r="O98" i="2"/>
  <c r="P98" i="2" s="1"/>
  <c r="O86" i="2"/>
  <c r="P86" i="2" s="1"/>
  <c r="O42" i="2"/>
  <c r="P42" i="2" s="1"/>
  <c r="O55" i="2"/>
  <c r="P55" i="2" s="1"/>
  <c r="O121" i="2"/>
  <c r="P121" i="2" s="1"/>
  <c r="O115" i="2"/>
  <c r="P115" i="2" s="1"/>
  <c r="O133" i="2"/>
  <c r="P133" i="2" s="1"/>
  <c r="O107" i="2"/>
  <c r="P107" i="2" s="1"/>
  <c r="O28" i="2"/>
  <c r="P28" i="2" s="1"/>
  <c r="O20" i="2"/>
  <c r="P20" i="2" s="1"/>
  <c r="O67" i="2"/>
  <c r="P67" i="2" s="1"/>
  <c r="M566" i="2"/>
  <c r="N566" i="2" s="1"/>
  <c r="M350" i="2"/>
  <c r="N350" i="2" s="1"/>
  <c r="M375" i="2"/>
  <c r="N375" i="2" s="1"/>
  <c r="M221" i="2"/>
  <c r="N221" i="2" s="1"/>
  <c r="J45" i="7"/>
  <c r="H483" i="2"/>
  <c r="I483" i="2" s="1"/>
  <c r="H481" i="2"/>
  <c r="I481" i="2" s="1"/>
  <c r="H461" i="2"/>
  <c r="I461" i="2" s="1"/>
  <c r="H425" i="2"/>
  <c r="I425" i="2" s="1"/>
  <c r="H519" i="2"/>
  <c r="I519" i="2" s="1"/>
  <c r="H446" i="2"/>
  <c r="I446" i="2" s="1"/>
  <c r="H394" i="2"/>
  <c r="I394" i="2" s="1"/>
  <c r="H393" i="2"/>
  <c r="I393" i="2" s="1"/>
  <c r="H305" i="2"/>
  <c r="I305" i="2" s="1"/>
  <c r="J40" i="7"/>
  <c r="H582" i="2"/>
  <c r="I582" i="2" s="1"/>
  <c r="H569" i="2"/>
  <c r="I569" i="2" s="1"/>
  <c r="H581" i="2"/>
  <c r="I581" i="2" s="1"/>
  <c r="H533" i="2"/>
  <c r="I533" i="2" s="1"/>
  <c r="H503" i="2"/>
  <c r="I503" i="2" s="1"/>
  <c r="H479" i="2"/>
  <c r="I479" i="2" s="1"/>
  <c r="H469" i="2"/>
  <c r="I469" i="2" s="1"/>
  <c r="H449" i="2"/>
  <c r="I449" i="2" s="1"/>
  <c r="H422" i="2"/>
  <c r="I422" i="2" s="1"/>
  <c r="H526" i="2"/>
  <c r="I526" i="2" s="1"/>
  <c r="H549" i="2"/>
  <c r="I549" i="2" s="1"/>
  <c r="H410" i="2"/>
  <c r="I410" i="2" s="1"/>
  <c r="H309" i="2"/>
  <c r="I309" i="2" s="1"/>
  <c r="H273" i="2"/>
  <c r="I273" i="2" s="1"/>
  <c r="H39" i="2"/>
  <c r="I39" i="2" s="1"/>
  <c r="H16" i="2"/>
  <c r="I16" i="2" s="1"/>
  <c r="H140" i="2"/>
  <c r="I140" i="2" s="1"/>
  <c r="H132" i="2"/>
  <c r="I132" i="2" s="1"/>
  <c r="H180" i="2"/>
  <c r="I180" i="2" s="1"/>
  <c r="H124" i="2"/>
  <c r="I124" i="2" s="1"/>
  <c r="H84" i="2"/>
  <c r="I84" i="2" s="1"/>
  <c r="M177" i="2"/>
  <c r="N177" i="2" s="1"/>
  <c r="J162" i="3"/>
  <c r="I162" i="3"/>
  <c r="H162" i="3"/>
  <c r="O162" i="3"/>
  <c r="M162" i="3"/>
  <c r="S162" i="3" s="1"/>
  <c r="L162" i="3"/>
  <c r="D34" i="4"/>
  <c r="E25" i="4"/>
  <c r="E32" i="4"/>
  <c r="E35" i="4"/>
  <c r="C38" i="4"/>
  <c r="B25" i="4"/>
  <c r="C27" i="4"/>
  <c r="O113" i="3"/>
  <c r="O74" i="3"/>
  <c r="O10" i="3"/>
  <c r="N182" i="3"/>
  <c r="N164" i="3"/>
  <c r="N132" i="3"/>
  <c r="O26" i="3"/>
  <c r="O262" i="2"/>
  <c r="P262" i="2" s="1"/>
  <c r="L210" i="3"/>
  <c r="J210" i="3"/>
  <c r="I210" i="3"/>
  <c r="H210" i="3"/>
  <c r="O210" i="3"/>
  <c r="M210" i="3"/>
  <c r="S210" i="3" s="1"/>
  <c r="M173" i="2"/>
  <c r="N173" i="2" s="1"/>
  <c r="N167" i="3"/>
  <c r="H161" i="2"/>
  <c r="I161" i="2" s="1"/>
  <c r="H157" i="2"/>
  <c r="I157" i="2" s="1"/>
  <c r="H153" i="2"/>
  <c r="I153" i="2" s="1"/>
  <c r="H145" i="2"/>
  <c r="I145" i="2" s="1"/>
  <c r="H129" i="2"/>
  <c r="I129" i="2" s="1"/>
  <c r="N120" i="3"/>
  <c r="N114" i="3"/>
  <c r="K110" i="2"/>
  <c r="L110" i="2" s="1"/>
  <c r="K106" i="2"/>
  <c r="L106" i="2" s="1"/>
  <c r="K98" i="2"/>
  <c r="L98" i="2" s="1"/>
  <c r="K94" i="2"/>
  <c r="L94" i="2" s="1"/>
  <c r="K90" i="2"/>
  <c r="L90" i="2" s="1"/>
  <c r="K86" i="2"/>
  <c r="L86" i="2" s="1"/>
  <c r="K82" i="2"/>
  <c r="L82" i="2" s="1"/>
  <c r="K78" i="2"/>
  <c r="L78" i="2" s="1"/>
  <c r="K74" i="2"/>
  <c r="L74" i="2" s="1"/>
  <c r="K70" i="2"/>
  <c r="L70" i="2" s="1"/>
  <c r="K66" i="2"/>
  <c r="L66" i="2" s="1"/>
  <c r="K62" i="2"/>
  <c r="L62" i="2" s="1"/>
  <c r="K58" i="2"/>
  <c r="L58" i="2" s="1"/>
  <c r="K54" i="2"/>
  <c r="L54" i="2" s="1"/>
  <c r="K42" i="2"/>
  <c r="L42" i="2" s="1"/>
  <c r="K38" i="2"/>
  <c r="L38" i="2" s="1"/>
  <c r="K34" i="2"/>
  <c r="L34" i="2" s="1"/>
  <c r="N20" i="3"/>
  <c r="M15" i="2"/>
  <c r="N15" i="2" s="1"/>
  <c r="N8" i="3"/>
  <c r="K53" i="2"/>
  <c r="L53" i="2" s="1"/>
  <c r="D67" i="4"/>
  <c r="D68" i="4"/>
  <c r="E62" i="4"/>
  <c r="E68" i="4"/>
  <c r="D74" i="4"/>
  <c r="D64" i="4"/>
  <c r="C68" i="4"/>
  <c r="C69" i="4"/>
  <c r="B42" i="4"/>
  <c r="C51" i="4"/>
  <c r="B49" i="4"/>
  <c r="C43" i="4"/>
  <c r="B48" i="4"/>
  <c r="B53" i="4"/>
  <c r="C53" i="4"/>
  <c r="C54" i="4"/>
  <c r="M646" i="2"/>
  <c r="N646" i="2" s="1"/>
  <c r="M433" i="2"/>
  <c r="N433" i="2" s="1"/>
  <c r="M64" i="2"/>
  <c r="N64" i="2" s="1"/>
  <c r="M34" i="2"/>
  <c r="N34" i="2" s="1"/>
  <c r="M26" i="2"/>
  <c r="N26" i="2" s="1"/>
  <c r="M119" i="2"/>
  <c r="N119" i="2" s="1"/>
  <c r="J37" i="7"/>
  <c r="H531" i="2"/>
  <c r="I531" i="2" s="1"/>
  <c r="H506" i="2"/>
  <c r="I506" i="2" s="1"/>
  <c r="K673" i="2"/>
  <c r="L673" i="2" s="1"/>
  <c r="K650" i="2"/>
  <c r="L650" i="2" s="1"/>
  <c r="K679" i="2"/>
  <c r="L679" i="2" s="1"/>
  <c r="K127" i="2"/>
  <c r="L127" i="2" s="1"/>
  <c r="M555" i="2"/>
  <c r="N555" i="2" s="1"/>
  <c r="M500" i="2"/>
  <c r="N500" i="2" s="1"/>
  <c r="M488" i="2"/>
  <c r="N488" i="2" s="1"/>
  <c r="M590" i="2"/>
  <c r="N590" i="2" s="1"/>
  <c r="M437" i="2"/>
  <c r="N437" i="2" s="1"/>
  <c r="M332" i="2"/>
  <c r="N332" i="2" s="1"/>
  <c r="M290" i="2"/>
  <c r="N290" i="2" s="1"/>
  <c r="M233" i="2"/>
  <c r="N233" i="2" s="1"/>
  <c r="M76" i="2"/>
  <c r="N76" i="2" s="1"/>
  <c r="M22" i="2"/>
  <c r="N22" i="2" s="1"/>
  <c r="J32" i="7"/>
  <c r="H595" i="2"/>
  <c r="I595" i="2" s="1"/>
  <c r="H523" i="2"/>
  <c r="I523" i="2" s="1"/>
  <c r="H491" i="2"/>
  <c r="I491" i="2" s="1"/>
  <c r="K45" i="2"/>
  <c r="L45" i="2" s="1"/>
  <c r="H198" i="3"/>
  <c r="O198" i="3"/>
  <c r="M198" i="3"/>
  <c r="S198" i="3" s="1"/>
  <c r="L198" i="3"/>
  <c r="J198" i="3"/>
  <c r="I198" i="3"/>
  <c r="O177" i="2"/>
  <c r="P177" i="2" s="1"/>
  <c r="M154" i="2"/>
  <c r="N154" i="2" s="1"/>
  <c r="M150" i="3"/>
  <c r="S150" i="3" s="1"/>
  <c r="L150" i="3"/>
  <c r="J150" i="3"/>
  <c r="I150" i="3"/>
  <c r="H150" i="3"/>
  <c r="O150" i="3"/>
  <c r="M138" i="2"/>
  <c r="N138" i="2" s="1"/>
  <c r="M134" i="3"/>
  <c r="S134" i="3" s="1"/>
  <c r="L134" i="3"/>
  <c r="J134" i="3"/>
  <c r="I134" i="3"/>
  <c r="H134" i="3"/>
  <c r="O134" i="3"/>
  <c r="O105" i="3"/>
  <c r="O85" i="3"/>
  <c r="O73" i="3"/>
  <c r="O53" i="3"/>
  <c r="O41" i="3"/>
  <c r="D35" i="4"/>
  <c r="C32" i="4"/>
  <c r="B35" i="4"/>
  <c r="B38" i="4"/>
  <c r="E24" i="4"/>
  <c r="D27" i="4"/>
  <c r="C29" i="4"/>
  <c r="N103" i="3"/>
  <c r="H113" i="3"/>
  <c r="O82" i="3"/>
  <c r="M178" i="2"/>
  <c r="N178" i="2" s="1"/>
  <c r="N152" i="3"/>
  <c r="N111" i="3"/>
  <c r="H262" i="2"/>
  <c r="I262" i="2" s="1"/>
  <c r="O204" i="2"/>
  <c r="P204" i="2" s="1"/>
  <c r="K179" i="3"/>
  <c r="O173" i="2"/>
  <c r="P173" i="2" s="1"/>
  <c r="H170" i="2"/>
  <c r="I170" i="2" s="1"/>
  <c r="N24" i="3"/>
  <c r="M19" i="2"/>
  <c r="N19" i="2" s="1"/>
  <c r="N99" i="3"/>
  <c r="N35" i="3"/>
  <c r="O86" i="3"/>
  <c r="O62" i="3"/>
  <c r="O50" i="3"/>
  <c r="K177" i="2"/>
  <c r="L177" i="2" s="1"/>
  <c r="B71" i="4"/>
  <c r="D62" i="4"/>
  <c r="D65" i="4"/>
  <c r="D71" i="4"/>
  <c r="D61" i="4"/>
  <c r="B67" i="4"/>
  <c r="C70" i="4"/>
  <c r="C71" i="4"/>
  <c r="D44" i="4"/>
  <c r="C45" i="4"/>
  <c r="E54" i="4"/>
  <c r="D45" i="4"/>
  <c r="D50" i="4"/>
  <c r="E55" i="4"/>
  <c r="C55" i="4"/>
  <c r="C56" i="4"/>
  <c r="H540" i="3"/>
  <c r="H533" i="3"/>
  <c r="O533" i="3"/>
  <c r="M533" i="3"/>
  <c r="S533" i="3" s="1"/>
  <c r="L533" i="3"/>
  <c r="I533" i="3"/>
  <c r="J533" i="3"/>
  <c r="W482" i="2"/>
  <c r="V482" i="2"/>
  <c r="J482" i="2"/>
  <c r="W427" i="2"/>
  <c r="V427" i="2"/>
  <c r="J427" i="2"/>
  <c r="W629" i="2"/>
  <c r="J629" i="2"/>
  <c r="V629" i="2"/>
  <c r="W370" i="2"/>
  <c r="V370" i="2"/>
  <c r="J370" i="2"/>
  <c r="J292" i="2"/>
  <c r="V292" i="2"/>
  <c r="W292" i="2"/>
  <c r="V313" i="2"/>
  <c r="J313" i="2"/>
  <c r="W313" i="2"/>
  <c r="J351" i="3"/>
  <c r="W228" i="2"/>
  <c r="V228" i="2"/>
  <c r="J228" i="2"/>
  <c r="N281" i="3"/>
  <c r="N285" i="3"/>
  <c r="O59" i="3"/>
  <c r="N109" i="3"/>
  <c r="J264" i="2"/>
  <c r="W264" i="2"/>
  <c r="V264" i="2"/>
  <c r="O104" i="3"/>
  <c r="O88" i="3"/>
  <c r="O72" i="3"/>
  <c r="O56" i="3"/>
  <c r="J42" i="2"/>
  <c r="V42" i="2"/>
  <c r="W42" i="2"/>
  <c r="N50" i="3"/>
  <c r="N59" i="3"/>
  <c r="J46" i="7"/>
  <c r="H80" i="2"/>
  <c r="I80" i="2" s="1"/>
  <c r="H36" i="2"/>
  <c r="I36" i="2" s="1"/>
  <c r="H19" i="2"/>
  <c r="I19" i="2" s="1"/>
  <c r="H31" i="2"/>
  <c r="I31" i="2" s="1"/>
  <c r="M519" i="2"/>
  <c r="N519" i="2" s="1"/>
  <c r="M630" i="2"/>
  <c r="N630" i="2" s="1"/>
  <c r="M716" i="2"/>
  <c r="N716" i="2" s="1"/>
  <c r="M498" i="2"/>
  <c r="N498" i="2" s="1"/>
  <c r="M483" i="2"/>
  <c r="N483" i="2" s="1"/>
  <c r="M393" i="2"/>
  <c r="N393" i="2" s="1"/>
  <c r="M461" i="2"/>
  <c r="N461" i="2" s="1"/>
  <c r="M306" i="2"/>
  <c r="N306" i="2" s="1"/>
  <c r="M425" i="2"/>
  <c r="N425" i="2" s="1"/>
  <c r="M74" i="2"/>
  <c r="N74" i="2" s="1"/>
  <c r="K617" i="2"/>
  <c r="L617" i="2" s="1"/>
  <c r="K407" i="2"/>
  <c r="L407" i="2" s="1"/>
  <c r="K234" i="2"/>
  <c r="L234" i="2" s="1"/>
  <c r="O719" i="3"/>
  <c r="O707" i="3"/>
  <c r="J691" i="3"/>
  <c r="O651" i="3"/>
  <c r="O627" i="3"/>
  <c r="O623" i="3"/>
  <c r="I720" i="3"/>
  <c r="H716" i="3"/>
  <c r="M700" i="3"/>
  <c r="S700" i="3" s="1"/>
  <c r="M692" i="3"/>
  <c r="S692" i="3" s="1"/>
  <c r="H684" i="3"/>
  <c r="O672" i="3"/>
  <c r="I660" i="3"/>
  <c r="O652" i="3"/>
  <c r="P652" i="3" s="1"/>
  <c r="H628" i="3"/>
  <c r="O624" i="3"/>
  <c r="L616" i="3"/>
  <c r="J723" i="2"/>
  <c r="W723" i="2"/>
  <c r="V723" i="2"/>
  <c r="N718" i="3"/>
  <c r="N706" i="3"/>
  <c r="O721" i="3"/>
  <c r="M665" i="3"/>
  <c r="S665" i="3" s="1"/>
  <c r="O661" i="3"/>
  <c r="O645" i="3"/>
  <c r="O641" i="3"/>
  <c r="J621" i="3"/>
  <c r="O601" i="3"/>
  <c r="N707" i="3"/>
  <c r="O718" i="3"/>
  <c r="O714" i="3"/>
  <c r="O710" i="3"/>
  <c r="O698" i="3"/>
  <c r="I694" i="3"/>
  <c r="M690" i="3"/>
  <c r="S690" i="3" s="1"/>
  <c r="I682" i="3"/>
  <c r="M662" i="3"/>
  <c r="S662" i="3" s="1"/>
  <c r="O630" i="3"/>
  <c r="M618" i="3"/>
  <c r="S618" i="3" s="1"/>
  <c r="M614" i="3"/>
  <c r="S614" i="3" s="1"/>
  <c r="O606" i="3"/>
  <c r="N724" i="3"/>
  <c r="N716" i="3"/>
  <c r="N693" i="3"/>
  <c r="W641" i="2"/>
  <c r="J641" i="2"/>
  <c r="V641" i="2"/>
  <c r="N622" i="3"/>
  <c r="N617" i="3"/>
  <c r="N576" i="3"/>
  <c r="N544" i="3"/>
  <c r="N532" i="3"/>
  <c r="N516" i="3"/>
  <c r="J703" i="2"/>
  <c r="W703" i="2"/>
  <c r="V703" i="2"/>
  <c r="N686" i="3"/>
  <c r="J666" i="2"/>
  <c r="W666" i="2"/>
  <c r="V666" i="2"/>
  <c r="N658" i="3"/>
  <c r="N695" i="3"/>
  <c r="N573" i="3"/>
  <c r="N541" i="3"/>
  <c r="M536" i="2"/>
  <c r="N536" i="2" s="1"/>
  <c r="N505" i="3"/>
  <c r="W692" i="2"/>
  <c r="J692" i="2"/>
  <c r="V692" i="2"/>
  <c r="H673" i="2"/>
  <c r="I673" i="2" s="1"/>
  <c r="W657" i="2"/>
  <c r="J657" i="2"/>
  <c r="V657" i="2"/>
  <c r="N644" i="3"/>
  <c r="N602" i="3"/>
  <c r="H592" i="3"/>
  <c r="O572" i="3"/>
  <c r="O685" i="2"/>
  <c r="P685" i="2" s="1"/>
  <c r="N655" i="3"/>
  <c r="W628" i="2"/>
  <c r="J628" i="2"/>
  <c r="V628" i="2"/>
  <c r="N590" i="3"/>
  <c r="N558" i="3"/>
  <c r="N666" i="3"/>
  <c r="O585" i="3"/>
  <c r="O549" i="3"/>
  <c r="N678" i="3"/>
  <c r="J590" i="3"/>
  <c r="V584" i="2"/>
  <c r="J584" i="2"/>
  <c r="W584" i="2"/>
  <c r="M582" i="3"/>
  <c r="S582" i="3" s="1"/>
  <c r="I558" i="3"/>
  <c r="V552" i="2"/>
  <c r="J552" i="2"/>
  <c r="W552" i="2"/>
  <c r="M550" i="3"/>
  <c r="S550" i="3" s="1"/>
  <c r="L542" i="3"/>
  <c r="J538" i="3"/>
  <c r="O510" i="3"/>
  <c r="H502" i="3"/>
  <c r="M498" i="3"/>
  <c r="S498" i="3" s="1"/>
  <c r="O478" i="3"/>
  <c r="N587" i="3"/>
  <c r="N555" i="3"/>
  <c r="N539" i="3"/>
  <c r="O532" i="3"/>
  <c r="N496" i="3"/>
  <c r="M434" i="2"/>
  <c r="N434" i="2" s="1"/>
  <c r="M418" i="2"/>
  <c r="N418" i="2" s="1"/>
  <c r="N407" i="3"/>
  <c r="N387" i="3"/>
  <c r="O462" i="3"/>
  <c r="O402" i="3"/>
  <c r="O378" i="3"/>
  <c r="J366" i="3"/>
  <c r="O346" i="3"/>
  <c r="K618" i="2"/>
  <c r="L618" i="2" s="1"/>
  <c r="K502" i="3"/>
  <c r="N464" i="3"/>
  <c r="N432" i="3"/>
  <c r="N400" i="3"/>
  <c r="N571" i="3"/>
  <c r="L545" i="3"/>
  <c r="J545" i="3"/>
  <c r="O545" i="3"/>
  <c r="M545" i="3"/>
  <c r="S545" i="3" s="1"/>
  <c r="I545" i="3"/>
  <c r="H545" i="3"/>
  <c r="H516" i="3"/>
  <c r="O508" i="3"/>
  <c r="N493" i="3"/>
  <c r="N475" i="3"/>
  <c r="N461" i="3"/>
  <c r="N429" i="3"/>
  <c r="N713" i="3"/>
  <c r="H634" i="2"/>
  <c r="I634" i="2" s="1"/>
  <c r="K608" i="2"/>
  <c r="L608" i="2" s="1"/>
  <c r="H579" i="3"/>
  <c r="O579" i="3"/>
  <c r="M579" i="3"/>
  <c r="S579" i="3" s="1"/>
  <c r="L579" i="3"/>
  <c r="J579" i="3"/>
  <c r="I579" i="3"/>
  <c r="O545" i="2"/>
  <c r="P545" i="2" s="1"/>
  <c r="M516" i="2"/>
  <c r="N516" i="2" s="1"/>
  <c r="I511" i="3"/>
  <c r="O464" i="3"/>
  <c r="O444" i="3"/>
  <c r="O432" i="3"/>
  <c r="N575" i="3"/>
  <c r="H501" i="3"/>
  <c r="M501" i="3"/>
  <c r="S501" i="3" s="1"/>
  <c r="L501" i="3"/>
  <c r="O501" i="3"/>
  <c r="J501" i="3"/>
  <c r="I501" i="3"/>
  <c r="H493" i="3"/>
  <c r="M493" i="3"/>
  <c r="S493" i="3" s="1"/>
  <c r="L493" i="3"/>
  <c r="I493" i="3"/>
  <c r="O493" i="3"/>
  <c r="J493" i="3"/>
  <c r="H483" i="3"/>
  <c r="M481" i="2"/>
  <c r="N481" i="2" s="1"/>
  <c r="O479" i="3"/>
  <c r="I477" i="3"/>
  <c r="H477" i="3"/>
  <c r="O477" i="3"/>
  <c r="M477" i="3"/>
  <c r="S477" i="3" s="1"/>
  <c r="L477" i="3"/>
  <c r="J477" i="3"/>
  <c r="M475" i="3"/>
  <c r="S475" i="3" s="1"/>
  <c r="M465" i="3"/>
  <c r="S465" i="3" s="1"/>
  <c r="M457" i="3"/>
  <c r="S457" i="3" s="1"/>
  <c r="M433" i="3"/>
  <c r="S433" i="3" s="1"/>
  <c r="M429" i="3"/>
  <c r="S429" i="3" s="1"/>
  <c r="H413" i="3"/>
  <c r="O401" i="3"/>
  <c r="O381" i="3"/>
  <c r="O373" i="3"/>
  <c r="O365" i="3"/>
  <c r="I361" i="3"/>
  <c r="M345" i="3"/>
  <c r="S345" i="3" s="1"/>
  <c r="J505" i="2"/>
  <c r="W505" i="2"/>
  <c r="V505" i="2"/>
  <c r="L380" i="3"/>
  <c r="J380" i="3"/>
  <c r="H380" i="3"/>
  <c r="O380" i="3"/>
  <c r="M380" i="3"/>
  <c r="S380" i="3" s="1"/>
  <c r="I380" i="3"/>
  <c r="W339" i="2"/>
  <c r="V339" i="2"/>
  <c r="J339" i="2"/>
  <c r="M333" i="2"/>
  <c r="N333" i="2" s="1"/>
  <c r="W307" i="2"/>
  <c r="V307" i="2"/>
  <c r="J307" i="2"/>
  <c r="N462" i="3"/>
  <c r="K417" i="3"/>
  <c r="H408" i="3"/>
  <c r="O408" i="3"/>
  <c r="M408" i="3"/>
  <c r="S408" i="3" s="1"/>
  <c r="L408" i="3"/>
  <c r="J408" i="3"/>
  <c r="I408" i="3"/>
  <c r="K389" i="3"/>
  <c r="H379" i="3"/>
  <c r="H376" i="3"/>
  <c r="O376" i="3"/>
  <c r="L376" i="3"/>
  <c r="J376" i="3"/>
  <c r="I376" i="3"/>
  <c r="M376" i="3"/>
  <c r="S376" i="3" s="1"/>
  <c r="J363" i="3"/>
  <c r="O325" i="3"/>
  <c r="H277" i="3"/>
  <c r="N450" i="3"/>
  <c r="N355" i="3"/>
  <c r="K317" i="2"/>
  <c r="L317" i="2" s="1"/>
  <c r="N638" i="3"/>
  <c r="K409" i="3"/>
  <c r="K397" i="3"/>
  <c r="N358" i="3"/>
  <c r="O338" i="3"/>
  <c r="J336" i="2"/>
  <c r="W336" i="2"/>
  <c r="V336" i="2"/>
  <c r="J328" i="2"/>
  <c r="W328" i="2"/>
  <c r="V328" i="2"/>
  <c r="O326" i="3"/>
  <c r="J320" i="2"/>
  <c r="W320" i="2"/>
  <c r="V320" i="2"/>
  <c r="O318" i="3"/>
  <c r="O314" i="3"/>
  <c r="J312" i="2"/>
  <c r="W312" i="2"/>
  <c r="V312" i="2"/>
  <c r="O310" i="3"/>
  <c r="I298" i="3"/>
  <c r="M286" i="3"/>
  <c r="S286" i="3" s="1"/>
  <c r="H266" i="3"/>
  <c r="O246" i="3"/>
  <c r="M398" i="2"/>
  <c r="N398" i="2" s="1"/>
  <c r="N393" i="3"/>
  <c r="N345" i="3"/>
  <c r="N340" i="3"/>
  <c r="N308" i="3"/>
  <c r="N276" i="3"/>
  <c r="M355" i="3"/>
  <c r="S355" i="3" s="1"/>
  <c r="J352" i="3"/>
  <c r="I352" i="3"/>
  <c r="H352" i="3"/>
  <c r="O352" i="3"/>
  <c r="M352" i="3"/>
  <c r="S352" i="3" s="1"/>
  <c r="L352" i="3"/>
  <c r="W395" i="2"/>
  <c r="V395" i="2"/>
  <c r="J395" i="2"/>
  <c r="N390" i="3"/>
  <c r="I383" i="3"/>
  <c r="N341" i="3"/>
  <c r="N309" i="3"/>
  <c r="K299" i="2"/>
  <c r="L299" i="2" s="1"/>
  <c r="N454" i="3"/>
  <c r="W383" i="2"/>
  <c r="V383" i="2"/>
  <c r="J383" i="2"/>
  <c r="O340" i="3"/>
  <c r="O332" i="3"/>
  <c r="L296" i="3"/>
  <c r="I288" i="3"/>
  <c r="M252" i="3"/>
  <c r="S252" i="3" s="1"/>
  <c r="M244" i="3"/>
  <c r="S244" i="3" s="1"/>
  <c r="K261" i="2"/>
  <c r="L261" i="2" s="1"/>
  <c r="M242" i="3"/>
  <c r="S242" i="3" s="1"/>
  <c r="L242" i="3"/>
  <c r="J242" i="3"/>
  <c r="I242" i="3"/>
  <c r="H242" i="3"/>
  <c r="O242" i="3"/>
  <c r="L234" i="3"/>
  <c r="W217" i="2"/>
  <c r="J217" i="2"/>
  <c r="V217" i="2"/>
  <c r="O211" i="3"/>
  <c r="H201" i="2"/>
  <c r="I201" i="2" s="1"/>
  <c r="O195" i="3"/>
  <c r="W185" i="2"/>
  <c r="J185" i="2"/>
  <c r="V185" i="2"/>
  <c r="O175" i="3"/>
  <c r="M167" i="3"/>
  <c r="S167" i="3" s="1"/>
  <c r="H159" i="3"/>
  <c r="M155" i="3"/>
  <c r="S155" i="3" s="1"/>
  <c r="H139" i="3"/>
  <c r="M135" i="3"/>
  <c r="S135" i="3" s="1"/>
  <c r="H127" i="3"/>
  <c r="N291" i="3"/>
  <c r="O281" i="2"/>
  <c r="P281" i="2" s="1"/>
  <c r="W255" i="2"/>
  <c r="J255" i="2"/>
  <c r="V255" i="2"/>
  <c r="W251" i="2"/>
  <c r="J251" i="2"/>
  <c r="V251" i="2"/>
  <c r="O200" i="3"/>
  <c r="N289" i="3"/>
  <c r="J291" i="3"/>
  <c r="I291" i="3"/>
  <c r="H291" i="3"/>
  <c r="O291" i="3"/>
  <c r="M291" i="3"/>
  <c r="S291" i="3" s="1"/>
  <c r="L291" i="3"/>
  <c r="J276" i="2"/>
  <c r="V276" i="2"/>
  <c r="W276" i="2"/>
  <c r="W240" i="2"/>
  <c r="V240" i="2"/>
  <c r="J240" i="2"/>
  <c r="O237" i="3"/>
  <c r="I235" i="3"/>
  <c r="H235" i="3"/>
  <c r="O235" i="3"/>
  <c r="M235" i="3"/>
  <c r="S235" i="3" s="1"/>
  <c r="L235" i="3"/>
  <c r="J235" i="3"/>
  <c r="O233" i="3"/>
  <c r="O209" i="3"/>
  <c r="O205" i="3"/>
  <c r="J199" i="2"/>
  <c r="V199" i="2"/>
  <c r="W199" i="2"/>
  <c r="I193" i="3"/>
  <c r="N287" i="3"/>
  <c r="N238" i="3"/>
  <c r="N230" i="3"/>
  <c r="N222" i="3"/>
  <c r="K197" i="2"/>
  <c r="L197" i="2" s="1"/>
  <c r="N191" i="3"/>
  <c r="N293" i="3"/>
  <c r="N253" i="3"/>
  <c r="K218" i="2"/>
  <c r="L218" i="2" s="1"/>
  <c r="N196" i="3"/>
  <c r="K186" i="2"/>
  <c r="L186" i="2" s="1"/>
  <c r="N271" i="3"/>
  <c r="K137" i="2"/>
  <c r="L137" i="2" s="1"/>
  <c r="O67" i="3"/>
  <c r="O63" i="3"/>
  <c r="O55" i="3"/>
  <c r="N65" i="3"/>
  <c r="O17" i="3"/>
  <c r="N63" i="3"/>
  <c r="O110" i="3"/>
  <c r="L218" i="3"/>
  <c r="J218" i="3"/>
  <c r="I218" i="3"/>
  <c r="H218" i="3"/>
  <c r="O218" i="3"/>
  <c r="M218" i="3"/>
  <c r="S218" i="3" s="1"/>
  <c r="W172" i="2"/>
  <c r="V172" i="2"/>
  <c r="J172" i="2"/>
  <c r="K143" i="3"/>
  <c r="N134" i="3"/>
  <c r="K107" i="2"/>
  <c r="L107" i="2" s="1"/>
  <c r="N97" i="3"/>
  <c r="N61" i="3"/>
  <c r="N21" i="3"/>
  <c r="N23" i="3"/>
  <c r="O94" i="3"/>
  <c r="N172" i="3"/>
  <c r="K148" i="2"/>
  <c r="L148" i="2" s="1"/>
  <c r="J123" i="2"/>
  <c r="W123" i="2"/>
  <c r="V123" i="2"/>
  <c r="J120" i="3"/>
  <c r="I116" i="3"/>
  <c r="H112" i="3"/>
  <c r="O108" i="3"/>
  <c r="O100" i="3"/>
  <c r="O92" i="3"/>
  <c r="O84" i="3"/>
  <c r="O76" i="3"/>
  <c r="O68" i="3"/>
  <c r="O60" i="3"/>
  <c r="O52" i="3"/>
  <c r="O44" i="3"/>
  <c r="N66" i="3"/>
  <c r="M33" i="2"/>
  <c r="N33" i="2" s="1"/>
  <c r="K8" i="2"/>
  <c r="L8" i="2" s="1"/>
  <c r="N55" i="3"/>
  <c r="N218" i="3"/>
  <c r="J251" i="3"/>
  <c r="I251" i="3"/>
  <c r="O251" i="3"/>
  <c r="L251" i="3"/>
  <c r="M251" i="3"/>
  <c r="S251" i="3" s="1"/>
  <c r="H251" i="3"/>
  <c r="N171" i="3"/>
  <c r="N121" i="3"/>
  <c r="N115" i="3"/>
  <c r="N98" i="3"/>
  <c r="N82" i="3"/>
  <c r="N62" i="3"/>
  <c r="K40" i="2"/>
  <c r="L40" i="2" s="1"/>
  <c r="N6" i="3"/>
  <c r="K627" i="2"/>
  <c r="L627" i="2" s="1"/>
  <c r="K528" i="2"/>
  <c r="L528" i="2" s="1"/>
  <c r="K512" i="2"/>
  <c r="L512" i="2" s="1"/>
  <c r="K416" i="2"/>
  <c r="L416" i="2" s="1"/>
  <c r="K359" i="2"/>
  <c r="L359" i="2" s="1"/>
  <c r="K291" i="2"/>
  <c r="L291" i="2" s="1"/>
  <c r="K254" i="2"/>
  <c r="L254" i="2" s="1"/>
  <c r="K246" i="2"/>
  <c r="L246" i="2" s="1"/>
  <c r="M625" i="2"/>
  <c r="N625" i="2" s="1"/>
  <c r="M692" i="2"/>
  <c r="N692" i="2" s="1"/>
  <c r="M639" i="2"/>
  <c r="N639" i="2" s="1"/>
  <c r="M502" i="2"/>
  <c r="N502" i="2" s="1"/>
  <c r="M342" i="2"/>
  <c r="N342" i="2" s="1"/>
  <c r="M14" i="2"/>
  <c r="N14" i="2" s="1"/>
  <c r="M102" i="2"/>
  <c r="N102" i="2" s="1"/>
  <c r="O342" i="2"/>
  <c r="P342" i="2" s="1"/>
  <c r="O256" i="2"/>
  <c r="P256" i="2" s="1"/>
  <c r="O102" i="2"/>
  <c r="P102" i="2" s="1"/>
  <c r="O157" i="2"/>
  <c r="P157" i="2" s="1"/>
  <c r="O712" i="2"/>
  <c r="P712" i="2" s="1"/>
  <c r="O327" i="2"/>
  <c r="P327" i="2" s="1"/>
  <c r="O283" i="2"/>
  <c r="P283" i="2" s="1"/>
  <c r="O71" i="2"/>
  <c r="P71" i="2" s="1"/>
  <c r="O15" i="2"/>
  <c r="P15" i="2" s="1"/>
  <c r="J9" i="7"/>
  <c r="H537" i="2"/>
  <c r="I537" i="2" s="1"/>
  <c r="H15" i="2"/>
  <c r="I15" i="2" s="1"/>
  <c r="H253" i="2"/>
  <c r="I253" i="2" s="1"/>
  <c r="H249" i="2"/>
  <c r="I249" i="2" s="1"/>
  <c r="H71" i="2"/>
  <c r="I71" i="2" s="1"/>
  <c r="J10" i="7"/>
  <c r="H574" i="2"/>
  <c r="I574" i="2" s="1"/>
  <c r="H445" i="2"/>
  <c r="I445" i="2" s="1"/>
  <c r="H301" i="2"/>
  <c r="I301" i="2" s="1"/>
  <c r="H88" i="2"/>
  <c r="I88" i="2" s="1"/>
  <c r="H56" i="2"/>
  <c r="I56" i="2" s="1"/>
  <c r="O489" i="2"/>
  <c r="P489" i="2" s="1"/>
  <c r="O323" i="2"/>
  <c r="P323" i="2" s="1"/>
  <c r="O219" i="2"/>
  <c r="P219" i="2" s="1"/>
  <c r="M554" i="2"/>
  <c r="N554" i="2" s="1"/>
  <c r="M482" i="2"/>
  <c r="N482" i="2" s="1"/>
  <c r="M478" i="2"/>
  <c r="N478" i="2" s="1"/>
  <c r="M441" i="2"/>
  <c r="N441" i="2" s="1"/>
  <c r="M338" i="2"/>
  <c r="N338" i="2" s="1"/>
  <c r="M302" i="2"/>
  <c r="N302" i="2" s="1"/>
  <c r="M166" i="2"/>
  <c r="N166" i="2" s="1"/>
  <c r="J28" i="7"/>
  <c r="H499" i="2"/>
  <c r="I499" i="2" s="1"/>
  <c r="H413" i="2"/>
  <c r="I413" i="2" s="1"/>
  <c r="H148" i="2"/>
  <c r="I148" i="2" s="1"/>
  <c r="H108" i="2"/>
  <c r="I108" i="2" s="1"/>
  <c r="K506" i="2"/>
  <c r="L506" i="2" s="1"/>
  <c r="K693" i="2"/>
  <c r="L693" i="2" s="1"/>
  <c r="K403" i="2"/>
  <c r="L403" i="2" s="1"/>
  <c r="K387" i="2"/>
  <c r="L387" i="2" s="1"/>
  <c r="K226" i="2"/>
  <c r="L226" i="2" s="1"/>
  <c r="K222" i="2"/>
  <c r="L222" i="2" s="1"/>
  <c r="K270" i="2"/>
  <c r="L270" i="2" s="1"/>
  <c r="K267" i="2"/>
  <c r="L267" i="2" s="1"/>
  <c r="K276" i="2"/>
  <c r="L276" i="2" s="1"/>
  <c r="K192" i="2"/>
  <c r="L192" i="2" s="1"/>
  <c r="K162" i="2"/>
  <c r="L162" i="2" s="1"/>
  <c r="K231" i="2"/>
  <c r="L231" i="2" s="1"/>
  <c r="K167" i="2"/>
  <c r="L167" i="2" s="1"/>
  <c r="O574" i="2"/>
  <c r="P574" i="2" s="1"/>
  <c r="O512" i="2"/>
  <c r="P512" i="2" s="1"/>
  <c r="O445" i="2"/>
  <c r="P445" i="2" s="1"/>
  <c r="O322" i="2"/>
  <c r="P322" i="2" s="1"/>
  <c r="O388" i="2"/>
  <c r="P388" i="2" s="1"/>
  <c r="O359" i="2"/>
  <c r="P359" i="2" s="1"/>
  <c r="O303" i="2"/>
  <c r="P303" i="2" s="1"/>
  <c r="O254" i="2"/>
  <c r="P254" i="2" s="1"/>
  <c r="O246" i="2"/>
  <c r="P246" i="2" s="1"/>
  <c r="O291" i="2"/>
  <c r="P291" i="2" s="1"/>
  <c r="M531" i="2"/>
  <c r="N531" i="2" s="1"/>
  <c r="M689" i="2"/>
  <c r="N689" i="2" s="1"/>
  <c r="M318" i="2"/>
  <c r="N318" i="2" s="1"/>
  <c r="M387" i="2"/>
  <c r="N387" i="2" s="1"/>
  <c r="M328" i="2"/>
  <c r="N328" i="2" s="1"/>
  <c r="M304" i="2"/>
  <c r="N304" i="2" s="1"/>
  <c r="M292" i="2"/>
  <c r="N292" i="2" s="1"/>
  <c r="M195" i="2"/>
  <c r="N195" i="2" s="1"/>
  <c r="M217" i="2"/>
  <c r="N217" i="2" s="1"/>
  <c r="M162" i="2"/>
  <c r="N162" i="2" s="1"/>
  <c r="K668" i="2"/>
  <c r="L668" i="2" s="1"/>
  <c r="K250" i="2"/>
  <c r="L250" i="2" s="1"/>
  <c r="K272" i="2"/>
  <c r="L272" i="2" s="1"/>
  <c r="K271" i="2"/>
  <c r="L271" i="2" s="1"/>
  <c r="K142" i="2"/>
  <c r="L142" i="2" s="1"/>
  <c r="K184" i="2"/>
  <c r="L184" i="2" s="1"/>
  <c r="O531" i="2"/>
  <c r="P531" i="2" s="1"/>
  <c r="O318" i="2"/>
  <c r="P318" i="2" s="1"/>
  <c r="O270" i="2"/>
  <c r="P270" i="2" s="1"/>
  <c r="O231" i="2"/>
  <c r="P231" i="2" s="1"/>
  <c r="O267" i="2"/>
  <c r="P267" i="2" s="1"/>
  <c r="O195" i="2"/>
  <c r="P195" i="2" s="1"/>
  <c r="O226" i="2"/>
  <c r="P226" i="2" s="1"/>
  <c r="O222" i="2"/>
  <c r="P222" i="2" s="1"/>
  <c r="O153" i="2"/>
  <c r="P153" i="2" s="1"/>
  <c r="O141" i="2"/>
  <c r="P141" i="2" s="1"/>
  <c r="M704" i="2"/>
  <c r="N704" i="2" s="1"/>
  <c r="M645" i="2"/>
  <c r="N645" i="2" s="1"/>
  <c r="M636" i="2"/>
  <c r="N636" i="2" s="1"/>
  <c r="M668" i="2"/>
  <c r="N668" i="2" s="1"/>
  <c r="M310" i="2"/>
  <c r="N310" i="2" s="1"/>
  <c r="M389" i="2"/>
  <c r="N389" i="2" s="1"/>
  <c r="M395" i="2"/>
  <c r="N395" i="2" s="1"/>
  <c r="M507" i="2"/>
  <c r="N507" i="2" s="1"/>
  <c r="M298" i="2"/>
  <c r="N298" i="2" s="1"/>
  <c r="M272" i="2"/>
  <c r="N272" i="2" s="1"/>
  <c r="M48" i="2"/>
  <c r="N48" i="2" s="1"/>
  <c r="M175" i="2"/>
  <c r="N175" i="2" s="1"/>
  <c r="M278" i="2"/>
  <c r="N278" i="2" s="1"/>
  <c r="J29" i="7"/>
  <c r="H587" i="2"/>
  <c r="I587" i="2" s="1"/>
  <c r="H429" i="2"/>
  <c r="I429" i="2" s="1"/>
  <c r="H530" i="2"/>
  <c r="I530" i="2" s="1"/>
  <c r="H462" i="2"/>
  <c r="I462" i="2" s="1"/>
  <c r="H438" i="2"/>
  <c r="I438" i="2" s="1"/>
  <c r="H366" i="2"/>
  <c r="I366" i="2" s="1"/>
  <c r="K351" i="2"/>
  <c r="L351" i="2" s="1"/>
  <c r="K154" i="2"/>
  <c r="L154" i="2" s="1"/>
  <c r="M571" i="2"/>
  <c r="N571" i="2" s="1"/>
  <c r="M654" i="2"/>
  <c r="N654" i="2" s="1"/>
  <c r="M610" i="2"/>
  <c r="N610" i="2" s="1"/>
  <c r="M476" i="2"/>
  <c r="N476" i="2" s="1"/>
  <c r="M511" i="2"/>
  <c r="N511" i="2" s="1"/>
  <c r="M475" i="2"/>
  <c r="N475" i="2" s="1"/>
  <c r="M355" i="2"/>
  <c r="N355" i="2" s="1"/>
  <c r="M320" i="2"/>
  <c r="N320" i="2" s="1"/>
  <c r="M296" i="2"/>
  <c r="N296" i="2" s="1"/>
  <c r="M288" i="2"/>
  <c r="N288" i="2" s="1"/>
  <c r="M185" i="2"/>
  <c r="N185" i="2" s="1"/>
  <c r="M10" i="2"/>
  <c r="N10" i="2" s="1"/>
  <c r="M7" i="2"/>
  <c r="N7" i="2" s="1"/>
  <c r="J24" i="7"/>
  <c r="H562" i="2"/>
  <c r="I562" i="2" s="1"/>
  <c r="N43" i="3"/>
  <c r="O192" i="2"/>
  <c r="P192" i="2" s="1"/>
  <c r="H177" i="2"/>
  <c r="I177" i="2" s="1"/>
  <c r="B30" i="4"/>
  <c r="B24" i="4"/>
  <c r="E37" i="4"/>
  <c r="D37" i="4"/>
  <c r="D24" i="4"/>
  <c r="B27" i="4"/>
  <c r="E29" i="4"/>
  <c r="C31" i="4"/>
  <c r="K33" i="2"/>
  <c r="L33" i="2" s="1"/>
  <c r="N214" i="3"/>
  <c r="H178" i="2"/>
  <c r="I178" i="2" s="1"/>
  <c r="N140" i="3"/>
  <c r="O34" i="3"/>
  <c r="O6" i="3"/>
  <c r="M204" i="2"/>
  <c r="N204" i="2" s="1"/>
  <c r="N176" i="3"/>
  <c r="H165" i="2"/>
  <c r="I165" i="2" s="1"/>
  <c r="O160" i="2"/>
  <c r="P160" i="2" s="1"/>
  <c r="O156" i="2"/>
  <c r="P156" i="2" s="1"/>
  <c r="O152" i="2"/>
  <c r="P152" i="2" s="1"/>
  <c r="O148" i="2"/>
  <c r="P148" i="2" s="1"/>
  <c r="O144" i="2"/>
  <c r="P144" i="2" s="1"/>
  <c r="O140" i="2"/>
  <c r="P140" i="2" s="1"/>
  <c r="O136" i="2"/>
  <c r="P136" i="2" s="1"/>
  <c r="O132" i="2"/>
  <c r="P132" i="2" s="1"/>
  <c r="O128" i="2"/>
  <c r="P128" i="2" s="1"/>
  <c r="N124" i="3"/>
  <c r="N118" i="3"/>
  <c r="H113" i="2"/>
  <c r="I113" i="2" s="1"/>
  <c r="N28" i="3"/>
  <c r="M23" i="2"/>
  <c r="N23" i="2" s="1"/>
  <c r="K97" i="2"/>
  <c r="L97" i="2" s="1"/>
  <c r="N31" i="3"/>
  <c r="N186" i="3"/>
  <c r="E73" i="4"/>
  <c r="B70" i="4"/>
  <c r="B68" i="4"/>
  <c r="B74" i="4"/>
  <c r="B64" i="4"/>
  <c r="E69" i="4"/>
  <c r="C72" i="4"/>
  <c r="C73" i="4"/>
  <c r="D47" i="4"/>
  <c r="D51" i="4"/>
  <c r="E42" i="4"/>
  <c r="E47" i="4"/>
  <c r="E52" i="4"/>
  <c r="B44" i="4"/>
  <c r="C42" i="4"/>
  <c r="J659" i="2"/>
  <c r="W659" i="2"/>
  <c r="V659" i="2"/>
  <c r="W467" i="2"/>
  <c r="V467" i="2"/>
  <c r="J467" i="2"/>
  <c r="W443" i="2"/>
  <c r="V443" i="2"/>
  <c r="J443" i="2"/>
  <c r="W363" i="2"/>
  <c r="V363" i="2"/>
  <c r="J363" i="2"/>
  <c r="J369" i="2"/>
  <c r="W369" i="2"/>
  <c r="V369" i="2"/>
  <c r="O348" i="3"/>
  <c r="M348" i="3"/>
  <c r="S348" i="3" s="1"/>
  <c r="L348" i="3"/>
  <c r="J348" i="3"/>
  <c r="I348" i="3"/>
  <c r="H348" i="3"/>
  <c r="N283" i="3"/>
  <c r="J261" i="2"/>
  <c r="W261" i="2"/>
  <c r="V261" i="2"/>
  <c r="N217" i="3"/>
  <c r="N263" i="3"/>
  <c r="N251" i="3"/>
  <c r="J211" i="2"/>
  <c r="V211" i="2"/>
  <c r="W211" i="2"/>
  <c r="J179" i="2"/>
  <c r="V179" i="2"/>
  <c r="W179" i="2"/>
  <c r="W295" i="2"/>
  <c r="V295" i="2"/>
  <c r="J295" i="2"/>
  <c r="O99" i="3"/>
  <c r="O35" i="3"/>
  <c r="N198" i="3"/>
  <c r="O112" i="3"/>
  <c r="J82" i="2"/>
  <c r="V82" i="2"/>
  <c r="W82" i="2"/>
  <c r="O64" i="3"/>
  <c r="J26" i="2"/>
  <c r="W26" i="2"/>
  <c r="V26" i="2"/>
  <c r="J18" i="7"/>
  <c r="H554" i="2"/>
  <c r="I554" i="2" s="1"/>
  <c r="H514" i="2"/>
  <c r="I514" i="2" s="1"/>
  <c r="H441" i="2"/>
  <c r="I441" i="2" s="1"/>
  <c r="H450" i="2"/>
  <c r="I450" i="2" s="1"/>
  <c r="H430" i="2"/>
  <c r="I430" i="2" s="1"/>
  <c r="O518" i="2"/>
  <c r="P518" i="2" s="1"/>
  <c r="O527" i="2"/>
  <c r="P527" i="2" s="1"/>
  <c r="O465" i="2"/>
  <c r="P465" i="2" s="1"/>
  <c r="O417" i="2"/>
  <c r="P417" i="2" s="1"/>
  <c r="O401" i="2"/>
  <c r="P401" i="2" s="1"/>
  <c r="O361" i="2"/>
  <c r="P361" i="2" s="1"/>
  <c r="O287" i="2"/>
  <c r="P287" i="2" s="1"/>
  <c r="O265" i="2"/>
  <c r="P265" i="2" s="1"/>
  <c r="O35" i="2"/>
  <c r="P35" i="2" s="1"/>
  <c r="O232" i="2"/>
  <c r="P232" i="2" s="1"/>
  <c r="O83" i="2"/>
  <c r="P83" i="2" s="1"/>
  <c r="O27" i="2"/>
  <c r="P27" i="2" s="1"/>
  <c r="M591" i="2"/>
  <c r="N591" i="2" s="1"/>
  <c r="M563" i="2"/>
  <c r="N563" i="2" s="1"/>
  <c r="M678" i="2"/>
  <c r="N678" i="2" s="1"/>
  <c r="M522" i="2"/>
  <c r="N522" i="2" s="1"/>
  <c r="M602" i="2"/>
  <c r="N602" i="2" s="1"/>
  <c r="M215" i="2"/>
  <c r="N215" i="2" s="1"/>
  <c r="M4" i="2"/>
  <c r="N4" i="2" s="1"/>
  <c r="M68" i="2"/>
  <c r="N68" i="2" s="1"/>
  <c r="M8" i="2"/>
  <c r="N8" i="2" s="1"/>
  <c r="J36" i="7"/>
  <c r="H594" i="2"/>
  <c r="I594" i="2" s="1"/>
  <c r="H598" i="2"/>
  <c r="I598" i="2" s="1"/>
  <c r="H515" i="2"/>
  <c r="I515" i="2" s="1"/>
  <c r="H542" i="2"/>
  <c r="I542" i="2" s="1"/>
  <c r="H487" i="2"/>
  <c r="I487" i="2" s="1"/>
  <c r="H471" i="2"/>
  <c r="I471" i="2" s="1"/>
  <c r="H426" i="2"/>
  <c r="I426" i="2" s="1"/>
  <c r="H565" i="2"/>
  <c r="I565" i="2" s="1"/>
  <c r="H358" i="2"/>
  <c r="I358" i="2" s="1"/>
  <c r="H414" i="2"/>
  <c r="I414" i="2" s="1"/>
  <c r="H529" i="2"/>
  <c r="I529" i="2" s="1"/>
  <c r="H285" i="2"/>
  <c r="I285" i="2" s="1"/>
  <c r="H72" i="2"/>
  <c r="I72" i="2" s="1"/>
  <c r="O554" i="2"/>
  <c r="P554" i="2" s="1"/>
  <c r="O441" i="2"/>
  <c r="P441" i="2" s="1"/>
  <c r="O514" i="2"/>
  <c r="P514" i="2" s="1"/>
  <c r="O430" i="2"/>
  <c r="P430" i="2" s="1"/>
  <c r="O338" i="2"/>
  <c r="P338" i="2" s="1"/>
  <c r="O302" i="2"/>
  <c r="P302" i="2" s="1"/>
  <c r="O450" i="2"/>
  <c r="P450" i="2" s="1"/>
  <c r="O364" i="2"/>
  <c r="P364" i="2" s="1"/>
  <c r="O143" i="2"/>
  <c r="P143" i="2" s="1"/>
  <c r="O716" i="2"/>
  <c r="P716" i="2" s="1"/>
  <c r="O519" i="2"/>
  <c r="P519" i="2" s="1"/>
  <c r="O461" i="2"/>
  <c r="P461" i="2" s="1"/>
  <c r="O425" i="2"/>
  <c r="P425" i="2" s="1"/>
  <c r="O483" i="2"/>
  <c r="P483" i="2" s="1"/>
  <c r="O481" i="2"/>
  <c r="P481" i="2" s="1"/>
  <c r="O306" i="2"/>
  <c r="P306" i="2" s="1"/>
  <c r="O446" i="2"/>
  <c r="P446" i="2" s="1"/>
  <c r="O394" i="2"/>
  <c r="P394" i="2" s="1"/>
  <c r="O367" i="2"/>
  <c r="P367" i="2" s="1"/>
  <c r="O393" i="2"/>
  <c r="P393" i="2" s="1"/>
  <c r="O239" i="2"/>
  <c r="P239" i="2" s="1"/>
  <c r="O299" i="2"/>
  <c r="P299" i="2" s="1"/>
  <c r="O259" i="2"/>
  <c r="P259" i="2" s="1"/>
  <c r="O258" i="2"/>
  <c r="P258" i="2" s="1"/>
  <c r="O74" i="2"/>
  <c r="P74" i="2" s="1"/>
  <c r="O240" i="2"/>
  <c r="P240" i="2" s="1"/>
  <c r="O228" i="2"/>
  <c r="P228" i="2" s="1"/>
  <c r="O165" i="2"/>
  <c r="P165" i="2" s="1"/>
  <c r="O699" i="3"/>
  <c r="I691" i="3"/>
  <c r="O675" i="3"/>
  <c r="O663" i="3"/>
  <c r="H651" i="3"/>
  <c r="N721" i="3"/>
  <c r="J720" i="3"/>
  <c r="H692" i="3"/>
  <c r="O688" i="3"/>
  <c r="O684" i="3"/>
  <c r="J660" i="3"/>
  <c r="O640" i="3"/>
  <c r="M632" i="3"/>
  <c r="S632" i="3" s="1"/>
  <c r="I628" i="3"/>
  <c r="H624" i="3"/>
  <c r="O612" i="3"/>
  <c r="M705" i="2"/>
  <c r="N705" i="2" s="1"/>
  <c r="O725" i="3"/>
  <c r="J677" i="3"/>
  <c r="O665" i="3"/>
  <c r="I657" i="3"/>
  <c r="O649" i="3"/>
  <c r="H641" i="3"/>
  <c r="M625" i="3"/>
  <c r="S625" i="3" s="1"/>
  <c r="M621" i="3"/>
  <c r="S621" i="3" s="1"/>
  <c r="I617" i="3"/>
  <c r="N723" i="3"/>
  <c r="O706" i="3"/>
  <c r="J682" i="3"/>
  <c r="O662" i="3"/>
  <c r="J646" i="3"/>
  <c r="I626" i="3"/>
  <c r="O618" i="3"/>
  <c r="H614" i="3"/>
  <c r="N640" i="3"/>
  <c r="N633" i="3"/>
  <c r="N628" i="3"/>
  <c r="N616" i="3"/>
  <c r="N564" i="3"/>
  <c r="W672" i="2"/>
  <c r="J672" i="2"/>
  <c r="V672" i="2"/>
  <c r="N704" i="3"/>
  <c r="W688" i="2"/>
  <c r="J688" i="2"/>
  <c r="V688" i="2"/>
  <c r="N675" i="3"/>
  <c r="N618" i="3"/>
  <c r="W610" i="2"/>
  <c r="V610" i="2"/>
  <c r="J610" i="2"/>
  <c r="I600" i="3"/>
  <c r="H600" i="3"/>
  <c r="O600" i="3"/>
  <c r="M600" i="3"/>
  <c r="S600" i="3" s="1"/>
  <c r="L600" i="3"/>
  <c r="J600" i="3"/>
  <c r="N577" i="3"/>
  <c r="N545" i="3"/>
  <c r="N701" i="3"/>
  <c r="W684" i="2"/>
  <c r="J684" i="2"/>
  <c r="V684" i="2"/>
  <c r="J678" i="2"/>
  <c r="W678" i="2"/>
  <c r="V678" i="2"/>
  <c r="W668" i="2"/>
  <c r="J668" i="2"/>
  <c r="V668" i="2"/>
  <c r="J662" i="2"/>
  <c r="W662" i="2"/>
  <c r="V662" i="2"/>
  <c r="N606" i="3"/>
  <c r="O568" i="3"/>
  <c r="O719" i="2"/>
  <c r="P719" i="2" s="1"/>
  <c r="J702" i="2"/>
  <c r="W702" i="2"/>
  <c r="V702" i="2"/>
  <c r="H685" i="2"/>
  <c r="I685" i="2" s="1"/>
  <c r="N671" i="3"/>
  <c r="N654" i="3"/>
  <c r="N647" i="3"/>
  <c r="W633" i="2"/>
  <c r="J633" i="2"/>
  <c r="V633" i="2"/>
  <c r="N620" i="3"/>
  <c r="N578" i="3"/>
  <c r="N546" i="3"/>
  <c r="K536" i="2"/>
  <c r="L536" i="2" s="1"/>
  <c r="N601" i="3"/>
  <c r="O589" i="3"/>
  <c r="O553" i="3"/>
  <c r="V596" i="2"/>
  <c r="J596" i="2"/>
  <c r="W596" i="2"/>
  <c r="O582" i="3"/>
  <c r="M578" i="3"/>
  <c r="S578" i="3" s="1"/>
  <c r="V572" i="2"/>
  <c r="J572" i="2"/>
  <c r="W572" i="2"/>
  <c r="J558" i="3"/>
  <c r="O550" i="3"/>
  <c r="O526" i="3"/>
  <c r="O518" i="3"/>
  <c r="O474" i="3"/>
  <c r="P474" i="3" s="1"/>
  <c r="N488" i="3"/>
  <c r="N480" i="3"/>
  <c r="N472" i="3"/>
  <c r="N455" i="3"/>
  <c r="W444" i="2"/>
  <c r="V444" i="2"/>
  <c r="J444" i="2"/>
  <c r="N439" i="3"/>
  <c r="K433" i="2"/>
  <c r="L433" i="2" s="1"/>
  <c r="N423" i="3"/>
  <c r="W412" i="2"/>
  <c r="V412" i="2"/>
  <c r="J412" i="2"/>
  <c r="M406" i="2"/>
  <c r="N406" i="2" s="1"/>
  <c r="K385" i="2"/>
  <c r="L385" i="2" s="1"/>
  <c r="N611" i="3"/>
  <c r="O466" i="3"/>
  <c r="O434" i="3"/>
  <c r="O382" i="3"/>
  <c r="H346" i="3"/>
  <c r="K687" i="2"/>
  <c r="L687" i="2" s="1"/>
  <c r="J618" i="2"/>
  <c r="W618" i="2"/>
  <c r="V618" i="2"/>
  <c r="M601" i="2"/>
  <c r="N601" i="2" s="1"/>
  <c r="L537" i="3"/>
  <c r="J537" i="3"/>
  <c r="I537" i="3"/>
  <c r="H537" i="3"/>
  <c r="O537" i="3"/>
  <c r="M537" i="3"/>
  <c r="S537" i="3" s="1"/>
  <c r="L529" i="3"/>
  <c r="J529" i="3"/>
  <c r="I529" i="3"/>
  <c r="H529" i="3"/>
  <c r="O529" i="3"/>
  <c r="M529" i="3"/>
  <c r="S529" i="3" s="1"/>
  <c r="H509" i="3"/>
  <c r="O509" i="3"/>
  <c r="M509" i="3"/>
  <c r="S509" i="3" s="1"/>
  <c r="L509" i="3"/>
  <c r="J509" i="3"/>
  <c r="I509" i="3"/>
  <c r="N444" i="3"/>
  <c r="N412" i="3"/>
  <c r="O539" i="3"/>
  <c r="N523" i="3"/>
  <c r="N514" i="3"/>
  <c r="N607" i="3"/>
  <c r="N497" i="3"/>
  <c r="N479" i="3"/>
  <c r="N449" i="3"/>
  <c r="N417" i="3"/>
  <c r="O599" i="2"/>
  <c r="P599" i="2" s="1"/>
  <c r="O516" i="2"/>
  <c r="P516" i="2" s="1"/>
  <c r="J511" i="3"/>
  <c r="K530" i="3"/>
  <c r="W498" i="2"/>
  <c r="V498" i="2"/>
  <c r="J498" i="2"/>
  <c r="W486" i="2"/>
  <c r="V486" i="2"/>
  <c r="J486" i="2"/>
  <c r="M483" i="3"/>
  <c r="S483" i="3" s="1"/>
  <c r="O475" i="3"/>
  <c r="W470" i="2"/>
  <c r="V470" i="2"/>
  <c r="J470" i="2"/>
  <c r="M461" i="3"/>
  <c r="S461" i="3" s="1"/>
  <c r="M445" i="3"/>
  <c r="S445" i="3" s="1"/>
  <c r="M437" i="3"/>
  <c r="S437" i="3" s="1"/>
  <c r="J429" i="3"/>
  <c r="M421" i="3"/>
  <c r="S421" i="3" s="1"/>
  <c r="W415" i="2"/>
  <c r="V415" i="2"/>
  <c r="J415" i="2"/>
  <c r="H401" i="3"/>
  <c r="M385" i="3"/>
  <c r="S385" i="3" s="1"/>
  <c r="H381" i="3"/>
  <c r="H392" i="2"/>
  <c r="I392" i="2" s="1"/>
  <c r="N356" i="3"/>
  <c r="N338" i="3"/>
  <c r="N322" i="3"/>
  <c r="N306" i="3"/>
  <c r="M460" i="2"/>
  <c r="N460" i="2" s="1"/>
  <c r="I379" i="3"/>
  <c r="M363" i="3"/>
  <c r="S363" i="3" s="1"/>
  <c r="O285" i="3"/>
  <c r="I277" i="3"/>
  <c r="O273" i="3"/>
  <c r="K413" i="3"/>
  <c r="N331" i="3"/>
  <c r="N315" i="3"/>
  <c r="N406" i="3"/>
  <c r="H387" i="3"/>
  <c r="N374" i="3"/>
  <c r="H359" i="3"/>
  <c r="K357" i="2"/>
  <c r="L357" i="2" s="1"/>
  <c r="O330" i="3"/>
  <c r="O322" i="3"/>
  <c r="H300" i="2"/>
  <c r="I300" i="2" s="1"/>
  <c r="J298" i="3"/>
  <c r="O286" i="3"/>
  <c r="P286" i="3" s="1"/>
  <c r="O282" i="3"/>
  <c r="O270" i="3"/>
  <c r="I266" i="3"/>
  <c r="O258" i="3"/>
  <c r="L404" i="3"/>
  <c r="J404" i="3"/>
  <c r="I404" i="3"/>
  <c r="H404" i="3"/>
  <c r="O404" i="3"/>
  <c r="M404" i="3"/>
  <c r="S404" i="3" s="1"/>
  <c r="O368" i="2"/>
  <c r="P368" i="2" s="1"/>
  <c r="N351" i="3"/>
  <c r="O316" i="2"/>
  <c r="P316" i="2" s="1"/>
  <c r="N312" i="3"/>
  <c r="N288" i="3"/>
  <c r="O355" i="3"/>
  <c r="M343" i="2"/>
  <c r="N343" i="2" s="1"/>
  <c r="H337" i="2"/>
  <c r="I337" i="2" s="1"/>
  <c r="O319" i="3"/>
  <c r="N434" i="3"/>
  <c r="J383" i="3"/>
  <c r="N329" i="3"/>
  <c r="O317" i="2"/>
  <c r="P317" i="2" s="1"/>
  <c r="N297" i="3"/>
  <c r="K394" i="2"/>
  <c r="L394" i="2" s="1"/>
  <c r="M351" i="3"/>
  <c r="S351" i="3" s="1"/>
  <c r="O336" i="3"/>
  <c r="O328" i="3"/>
  <c r="O320" i="3"/>
  <c r="W306" i="2"/>
  <c r="V306" i="2"/>
  <c r="J306" i="2"/>
  <c r="W290" i="2"/>
  <c r="V290" i="2"/>
  <c r="J290" i="2"/>
  <c r="J288" i="3"/>
  <c r="O280" i="3"/>
  <c r="H260" i="2"/>
  <c r="I260" i="2" s="1"/>
  <c r="J235" i="2"/>
  <c r="W235" i="2"/>
  <c r="V235" i="2"/>
  <c r="J227" i="2"/>
  <c r="W227" i="2"/>
  <c r="V227" i="2"/>
  <c r="O123" i="3"/>
  <c r="M258" i="2"/>
  <c r="N258" i="2" s="1"/>
  <c r="N227" i="3"/>
  <c r="K207" i="2"/>
  <c r="L207" i="2" s="1"/>
  <c r="K199" i="2"/>
  <c r="L199" i="2" s="1"/>
  <c r="K191" i="2"/>
  <c r="L191" i="2" s="1"/>
  <c r="N262" i="3"/>
  <c r="M249" i="2"/>
  <c r="N249" i="2" s="1"/>
  <c r="O212" i="3"/>
  <c r="N261" i="3"/>
  <c r="M367" i="2"/>
  <c r="N367" i="2" s="1"/>
  <c r="I241" i="3"/>
  <c r="M239" i="2"/>
  <c r="N239" i="2" s="1"/>
  <c r="H237" i="3"/>
  <c r="H219" i="2"/>
  <c r="I219" i="2" s="1"/>
  <c r="M213" i="3"/>
  <c r="S213" i="3" s="1"/>
  <c r="J193" i="3"/>
  <c r="J187" i="2"/>
  <c r="V187" i="2"/>
  <c r="W187" i="2"/>
  <c r="O153" i="3"/>
  <c r="O141" i="3"/>
  <c r="N295" i="3"/>
  <c r="N203" i="3"/>
  <c r="K284" i="3"/>
  <c r="N216" i="3"/>
  <c r="K206" i="2"/>
  <c r="L206" i="2" s="1"/>
  <c r="N184" i="3"/>
  <c r="H196" i="2"/>
  <c r="I196" i="2" s="1"/>
  <c r="H166" i="2"/>
  <c r="I166" i="2" s="1"/>
  <c r="L156" i="3"/>
  <c r="J156" i="3"/>
  <c r="I156" i="3"/>
  <c r="H156" i="3"/>
  <c r="O156" i="3"/>
  <c r="M156" i="3"/>
  <c r="S156" i="3" s="1"/>
  <c r="L140" i="3"/>
  <c r="J140" i="3"/>
  <c r="I140" i="3"/>
  <c r="H140" i="3"/>
  <c r="O140" i="3"/>
  <c r="M140" i="3"/>
  <c r="S140" i="3" s="1"/>
  <c r="M136" i="2"/>
  <c r="N136" i="2" s="1"/>
  <c r="O107" i="3"/>
  <c r="O103" i="3"/>
  <c r="O75" i="3"/>
  <c r="O71" i="3"/>
  <c r="N77" i="3"/>
  <c r="N37" i="3"/>
  <c r="N51" i="3"/>
  <c r="O66" i="3"/>
  <c r="L186" i="3"/>
  <c r="J186" i="3"/>
  <c r="I186" i="3"/>
  <c r="H186" i="3"/>
  <c r="O186" i="3"/>
  <c r="M186" i="3"/>
  <c r="S186" i="3" s="1"/>
  <c r="K171" i="2"/>
  <c r="L171" i="2" s="1"/>
  <c r="N154" i="3"/>
  <c r="N85" i="3"/>
  <c r="N41" i="3"/>
  <c r="N9" i="3"/>
  <c r="H190" i="3"/>
  <c r="O190" i="3"/>
  <c r="M190" i="3"/>
  <c r="S190" i="3" s="1"/>
  <c r="L190" i="3"/>
  <c r="J190" i="3"/>
  <c r="I190" i="3"/>
  <c r="M124" i="3"/>
  <c r="S124" i="3" s="1"/>
  <c r="M122" i="2"/>
  <c r="N122" i="2" s="1"/>
  <c r="M118" i="3"/>
  <c r="S118" i="3" s="1"/>
  <c r="L118" i="3"/>
  <c r="J118" i="3"/>
  <c r="I118" i="3"/>
  <c r="H118" i="3"/>
  <c r="O118" i="3"/>
  <c r="J116" i="3"/>
  <c r="O36" i="3"/>
  <c r="O28" i="3"/>
  <c r="J22" i="2"/>
  <c r="V22" i="2"/>
  <c r="W22" i="2"/>
  <c r="H6" i="2"/>
  <c r="I6" i="2" s="1"/>
  <c r="O29" i="3"/>
  <c r="O13" i="3"/>
  <c r="P13" i="3" s="1"/>
  <c r="K25" i="2"/>
  <c r="L25" i="2" s="1"/>
  <c r="O106" i="3"/>
  <c r="L194" i="3"/>
  <c r="J194" i="3"/>
  <c r="I194" i="3"/>
  <c r="H194" i="3"/>
  <c r="O194" i="3"/>
  <c r="M194" i="3"/>
  <c r="S194" i="3" s="1"/>
  <c r="N170" i="3"/>
  <c r="K108" i="2"/>
  <c r="L108" i="2" s="1"/>
  <c r="K92" i="2"/>
  <c r="L92" i="2" s="1"/>
  <c r="M81" i="2"/>
  <c r="N81" i="2" s="1"/>
  <c r="N34" i="3"/>
  <c r="M21" i="2"/>
  <c r="N21" i="2" s="1"/>
  <c r="N14" i="3"/>
  <c r="M492" i="2"/>
  <c r="N492" i="2" s="1"/>
  <c r="M499" i="2"/>
  <c r="N499" i="2" s="1"/>
  <c r="M413" i="2"/>
  <c r="N413" i="2" s="1"/>
  <c r="M108" i="2"/>
  <c r="N108" i="2" s="1"/>
  <c r="M18" i="2"/>
  <c r="N18" i="2" s="1"/>
  <c r="K692" i="2"/>
  <c r="L692" i="2" s="1"/>
  <c r="K639" i="2"/>
  <c r="L639" i="2" s="1"/>
  <c r="K256" i="2"/>
  <c r="L256" i="2" s="1"/>
  <c r="O713" i="2"/>
  <c r="P713" i="2" s="1"/>
  <c r="O610" i="2"/>
  <c r="P610" i="2" s="1"/>
  <c r="O571" i="2"/>
  <c r="P571" i="2" s="1"/>
  <c r="O511" i="2"/>
  <c r="P511" i="2" s="1"/>
  <c r="O475" i="2"/>
  <c r="P475" i="2" s="1"/>
  <c r="O7" i="2"/>
  <c r="P7" i="2" s="1"/>
  <c r="K496" i="2"/>
  <c r="L496" i="2" s="1"/>
  <c r="K377" i="2"/>
  <c r="L377" i="2" s="1"/>
  <c r="K158" i="2"/>
  <c r="L158" i="2" s="1"/>
  <c r="O611" i="2"/>
  <c r="P611" i="2" s="1"/>
  <c r="O708" i="2"/>
  <c r="P708" i="2" s="1"/>
  <c r="O369" i="2"/>
  <c r="P369" i="2" s="1"/>
  <c r="J35" i="7"/>
  <c r="H566" i="2"/>
  <c r="I566" i="2" s="1"/>
  <c r="H510" i="2"/>
  <c r="I510" i="2" s="1"/>
  <c r="H350" i="2"/>
  <c r="I350" i="2" s="1"/>
  <c r="J25" i="7"/>
  <c r="H546" i="2"/>
  <c r="I546" i="2" s="1"/>
  <c r="H535" i="2"/>
  <c r="I535" i="2" s="1"/>
  <c r="H434" i="2"/>
  <c r="I434" i="2" s="1"/>
  <c r="H365" i="2"/>
  <c r="I365" i="2" s="1"/>
  <c r="H406" i="2"/>
  <c r="I406" i="2" s="1"/>
  <c r="H63" i="2"/>
  <c r="I63" i="2" s="1"/>
  <c r="K621" i="2"/>
  <c r="L621" i="2" s="1"/>
  <c r="K633" i="2"/>
  <c r="L633" i="2" s="1"/>
  <c r="M627" i="2"/>
  <c r="N627" i="2" s="1"/>
  <c r="M574" i="2"/>
  <c r="N574" i="2" s="1"/>
  <c r="M322" i="2"/>
  <c r="N322" i="2" s="1"/>
  <c r="M445" i="2"/>
  <c r="N445" i="2" s="1"/>
  <c r="M324" i="2"/>
  <c r="N324" i="2" s="1"/>
  <c r="M88" i="2"/>
  <c r="N88" i="2" s="1"/>
  <c r="M56" i="2"/>
  <c r="N56" i="2" s="1"/>
  <c r="J20" i="7"/>
  <c r="H409" i="2"/>
  <c r="I409" i="2" s="1"/>
  <c r="H561" i="2"/>
  <c r="I561" i="2" s="1"/>
  <c r="H466" i="2"/>
  <c r="I466" i="2" s="1"/>
  <c r="H454" i="2"/>
  <c r="I454" i="2" s="1"/>
  <c r="H120" i="2"/>
  <c r="I120" i="2" s="1"/>
  <c r="H95" i="2"/>
  <c r="I95" i="2" s="1"/>
  <c r="K615" i="2"/>
  <c r="L615" i="2" s="1"/>
  <c r="K640" i="2"/>
  <c r="L640" i="2" s="1"/>
  <c r="K603" i="2"/>
  <c r="L603" i="2" s="1"/>
  <c r="K384" i="2"/>
  <c r="L384" i="2" s="1"/>
  <c r="K356" i="2"/>
  <c r="L356" i="2" s="1"/>
  <c r="O570" i="2"/>
  <c r="P570" i="2" s="1"/>
  <c r="O543" i="2"/>
  <c r="P543" i="2" s="1"/>
  <c r="O559" i="2"/>
  <c r="P559" i="2" s="1"/>
  <c r="O495" i="2"/>
  <c r="P495" i="2" s="1"/>
  <c r="O381" i="2"/>
  <c r="P381" i="2" s="1"/>
  <c r="O397" i="2"/>
  <c r="P397" i="2" s="1"/>
  <c r="M587" i="2"/>
  <c r="N587" i="2" s="1"/>
  <c r="M603" i="2"/>
  <c r="N603" i="2" s="1"/>
  <c r="M530" i="2"/>
  <c r="N530" i="2" s="1"/>
  <c r="M429" i="2"/>
  <c r="N429" i="2" s="1"/>
  <c r="M366" i="2"/>
  <c r="N366" i="2" s="1"/>
  <c r="M282" i="2"/>
  <c r="N282" i="2" s="1"/>
  <c r="J39" i="7"/>
  <c r="H497" i="2"/>
  <c r="I497" i="2" s="1"/>
  <c r="H218" i="2"/>
  <c r="I218" i="2" s="1"/>
  <c r="H202" i="2"/>
  <c r="I202" i="2" s="1"/>
  <c r="H40" i="2"/>
  <c r="I40" i="2" s="1"/>
  <c r="H212" i="2"/>
  <c r="I212" i="2" s="1"/>
  <c r="H136" i="2"/>
  <c r="I136" i="2" s="1"/>
  <c r="H43" i="2"/>
  <c r="I43" i="2" s="1"/>
  <c r="O721" i="2"/>
  <c r="P721" i="2" s="1"/>
  <c r="O603" i="2"/>
  <c r="P603" i="2" s="1"/>
  <c r="O530" i="2"/>
  <c r="P530" i="2" s="1"/>
  <c r="O429" i="2"/>
  <c r="P429" i="2" s="1"/>
  <c r="O462" i="2"/>
  <c r="P462" i="2" s="1"/>
  <c r="O282" i="2"/>
  <c r="P282" i="2" s="1"/>
  <c r="O366" i="2"/>
  <c r="P366" i="2" s="1"/>
  <c r="O438" i="2"/>
  <c r="P438" i="2" s="1"/>
  <c r="O356" i="2"/>
  <c r="P356" i="2" s="1"/>
  <c r="O384" i="2"/>
  <c r="P384" i="2" s="1"/>
  <c r="O587" i="2"/>
  <c r="P587" i="2" s="1"/>
  <c r="O190" i="2"/>
  <c r="P190" i="2" s="1"/>
  <c r="M655" i="2"/>
  <c r="N655" i="2" s="1"/>
  <c r="M496" i="2"/>
  <c r="N496" i="2" s="1"/>
  <c r="M50" i="2"/>
  <c r="N50" i="2" s="1"/>
  <c r="M158" i="2"/>
  <c r="N158" i="2" s="1"/>
  <c r="J21" i="7"/>
  <c r="H558" i="2"/>
  <c r="I558" i="2" s="1"/>
  <c r="H550" i="2"/>
  <c r="I550" i="2" s="1"/>
  <c r="H457" i="2"/>
  <c r="I457" i="2" s="1"/>
  <c r="H521" i="2"/>
  <c r="I521" i="2" s="1"/>
  <c r="H442" i="2"/>
  <c r="I442" i="2" s="1"/>
  <c r="H539" i="2"/>
  <c r="I539" i="2" s="1"/>
  <c r="H390" i="2"/>
  <c r="I390" i="2" s="1"/>
  <c r="H277" i="2"/>
  <c r="I277" i="2" s="1"/>
  <c r="H114" i="2"/>
  <c r="I114" i="2" s="1"/>
  <c r="H100" i="2"/>
  <c r="I100" i="2" s="1"/>
  <c r="H112" i="2"/>
  <c r="I112" i="2" s="1"/>
  <c r="H32" i="2"/>
  <c r="I32" i="2" s="1"/>
  <c r="H99" i="2"/>
  <c r="I99" i="2" s="1"/>
  <c r="H75" i="2"/>
  <c r="I75" i="2" s="1"/>
  <c r="H24" i="2"/>
  <c r="I24" i="2" s="1"/>
  <c r="M527" i="2"/>
  <c r="N527" i="2" s="1"/>
  <c r="M647" i="2"/>
  <c r="N647" i="2" s="1"/>
  <c r="M518" i="2"/>
  <c r="N518" i="2" s="1"/>
  <c r="M694" i="2"/>
  <c r="N694" i="2" s="1"/>
  <c r="M401" i="2"/>
  <c r="N401" i="2" s="1"/>
  <c r="M371" i="2"/>
  <c r="N371" i="2" s="1"/>
  <c r="M417" i="2"/>
  <c r="N417" i="2" s="1"/>
  <c r="M340" i="2"/>
  <c r="N340" i="2" s="1"/>
  <c r="M316" i="2"/>
  <c r="N316" i="2" s="1"/>
  <c r="M465" i="2"/>
  <c r="N465" i="2" s="1"/>
  <c r="M281" i="2"/>
  <c r="N281" i="2" s="1"/>
  <c r="M280" i="2"/>
  <c r="N280" i="2" s="1"/>
  <c r="J16" i="7"/>
  <c r="H11" i="2"/>
  <c r="I11" i="2" s="1"/>
  <c r="H87" i="2"/>
  <c r="I87" i="2" s="1"/>
  <c r="K715" i="2"/>
  <c r="L715" i="2" s="1"/>
  <c r="K484" i="2"/>
  <c r="L484" i="2" s="1"/>
  <c r="K353" i="2"/>
  <c r="L353" i="2" s="1"/>
  <c r="K275" i="2"/>
  <c r="L275" i="2" s="1"/>
  <c r="K248" i="2"/>
  <c r="L248" i="2" s="1"/>
  <c r="K244" i="2"/>
  <c r="L244" i="2" s="1"/>
  <c r="O5" i="3"/>
  <c r="K41" i="2"/>
  <c r="L41" i="2" s="1"/>
  <c r="M192" i="2"/>
  <c r="N192" i="2" s="1"/>
  <c r="M166" i="3"/>
  <c r="S166" i="3" s="1"/>
  <c r="L166" i="3"/>
  <c r="J166" i="3"/>
  <c r="I166" i="3"/>
  <c r="H166" i="3"/>
  <c r="O166" i="3"/>
  <c r="J154" i="3"/>
  <c r="I154" i="3"/>
  <c r="H154" i="3"/>
  <c r="O154" i="3"/>
  <c r="M154" i="3"/>
  <c r="S154" i="3" s="1"/>
  <c r="L154" i="3"/>
  <c r="M142" i="2"/>
  <c r="N142" i="2" s="1"/>
  <c r="J138" i="3"/>
  <c r="I138" i="3"/>
  <c r="H138" i="3"/>
  <c r="O138" i="3"/>
  <c r="M138" i="3"/>
  <c r="S138" i="3" s="1"/>
  <c r="L138" i="3"/>
  <c r="M126" i="2"/>
  <c r="N126" i="2" s="1"/>
  <c r="O109" i="3"/>
  <c r="O97" i="3"/>
  <c r="O77" i="3"/>
  <c r="O65" i="3"/>
  <c r="O45" i="3"/>
  <c r="D32" i="4"/>
  <c r="C30" i="4"/>
  <c r="E27" i="4"/>
  <c r="C24" i="4"/>
  <c r="E26" i="4"/>
  <c r="D29" i="4"/>
  <c r="B32" i="4"/>
  <c r="N15" i="3"/>
  <c r="O293" i="2"/>
  <c r="P293" i="2" s="1"/>
  <c r="N160" i="3"/>
  <c r="N128" i="3"/>
  <c r="N107" i="3"/>
  <c r="M169" i="2"/>
  <c r="N169" i="2" s="1"/>
  <c r="K123" i="2"/>
  <c r="L123" i="2" s="1"/>
  <c r="O108" i="2"/>
  <c r="P108" i="2" s="1"/>
  <c r="O104" i="2"/>
  <c r="P104" i="2" s="1"/>
  <c r="O100" i="2"/>
  <c r="P100" i="2" s="1"/>
  <c r="O96" i="2"/>
  <c r="P96" i="2" s="1"/>
  <c r="O92" i="2"/>
  <c r="P92" i="2" s="1"/>
  <c r="O88" i="2"/>
  <c r="P88" i="2" s="1"/>
  <c r="O84" i="2"/>
  <c r="P84" i="2" s="1"/>
  <c r="O80" i="2"/>
  <c r="P80" i="2" s="1"/>
  <c r="O76" i="2"/>
  <c r="P76" i="2" s="1"/>
  <c r="O72" i="2"/>
  <c r="P72" i="2" s="1"/>
  <c r="O68" i="2"/>
  <c r="P68" i="2" s="1"/>
  <c r="O64" i="2"/>
  <c r="P64" i="2" s="1"/>
  <c r="O60" i="2"/>
  <c r="P60" i="2" s="1"/>
  <c r="O56" i="2"/>
  <c r="P56" i="2" s="1"/>
  <c r="O52" i="2"/>
  <c r="P52" i="2" s="1"/>
  <c r="O48" i="2"/>
  <c r="P48" i="2" s="1"/>
  <c r="O44" i="2"/>
  <c r="P44" i="2" s="1"/>
  <c r="O40" i="2"/>
  <c r="P40" i="2" s="1"/>
  <c r="O36" i="2"/>
  <c r="P36" i="2" s="1"/>
  <c r="N32" i="3"/>
  <c r="M27" i="2"/>
  <c r="N27" i="2" s="1"/>
  <c r="K14" i="2"/>
  <c r="L14" i="2" s="1"/>
  <c r="K6" i="2"/>
  <c r="L6" i="2" s="1"/>
  <c r="N87" i="3"/>
  <c r="K29" i="2"/>
  <c r="L29" i="2" s="1"/>
  <c r="M172" i="2"/>
  <c r="N172" i="2" s="1"/>
  <c r="H208" i="2"/>
  <c r="I208" i="2" s="1"/>
  <c r="E65" i="4"/>
  <c r="B63" i="4"/>
  <c r="E70" i="4"/>
  <c r="B61" i="4"/>
  <c r="E66" i="4"/>
  <c r="D72" i="4"/>
  <c r="K212" i="2"/>
  <c r="L212" i="2" s="1"/>
  <c r="E49" i="4"/>
  <c r="E46" i="4"/>
  <c r="B45" i="4"/>
  <c r="B50" i="4"/>
  <c r="D55" i="4"/>
  <c r="D46" i="4"/>
  <c r="T286" i="3" l="1"/>
  <c r="Q286" i="3"/>
  <c r="T652" i="3"/>
  <c r="Q652" i="3"/>
  <c r="T440" i="3"/>
  <c r="Q440" i="3"/>
  <c r="T304" i="3"/>
  <c r="Q304" i="3"/>
  <c r="T720" i="3"/>
  <c r="Q720" i="3"/>
  <c r="T556" i="3"/>
  <c r="Q556" i="3"/>
  <c r="T13" i="3"/>
  <c r="Q13" i="3"/>
  <c r="T474" i="3"/>
  <c r="Q474" i="3"/>
  <c r="T418" i="3"/>
  <c r="Q418" i="3"/>
  <c r="T520" i="3"/>
  <c r="Q520" i="3"/>
  <c r="T536" i="3"/>
  <c r="Q536" i="3"/>
  <c r="J521" i="2"/>
  <c r="W521" i="2"/>
  <c r="V521" i="2"/>
  <c r="P449" i="3"/>
  <c r="T449" i="3" s="1"/>
  <c r="J178" i="2"/>
  <c r="W178" i="2"/>
  <c r="V178" i="2"/>
  <c r="V438" i="2"/>
  <c r="J438" i="2"/>
  <c r="W438" i="2"/>
  <c r="P590" i="3"/>
  <c r="T590" i="3" s="1"/>
  <c r="J477" i="2"/>
  <c r="V477" i="2"/>
  <c r="W477" i="2"/>
  <c r="P307" i="3"/>
  <c r="T307" i="3" s="1"/>
  <c r="P359" i="3"/>
  <c r="T359" i="3" s="1"/>
  <c r="P662" i="3"/>
  <c r="T662" i="3" s="1"/>
  <c r="P106" i="3"/>
  <c r="T106" i="3" s="1"/>
  <c r="P553" i="3"/>
  <c r="T553" i="3" s="1"/>
  <c r="Q553" i="3"/>
  <c r="P72" i="3"/>
  <c r="T72" i="3" s="1"/>
  <c r="Q72" i="3"/>
  <c r="P352" i="3"/>
  <c r="T352" i="3" s="1"/>
  <c r="P69" i="3"/>
  <c r="T69" i="3" s="1"/>
  <c r="P184" i="3"/>
  <c r="T184" i="3" s="1"/>
  <c r="P297" i="3"/>
  <c r="T297" i="3" s="1"/>
  <c r="P523" i="3"/>
  <c r="T523" i="3" s="1"/>
  <c r="P546" i="3"/>
  <c r="T546" i="3" s="1"/>
  <c r="P671" i="3"/>
  <c r="T671" i="3" s="1"/>
  <c r="P618" i="3"/>
  <c r="T618" i="3" s="1"/>
  <c r="Q618" i="3"/>
  <c r="W358" i="2"/>
  <c r="J358" i="2"/>
  <c r="V358" i="2"/>
  <c r="W594" i="2"/>
  <c r="J594" i="2"/>
  <c r="V594" i="2"/>
  <c r="V450" i="2"/>
  <c r="J450" i="2"/>
  <c r="W450" i="2"/>
  <c r="Q28" i="3"/>
  <c r="P28" i="3"/>
  <c r="T28" i="3" s="1"/>
  <c r="P43" i="3"/>
  <c r="T43" i="3" s="1"/>
  <c r="W148" i="2"/>
  <c r="J148" i="2"/>
  <c r="V148" i="2"/>
  <c r="V301" i="2"/>
  <c r="J301" i="2"/>
  <c r="W301" i="2"/>
  <c r="V537" i="2"/>
  <c r="J537" i="2"/>
  <c r="W537" i="2"/>
  <c r="P121" i="3"/>
  <c r="T121" i="3" s="1"/>
  <c r="P218" i="3"/>
  <c r="T218" i="3" s="1"/>
  <c r="P21" i="3"/>
  <c r="T21" i="3" s="1"/>
  <c r="P63" i="3"/>
  <c r="T63" i="3" s="1"/>
  <c r="P230" i="3"/>
  <c r="T230" i="3" s="1"/>
  <c r="Q230" i="3"/>
  <c r="P454" i="3"/>
  <c r="T454" i="3" s="1"/>
  <c r="P276" i="3"/>
  <c r="T276" i="3" s="1"/>
  <c r="P355" i="3"/>
  <c r="T355" i="3" s="1"/>
  <c r="P475" i="3"/>
  <c r="T475" i="3" s="1"/>
  <c r="W673" i="2"/>
  <c r="J673" i="2"/>
  <c r="V673" i="2"/>
  <c r="Q695" i="3"/>
  <c r="P695" i="3"/>
  <c r="T695" i="3" s="1"/>
  <c r="P281" i="3"/>
  <c r="T281" i="3" s="1"/>
  <c r="Q103" i="3"/>
  <c r="P103" i="3"/>
  <c r="T103" i="3" s="1"/>
  <c r="W157" i="2"/>
  <c r="V157" i="2"/>
  <c r="J157" i="2"/>
  <c r="W84" i="2"/>
  <c r="V84" i="2"/>
  <c r="J84" i="2"/>
  <c r="V309" i="2"/>
  <c r="J309" i="2"/>
  <c r="W309" i="2"/>
  <c r="W503" i="2"/>
  <c r="V503" i="2"/>
  <c r="J503" i="2"/>
  <c r="V394" i="2"/>
  <c r="W394" i="2"/>
  <c r="J394" i="2"/>
  <c r="J47" i="2"/>
  <c r="W47" i="2"/>
  <c r="V47" i="2"/>
  <c r="J518" i="2"/>
  <c r="W518" i="2"/>
  <c r="V518" i="2"/>
  <c r="P91" i="3"/>
  <c r="T91" i="3" s="1"/>
  <c r="P138" i="3"/>
  <c r="T138" i="3" s="1"/>
  <c r="P177" i="3"/>
  <c r="T177" i="3" s="1"/>
  <c r="P519" i="3"/>
  <c r="T519" i="3" s="1"/>
  <c r="P481" i="3"/>
  <c r="T481" i="3" s="1"/>
  <c r="Q481" i="3"/>
  <c r="P484" i="3"/>
  <c r="T484" i="3" s="1"/>
  <c r="P653" i="3"/>
  <c r="T653" i="3" s="1"/>
  <c r="P641" i="3"/>
  <c r="T641" i="3" s="1"/>
  <c r="J489" i="2"/>
  <c r="V489" i="2"/>
  <c r="W489" i="2"/>
  <c r="Q163" i="3"/>
  <c r="P163" i="3"/>
  <c r="T163" i="3" s="1"/>
  <c r="W374" i="2"/>
  <c r="J374" i="2"/>
  <c r="V374" i="2"/>
  <c r="V458" i="2"/>
  <c r="J458" i="2"/>
  <c r="W458" i="2"/>
  <c r="J509" i="2"/>
  <c r="W509" i="2"/>
  <c r="V509" i="2"/>
  <c r="B164" i="4"/>
  <c r="F162" i="4"/>
  <c r="D161" i="4"/>
  <c r="B160" i="4"/>
  <c r="F158" i="4"/>
  <c r="D157" i="4"/>
  <c r="B156" i="4"/>
  <c r="F154" i="4"/>
  <c r="D153" i="4"/>
  <c r="B152" i="4"/>
  <c r="F150" i="4"/>
  <c r="F163" i="4"/>
  <c r="C162" i="4"/>
  <c r="F160" i="4"/>
  <c r="C159" i="4"/>
  <c r="F157" i="4"/>
  <c r="C156" i="4"/>
  <c r="E154" i="4"/>
  <c r="B153" i="4"/>
  <c r="E151" i="4"/>
  <c r="B150" i="4"/>
  <c r="E9" i="5" s="1"/>
  <c r="E163" i="4"/>
  <c r="B162" i="4"/>
  <c r="E160" i="4"/>
  <c r="B159" i="4"/>
  <c r="E157" i="4"/>
  <c r="G155" i="4"/>
  <c r="D154" i="4"/>
  <c r="G152" i="4"/>
  <c r="D151" i="4"/>
  <c r="E164" i="4"/>
  <c r="B163" i="4"/>
  <c r="E161" i="4"/>
  <c r="G159" i="4"/>
  <c r="D158" i="4"/>
  <c r="G156" i="4"/>
  <c r="D155" i="4"/>
  <c r="G153" i="4"/>
  <c r="D152" i="4"/>
  <c r="G150" i="4"/>
  <c r="D164" i="4"/>
  <c r="G161" i="4"/>
  <c r="E159" i="4"/>
  <c r="B157" i="4"/>
  <c r="G154" i="4"/>
  <c r="C152" i="4"/>
  <c r="C164" i="4"/>
  <c r="F161" i="4"/>
  <c r="D159" i="4"/>
  <c r="F156" i="4"/>
  <c r="C154" i="4"/>
  <c r="G151" i="4"/>
  <c r="G163" i="4"/>
  <c r="C161" i="4"/>
  <c r="G158" i="4"/>
  <c r="E156" i="4"/>
  <c r="B154" i="4"/>
  <c r="F151" i="4"/>
  <c r="D163" i="4"/>
  <c r="B161" i="4"/>
  <c r="E158" i="4"/>
  <c r="D156" i="4"/>
  <c r="F153" i="4"/>
  <c r="C151" i="4"/>
  <c r="C163" i="4"/>
  <c r="G160" i="4"/>
  <c r="C158" i="4"/>
  <c r="F155" i="4"/>
  <c r="E153" i="4"/>
  <c r="B151" i="4"/>
  <c r="G162" i="4"/>
  <c r="D160" i="4"/>
  <c r="B158" i="4"/>
  <c r="E155" i="4"/>
  <c r="C153" i="4"/>
  <c r="E150" i="4"/>
  <c r="F164" i="4"/>
  <c r="D162" i="4"/>
  <c r="F159" i="4"/>
  <c r="C157" i="4"/>
  <c r="B155" i="4"/>
  <c r="E152" i="4"/>
  <c r="C150" i="4"/>
  <c r="C155" i="4"/>
  <c r="D150" i="4"/>
  <c r="G164" i="4"/>
  <c r="E162" i="4"/>
  <c r="G157" i="4"/>
  <c r="C160" i="4"/>
  <c r="F152" i="4"/>
  <c r="Q246" i="3"/>
  <c r="P246" i="3"/>
  <c r="T246" i="3" s="1"/>
  <c r="Q268" i="3"/>
  <c r="P268" i="3"/>
  <c r="T268" i="3" s="1"/>
  <c r="Q290" i="3"/>
  <c r="P290" i="3"/>
  <c r="T290" i="3" s="1"/>
  <c r="P413" i="3"/>
  <c r="T413" i="3" s="1"/>
  <c r="Q507" i="3"/>
  <c r="P507" i="3"/>
  <c r="T507" i="3" s="1"/>
  <c r="Q542" i="3"/>
  <c r="P542" i="3"/>
  <c r="T542" i="3" s="1"/>
  <c r="Q524" i="3"/>
  <c r="P524" i="3"/>
  <c r="T524" i="3" s="1"/>
  <c r="P269" i="3"/>
  <c r="T269" i="3" s="1"/>
  <c r="P603" i="3"/>
  <c r="T603" i="3" s="1"/>
  <c r="Q151" i="3"/>
  <c r="P151" i="3"/>
  <c r="T151" i="3" s="1"/>
  <c r="Q175" i="3"/>
  <c r="P175" i="3"/>
  <c r="T175" i="3" s="1"/>
  <c r="D122" i="4"/>
  <c r="D120" i="4"/>
  <c r="D118" i="4"/>
  <c r="D116" i="4"/>
  <c r="D114" i="4"/>
  <c r="D112" i="4"/>
  <c r="D110" i="4"/>
  <c r="D108" i="4"/>
  <c r="D106" i="4"/>
  <c r="D104" i="4"/>
  <c r="D102" i="4"/>
  <c r="D100" i="4"/>
  <c r="D98" i="4"/>
  <c r="D96" i="4"/>
  <c r="D94" i="4"/>
  <c r="D92" i="4"/>
  <c r="D90" i="4"/>
  <c r="D88" i="4"/>
  <c r="E122" i="4"/>
  <c r="C120" i="4"/>
  <c r="B118" i="4"/>
  <c r="E115" i="4"/>
  <c r="D113" i="4"/>
  <c r="C111" i="4"/>
  <c r="B109" i="4"/>
  <c r="E106" i="4"/>
  <c r="C104" i="4"/>
  <c r="B102" i="4"/>
  <c r="E99" i="4"/>
  <c r="D97" i="4"/>
  <c r="C95" i="4"/>
  <c r="B93" i="4"/>
  <c r="E90" i="4"/>
  <c r="C88" i="4"/>
  <c r="C86" i="4"/>
  <c r="C84" i="4"/>
  <c r="C82" i="4"/>
  <c r="C80" i="4"/>
  <c r="C78" i="4"/>
  <c r="D121" i="4"/>
  <c r="C119" i="4"/>
  <c r="B117" i="4"/>
  <c r="E114" i="4"/>
  <c r="C112" i="4"/>
  <c r="B110" i="4"/>
  <c r="E107" i="4"/>
  <c r="D105" i="4"/>
  <c r="C103" i="4"/>
  <c r="B101" i="4"/>
  <c r="E98" i="4"/>
  <c r="C96" i="4"/>
  <c r="B94" i="4"/>
  <c r="E91" i="4"/>
  <c r="D89" i="4"/>
  <c r="C87" i="4"/>
  <c r="C85" i="4"/>
  <c r="C83" i="4"/>
  <c r="C81" i="4"/>
  <c r="C79" i="4"/>
  <c r="C122" i="4"/>
  <c r="D119" i="4"/>
  <c r="C116" i="4"/>
  <c r="C113" i="4"/>
  <c r="C110" i="4"/>
  <c r="C107" i="4"/>
  <c r="B104" i="4"/>
  <c r="C101" i="4"/>
  <c r="B98" i="4"/>
  <c r="B95" i="4"/>
  <c r="B92" i="4"/>
  <c r="B89" i="4"/>
  <c r="B86" i="4"/>
  <c r="D83" i="4"/>
  <c r="E80" i="4"/>
  <c r="B78" i="4"/>
  <c r="C9" i="5" s="1"/>
  <c r="B122" i="4"/>
  <c r="B119" i="4"/>
  <c r="B116" i="4"/>
  <c r="B113" i="4"/>
  <c r="E109" i="4"/>
  <c r="B107" i="4"/>
  <c r="E103" i="4"/>
  <c r="E100" i="4"/>
  <c r="E97" i="4"/>
  <c r="E94" i="4"/>
  <c r="D91" i="4"/>
  <c r="E88" i="4"/>
  <c r="E85" i="4"/>
  <c r="B83" i="4"/>
  <c r="D80" i="4"/>
  <c r="E121" i="4"/>
  <c r="E118" i="4"/>
  <c r="D115" i="4"/>
  <c r="E112" i="4"/>
  <c r="D109" i="4"/>
  <c r="C106" i="4"/>
  <c r="D103" i="4"/>
  <c r="C100" i="4"/>
  <c r="C97" i="4"/>
  <c r="C94" i="4"/>
  <c r="C91" i="4"/>
  <c r="B88" i="4"/>
  <c r="D85" i="4"/>
  <c r="E82" i="4"/>
  <c r="B80" i="4"/>
  <c r="C121" i="4"/>
  <c r="C118" i="4"/>
  <c r="C115" i="4"/>
  <c r="B112" i="4"/>
  <c r="C109" i="4"/>
  <c r="B106" i="4"/>
  <c r="B103" i="4"/>
  <c r="B100" i="4"/>
  <c r="B97" i="4"/>
  <c r="E93" i="4"/>
  <c r="B91" i="4"/>
  <c r="E87" i="4"/>
  <c r="B85" i="4"/>
  <c r="D82" i="4"/>
  <c r="E79" i="4"/>
  <c r="B121" i="4"/>
  <c r="E117" i="4"/>
  <c r="B115" i="4"/>
  <c r="E111" i="4"/>
  <c r="E108" i="4"/>
  <c r="E105" i="4"/>
  <c r="E102" i="4"/>
  <c r="D99" i="4"/>
  <c r="E96" i="4"/>
  <c r="E120" i="4"/>
  <c r="D117" i="4"/>
  <c r="C114" i="4"/>
  <c r="D111" i="4"/>
  <c r="C108" i="4"/>
  <c r="C105" i="4"/>
  <c r="C102" i="4"/>
  <c r="C99" i="4"/>
  <c r="B96" i="4"/>
  <c r="C93" i="4"/>
  <c r="B90" i="4"/>
  <c r="B87" i="4"/>
  <c r="D84" i="4"/>
  <c r="E81" i="4"/>
  <c r="B79" i="4"/>
  <c r="E119" i="4"/>
  <c r="E116" i="4"/>
  <c r="E113" i="4"/>
  <c r="E110" i="4"/>
  <c r="D107" i="4"/>
  <c r="E104" i="4"/>
  <c r="D101" i="4"/>
  <c r="C98" i="4"/>
  <c r="E101" i="4"/>
  <c r="E89" i="4"/>
  <c r="B82" i="4"/>
  <c r="B120" i="4"/>
  <c r="E95" i="4"/>
  <c r="D87" i="4"/>
  <c r="B81" i="4"/>
  <c r="C117" i="4"/>
  <c r="D95" i="4"/>
  <c r="E86" i="4"/>
  <c r="D79" i="4"/>
  <c r="B114" i="4"/>
  <c r="D93" i="4"/>
  <c r="D86" i="4"/>
  <c r="E78" i="4"/>
  <c r="B111" i="4"/>
  <c r="E92" i="4"/>
  <c r="E84" i="4"/>
  <c r="D78" i="4"/>
  <c r="B105" i="4"/>
  <c r="C90" i="4"/>
  <c r="E83" i="4"/>
  <c r="B84" i="4"/>
  <c r="D81" i="4"/>
  <c r="B108" i="4"/>
  <c r="C89" i="4"/>
  <c r="B99" i="4"/>
  <c r="C92" i="4"/>
  <c r="Q145" i="3"/>
  <c r="P145" i="3"/>
  <c r="T145" i="3" s="1"/>
  <c r="Q53" i="3"/>
  <c r="P53" i="3"/>
  <c r="T53" i="3" s="1"/>
  <c r="P277" i="3"/>
  <c r="T277" i="3" s="1"/>
  <c r="P626" i="3"/>
  <c r="T626" i="3" s="1"/>
  <c r="P392" i="3"/>
  <c r="T392" i="3" s="1"/>
  <c r="Q327" i="3"/>
  <c r="P327" i="3"/>
  <c r="T327" i="3" s="1"/>
  <c r="P310" i="3"/>
  <c r="T310" i="3" s="1"/>
  <c r="Q310" i="3"/>
  <c r="Q473" i="3"/>
  <c r="P473" i="3"/>
  <c r="T473" i="3" s="1"/>
  <c r="Q468" i="3"/>
  <c r="P468" i="3"/>
  <c r="T468" i="3" s="1"/>
  <c r="P567" i="3"/>
  <c r="T567" i="3" s="1"/>
  <c r="P554" i="3"/>
  <c r="T554" i="3" s="1"/>
  <c r="Q630" i="3"/>
  <c r="P630" i="3"/>
  <c r="T630" i="3" s="1"/>
  <c r="P703" i="3"/>
  <c r="T703" i="3" s="1"/>
  <c r="Q12" i="3"/>
  <c r="P12" i="3"/>
  <c r="T12" i="3" s="1"/>
  <c r="P60" i="3"/>
  <c r="T60" i="3" s="1"/>
  <c r="Q92" i="3"/>
  <c r="P92" i="3"/>
  <c r="T92" i="3" s="1"/>
  <c r="W128" i="2"/>
  <c r="J128" i="2"/>
  <c r="V128" i="2"/>
  <c r="J206" i="2"/>
  <c r="W206" i="2"/>
  <c r="V206" i="2"/>
  <c r="V563" i="2"/>
  <c r="J563" i="2"/>
  <c r="W563" i="2"/>
  <c r="J257" i="2"/>
  <c r="W257" i="2"/>
  <c r="V257" i="2"/>
  <c r="W511" i="2"/>
  <c r="V511" i="2"/>
  <c r="J511" i="2"/>
  <c r="V555" i="2"/>
  <c r="J555" i="2"/>
  <c r="W555" i="2"/>
  <c r="Q162" i="3"/>
  <c r="P162" i="3"/>
  <c r="T162" i="3" s="1"/>
  <c r="P215" i="3"/>
  <c r="T215" i="3" s="1"/>
  <c r="P547" i="3"/>
  <c r="T547" i="3" s="1"/>
  <c r="P595" i="3"/>
  <c r="T595" i="3" s="1"/>
  <c r="P396" i="3"/>
  <c r="T396" i="3" s="1"/>
  <c r="P294" i="3"/>
  <c r="T294" i="3" s="1"/>
  <c r="Q294" i="3"/>
  <c r="Q698" i="3"/>
  <c r="P698" i="3"/>
  <c r="T698" i="3" s="1"/>
  <c r="P424" i="3"/>
  <c r="T424" i="3" s="1"/>
  <c r="P610" i="3"/>
  <c r="T610" i="3" s="1"/>
  <c r="P529" i="3"/>
  <c r="T529" i="3" s="1"/>
  <c r="Q528" i="3"/>
  <c r="P528" i="3"/>
  <c r="T528" i="3" s="1"/>
  <c r="Q188" i="3"/>
  <c r="P188" i="3"/>
  <c r="T188" i="3" s="1"/>
  <c r="P485" i="3"/>
  <c r="T485" i="3" s="1"/>
  <c r="P502" i="3"/>
  <c r="T502" i="3" s="1"/>
  <c r="J655" i="2"/>
  <c r="W655" i="2"/>
  <c r="V655" i="2"/>
  <c r="P78" i="3"/>
  <c r="T78" i="3" s="1"/>
  <c r="P435" i="3"/>
  <c r="T435" i="3" s="1"/>
  <c r="P364" i="3"/>
  <c r="T364" i="3" s="1"/>
  <c r="P256" i="3"/>
  <c r="T256" i="3" s="1"/>
  <c r="Q256" i="3"/>
  <c r="P366" i="3"/>
  <c r="T366" i="3" s="1"/>
  <c r="P597" i="3"/>
  <c r="T597" i="3" s="1"/>
  <c r="Q453" i="3"/>
  <c r="P453" i="3"/>
  <c r="T453" i="3" s="1"/>
  <c r="P391" i="3"/>
  <c r="T391" i="3" s="1"/>
  <c r="P278" i="3"/>
  <c r="T278" i="3" s="1"/>
  <c r="W32" i="2"/>
  <c r="V32" i="2"/>
  <c r="J32" i="2"/>
  <c r="V454" i="2"/>
  <c r="J454" i="2"/>
  <c r="W454" i="2"/>
  <c r="P400" i="3"/>
  <c r="T400" i="3" s="1"/>
  <c r="Q400" i="3"/>
  <c r="P114" i="3"/>
  <c r="T114" i="3" s="1"/>
  <c r="Q45" i="3"/>
  <c r="P45" i="3"/>
  <c r="T45" i="3" s="1"/>
  <c r="P257" i="3"/>
  <c r="T257" i="3" s="1"/>
  <c r="Q257" i="3"/>
  <c r="P636" i="3"/>
  <c r="T636" i="3" s="1"/>
  <c r="P705" i="3"/>
  <c r="T705" i="3" s="1"/>
  <c r="J397" i="2"/>
  <c r="V397" i="2"/>
  <c r="W397" i="2"/>
  <c r="Q157" i="3"/>
  <c r="P157" i="3"/>
  <c r="T157" i="3" s="1"/>
  <c r="Q197" i="3"/>
  <c r="P197" i="3"/>
  <c r="T197" i="3" s="1"/>
  <c r="P386" i="3"/>
  <c r="T386" i="3" s="1"/>
  <c r="J513" i="2"/>
  <c r="W513" i="2"/>
  <c r="V513" i="2"/>
  <c r="W12" i="2"/>
  <c r="V12" i="2"/>
  <c r="J12" i="2"/>
  <c r="P5" i="3"/>
  <c r="T5" i="3" s="1"/>
  <c r="Q581" i="3"/>
  <c r="P581" i="3"/>
  <c r="T581" i="3" s="1"/>
  <c r="Q420" i="3"/>
  <c r="P420" i="3"/>
  <c r="T420" i="3" s="1"/>
  <c r="W24" i="2"/>
  <c r="V24" i="2"/>
  <c r="J24" i="2"/>
  <c r="J43" i="2"/>
  <c r="W43" i="2"/>
  <c r="V43" i="2"/>
  <c r="W350" i="2"/>
  <c r="V350" i="2"/>
  <c r="J350" i="2"/>
  <c r="P85" i="3"/>
  <c r="T85" i="3" s="1"/>
  <c r="J87" i="2"/>
  <c r="W87" i="2"/>
  <c r="V87" i="2"/>
  <c r="J75" i="2"/>
  <c r="W75" i="2"/>
  <c r="V75" i="2"/>
  <c r="W136" i="2"/>
  <c r="J136" i="2"/>
  <c r="V136" i="2"/>
  <c r="J95" i="2"/>
  <c r="W95" i="2"/>
  <c r="V95" i="2"/>
  <c r="W63" i="2"/>
  <c r="J63" i="2"/>
  <c r="V63" i="2"/>
  <c r="P154" i="3"/>
  <c r="T154" i="3" s="1"/>
  <c r="Q288" i="3"/>
  <c r="P288" i="3"/>
  <c r="T288" i="3" s="1"/>
  <c r="Q406" i="3"/>
  <c r="P406" i="3"/>
  <c r="T406" i="3" s="1"/>
  <c r="Q578" i="3"/>
  <c r="P578" i="3"/>
  <c r="T578" i="3" s="1"/>
  <c r="P675" i="3"/>
  <c r="T675" i="3" s="1"/>
  <c r="W565" i="2"/>
  <c r="V565" i="2"/>
  <c r="J565" i="2"/>
  <c r="J441" i="2"/>
  <c r="W441" i="2"/>
  <c r="V441" i="2"/>
  <c r="J113" i="2"/>
  <c r="W113" i="2"/>
  <c r="V113" i="2"/>
  <c r="W562" i="2"/>
  <c r="J562" i="2"/>
  <c r="V562" i="2"/>
  <c r="J413" i="2"/>
  <c r="W413" i="2"/>
  <c r="V413" i="2"/>
  <c r="J445" i="2"/>
  <c r="W445" i="2"/>
  <c r="V445" i="2"/>
  <c r="Q171" i="3"/>
  <c r="P171" i="3"/>
  <c r="T171" i="3" s="1"/>
  <c r="Q55" i="3"/>
  <c r="P55" i="3"/>
  <c r="T55" i="3" s="1"/>
  <c r="P61" i="3"/>
  <c r="T61" i="3" s="1"/>
  <c r="Q196" i="3"/>
  <c r="P196" i="3"/>
  <c r="T196" i="3" s="1"/>
  <c r="P238" i="3"/>
  <c r="T238" i="3" s="1"/>
  <c r="Q308" i="3"/>
  <c r="P308" i="3"/>
  <c r="T308" i="3" s="1"/>
  <c r="P450" i="3"/>
  <c r="T450" i="3" s="1"/>
  <c r="P493" i="3"/>
  <c r="T493" i="3" s="1"/>
  <c r="P496" i="3"/>
  <c r="T496" i="3" s="1"/>
  <c r="Q666" i="3"/>
  <c r="P666" i="3"/>
  <c r="T666" i="3" s="1"/>
  <c r="P658" i="3"/>
  <c r="T658" i="3" s="1"/>
  <c r="Q516" i="3"/>
  <c r="P516" i="3"/>
  <c r="T516" i="3" s="1"/>
  <c r="P707" i="3"/>
  <c r="T707" i="3" s="1"/>
  <c r="P706" i="3"/>
  <c r="T706" i="3" s="1"/>
  <c r="P59" i="3"/>
  <c r="T59" i="3" s="1"/>
  <c r="Q20" i="3"/>
  <c r="P20" i="3"/>
  <c r="T20" i="3" s="1"/>
  <c r="W161" i="2"/>
  <c r="V161" i="2"/>
  <c r="J161" i="2"/>
  <c r="W124" i="2"/>
  <c r="V124" i="2"/>
  <c r="J124" i="2"/>
  <c r="V410" i="2"/>
  <c r="J410" i="2"/>
  <c r="W410" i="2"/>
  <c r="V533" i="2"/>
  <c r="J533" i="2"/>
  <c r="W533" i="2"/>
  <c r="V446" i="2"/>
  <c r="J446" i="2"/>
  <c r="W446" i="2"/>
  <c r="P180" i="3"/>
  <c r="T180" i="3" s="1"/>
  <c r="J59" i="2"/>
  <c r="W59" i="2"/>
  <c r="V59" i="2"/>
  <c r="W83" i="2"/>
  <c r="J83" i="2"/>
  <c r="V83" i="2"/>
  <c r="J417" i="2"/>
  <c r="W417" i="2"/>
  <c r="V417" i="2"/>
  <c r="Q22" i="3"/>
  <c r="P22" i="3"/>
  <c r="T22" i="3" s="1"/>
  <c r="P388" i="3"/>
  <c r="T388" i="3" s="1"/>
  <c r="Q388" i="3"/>
  <c r="Q314" i="3"/>
  <c r="P314" i="3"/>
  <c r="T314" i="3" s="1"/>
  <c r="Q506" i="3"/>
  <c r="P506" i="3"/>
  <c r="T506" i="3" s="1"/>
  <c r="P495" i="3"/>
  <c r="T495" i="3" s="1"/>
  <c r="P431" i="3"/>
  <c r="T431" i="3" s="1"/>
  <c r="Q492" i="3"/>
  <c r="P492" i="3"/>
  <c r="T492" i="3" s="1"/>
  <c r="Q600" i="3"/>
  <c r="P600" i="3"/>
  <c r="T600" i="3" s="1"/>
  <c r="P509" i="3"/>
  <c r="T509" i="3" s="1"/>
  <c r="P466" i="3"/>
  <c r="T466" i="3" s="1"/>
  <c r="J171" i="2"/>
  <c r="W171" i="2"/>
  <c r="V171" i="2"/>
  <c r="J405" i="2"/>
  <c r="W405" i="2"/>
  <c r="V405" i="2"/>
  <c r="W507" i="2"/>
  <c r="V507" i="2"/>
  <c r="J507" i="2"/>
  <c r="J433" i="2"/>
  <c r="W433" i="2"/>
  <c r="V433" i="2"/>
  <c r="Q74" i="3"/>
  <c r="P74" i="3"/>
  <c r="T74" i="3" s="1"/>
  <c r="P212" i="3"/>
  <c r="T212" i="3" s="1"/>
  <c r="Q250" i="3"/>
  <c r="P250" i="3"/>
  <c r="T250" i="3" s="1"/>
  <c r="P255" i="3"/>
  <c r="T255" i="3" s="1"/>
  <c r="Q344" i="3"/>
  <c r="P344" i="3"/>
  <c r="T344" i="3" s="1"/>
  <c r="P349" i="3"/>
  <c r="T349" i="3" s="1"/>
  <c r="P302" i="3"/>
  <c r="T302" i="3" s="1"/>
  <c r="Q445" i="3"/>
  <c r="P445" i="3"/>
  <c r="T445" i="3" s="1"/>
  <c r="Q522" i="3"/>
  <c r="P522" i="3"/>
  <c r="T522" i="3" s="1"/>
  <c r="P574" i="3"/>
  <c r="T574" i="3" s="1"/>
  <c r="Q560" i="3"/>
  <c r="P560" i="3"/>
  <c r="T560" i="3" s="1"/>
  <c r="P702" i="3"/>
  <c r="T702" i="3" s="1"/>
  <c r="Q540" i="3"/>
  <c r="P540" i="3"/>
  <c r="T540" i="3" s="1"/>
  <c r="P185" i="3"/>
  <c r="T185" i="3" s="1"/>
  <c r="Q155" i="3"/>
  <c r="P155" i="3"/>
  <c r="T155" i="3" s="1"/>
  <c r="W216" i="2"/>
  <c r="V216" i="2"/>
  <c r="J216" i="2"/>
  <c r="P38" i="3"/>
  <c r="T38" i="3" s="1"/>
  <c r="Q149" i="3"/>
  <c r="P149" i="3"/>
  <c r="T149" i="3" s="1"/>
  <c r="P181" i="3"/>
  <c r="T181" i="3" s="1"/>
  <c r="W302" i="2"/>
  <c r="J302" i="2"/>
  <c r="V302" i="2"/>
  <c r="W452" i="2"/>
  <c r="V452" i="2"/>
  <c r="J452" i="2"/>
  <c r="P343" i="3"/>
  <c r="T343" i="3" s="1"/>
  <c r="P326" i="3"/>
  <c r="T326" i="3" s="1"/>
  <c r="Q326" i="3"/>
  <c r="W423" i="2"/>
  <c r="V423" i="2"/>
  <c r="J423" i="2"/>
  <c r="P487" i="3"/>
  <c r="T487" i="3" s="1"/>
  <c r="Q411" i="3"/>
  <c r="P411" i="3"/>
  <c r="T411" i="3" s="1"/>
  <c r="Q443" i="3"/>
  <c r="P443" i="3"/>
  <c r="T443" i="3" s="1"/>
  <c r="P470" i="3"/>
  <c r="T470" i="3" s="1"/>
  <c r="Q627" i="3"/>
  <c r="P627" i="3"/>
  <c r="T627" i="3" s="1"/>
  <c r="Q586" i="3"/>
  <c r="P586" i="3"/>
  <c r="T586" i="3" s="1"/>
  <c r="P64" i="3"/>
  <c r="T64" i="3" s="1"/>
  <c r="P96" i="3"/>
  <c r="T96" i="3" s="1"/>
  <c r="Q96" i="3"/>
  <c r="P190" i="3"/>
  <c r="T190" i="3" s="1"/>
  <c r="W20" i="2"/>
  <c r="V20" i="2"/>
  <c r="J20" i="2"/>
  <c r="W144" i="2"/>
  <c r="J144" i="2"/>
  <c r="V144" i="2"/>
  <c r="V538" i="2"/>
  <c r="J538" i="2"/>
  <c r="W538" i="2"/>
  <c r="W68" i="2"/>
  <c r="V68" i="2"/>
  <c r="J68" i="2"/>
  <c r="V591" i="2"/>
  <c r="J591" i="2"/>
  <c r="W591" i="2"/>
  <c r="V402" i="2"/>
  <c r="W402" i="2"/>
  <c r="J402" i="2"/>
  <c r="V571" i="2"/>
  <c r="J571" i="2"/>
  <c r="W571" i="2"/>
  <c r="W590" i="2"/>
  <c r="V590" i="2"/>
  <c r="J590" i="2"/>
  <c r="Q228" i="3"/>
  <c r="P228" i="3"/>
  <c r="T228" i="3" s="1"/>
  <c r="Q260" i="3"/>
  <c r="P260" i="3"/>
  <c r="T260" i="3" s="1"/>
  <c r="P381" i="3"/>
  <c r="T381" i="3" s="1"/>
  <c r="Q361" i="3"/>
  <c r="P361" i="3"/>
  <c r="T361" i="3" s="1"/>
  <c r="Q437" i="3"/>
  <c r="P437" i="3"/>
  <c r="T437" i="3" s="1"/>
  <c r="P691" i="3"/>
  <c r="T691" i="3" s="1"/>
  <c r="P684" i="3"/>
  <c r="T684" i="3" s="1"/>
  <c r="Q605" i="3"/>
  <c r="P605" i="3"/>
  <c r="T605" i="3" s="1"/>
  <c r="Q635" i="3"/>
  <c r="P635" i="3"/>
  <c r="T635" i="3" s="1"/>
  <c r="Q643" i="3"/>
  <c r="P643" i="3"/>
  <c r="T643" i="3" s="1"/>
  <c r="P552" i="3"/>
  <c r="T552" i="3" s="1"/>
  <c r="P240" i="3"/>
  <c r="T240" i="3" s="1"/>
  <c r="Q446" i="3"/>
  <c r="P446" i="3"/>
  <c r="T446" i="3" s="1"/>
  <c r="W496" i="2"/>
  <c r="V496" i="2"/>
  <c r="J496" i="2"/>
  <c r="Q25" i="3"/>
  <c r="P25" i="3"/>
  <c r="T25" i="3" s="1"/>
  <c r="P709" i="3"/>
  <c r="T709" i="3" s="1"/>
  <c r="P245" i="3"/>
  <c r="T245" i="3" s="1"/>
  <c r="P173" i="3"/>
  <c r="T173" i="3" s="1"/>
  <c r="Q365" i="3"/>
  <c r="P365" i="3"/>
  <c r="T365" i="3" s="1"/>
  <c r="P252" i="3"/>
  <c r="T252" i="3" s="1"/>
  <c r="P441" i="3"/>
  <c r="T441" i="3" s="1"/>
  <c r="P266" i="3"/>
  <c r="T266" i="3" s="1"/>
  <c r="Q608" i="3"/>
  <c r="P608" i="3"/>
  <c r="T608" i="3" s="1"/>
  <c r="P107" i="3"/>
  <c r="T107" i="3" s="1"/>
  <c r="P37" i="3"/>
  <c r="T37" i="3" s="1"/>
  <c r="Q37" i="3"/>
  <c r="P217" i="3"/>
  <c r="T217" i="3" s="1"/>
  <c r="Q341" i="3"/>
  <c r="P341" i="3"/>
  <c r="T341" i="3" s="1"/>
  <c r="P358" i="3"/>
  <c r="T358" i="3" s="1"/>
  <c r="P539" i="3"/>
  <c r="T539" i="3" s="1"/>
  <c r="P544" i="3"/>
  <c r="T544" i="3" s="1"/>
  <c r="W491" i="2"/>
  <c r="J491" i="2"/>
  <c r="V491" i="2"/>
  <c r="W578" i="2"/>
  <c r="V578" i="2"/>
  <c r="J578" i="2"/>
  <c r="P512" i="3"/>
  <c r="T512" i="3" s="1"/>
  <c r="Q272" i="3"/>
  <c r="P272" i="3"/>
  <c r="T272" i="3" s="1"/>
  <c r="P372" i="3"/>
  <c r="T372" i="3" s="1"/>
  <c r="Q372" i="3"/>
  <c r="P486" i="3"/>
  <c r="T486" i="3" s="1"/>
  <c r="P710" i="3"/>
  <c r="T710" i="3" s="1"/>
  <c r="Q11" i="3"/>
  <c r="P11" i="3"/>
  <c r="T11" i="3" s="1"/>
  <c r="W44" i="2"/>
  <c r="V44" i="2"/>
  <c r="J44" i="2"/>
  <c r="Q483" i="3"/>
  <c r="P483" i="3"/>
  <c r="T483" i="3" s="1"/>
  <c r="P397" i="3"/>
  <c r="T397" i="3" s="1"/>
  <c r="V390" i="2"/>
  <c r="W390" i="2"/>
  <c r="J390" i="2"/>
  <c r="P14" i="3"/>
  <c r="T14" i="3" s="1"/>
  <c r="P87" i="3"/>
  <c r="T87" i="3" s="1"/>
  <c r="V539" i="2"/>
  <c r="W539" i="2"/>
  <c r="J539" i="2"/>
  <c r="W510" i="2"/>
  <c r="V510" i="2"/>
  <c r="J510" i="2"/>
  <c r="J6" i="2"/>
  <c r="W6" i="2"/>
  <c r="V6" i="2"/>
  <c r="Q227" i="3"/>
  <c r="P227" i="3"/>
  <c r="T227" i="3" s="1"/>
  <c r="W685" i="2"/>
  <c r="J685" i="2"/>
  <c r="V685" i="2"/>
  <c r="P564" i="3"/>
  <c r="T564" i="3" s="1"/>
  <c r="Q251" i="3"/>
  <c r="P251" i="3"/>
  <c r="T251" i="3" s="1"/>
  <c r="J11" i="2"/>
  <c r="W11" i="2"/>
  <c r="V11" i="2"/>
  <c r="J99" i="2"/>
  <c r="W99" i="2"/>
  <c r="V99" i="2"/>
  <c r="V442" i="2"/>
  <c r="J442" i="2"/>
  <c r="W442" i="2"/>
  <c r="W212" i="2"/>
  <c r="V212" i="2"/>
  <c r="J212" i="2"/>
  <c r="W120" i="2"/>
  <c r="V120" i="2"/>
  <c r="J120" i="2"/>
  <c r="V406" i="2"/>
  <c r="J406" i="2"/>
  <c r="W406" i="2"/>
  <c r="W566" i="2"/>
  <c r="V566" i="2"/>
  <c r="J566" i="2"/>
  <c r="P34" i="3"/>
  <c r="T34" i="3" s="1"/>
  <c r="Q34" i="3"/>
  <c r="Q51" i="3"/>
  <c r="P51" i="3"/>
  <c r="T51" i="3" s="1"/>
  <c r="Q216" i="3"/>
  <c r="P216" i="3"/>
  <c r="T216" i="3" s="1"/>
  <c r="Q261" i="3"/>
  <c r="P261" i="3"/>
  <c r="T261" i="3" s="1"/>
  <c r="J260" i="2"/>
  <c r="W260" i="2"/>
  <c r="V260" i="2"/>
  <c r="P329" i="3"/>
  <c r="T329" i="3" s="1"/>
  <c r="P312" i="3"/>
  <c r="T312" i="3" s="1"/>
  <c r="J300" i="2"/>
  <c r="V300" i="2"/>
  <c r="W300" i="2"/>
  <c r="Q315" i="3"/>
  <c r="P315" i="3"/>
  <c r="T315" i="3" s="1"/>
  <c r="Q417" i="3"/>
  <c r="P417" i="3"/>
  <c r="T417" i="3" s="1"/>
  <c r="Q412" i="3"/>
  <c r="P412" i="3"/>
  <c r="T412" i="3" s="1"/>
  <c r="P620" i="3"/>
  <c r="T620" i="3" s="1"/>
  <c r="P616" i="3"/>
  <c r="T616" i="3" s="1"/>
  <c r="Q721" i="3"/>
  <c r="P721" i="3"/>
  <c r="T721" i="3" s="1"/>
  <c r="V426" i="2"/>
  <c r="J426" i="2"/>
  <c r="W426" i="2"/>
  <c r="W514" i="2"/>
  <c r="V514" i="2"/>
  <c r="J514" i="2"/>
  <c r="Q263" i="3"/>
  <c r="P263" i="3"/>
  <c r="T263" i="3" s="1"/>
  <c r="Q118" i="3"/>
  <c r="P118" i="3"/>
  <c r="T118" i="3" s="1"/>
  <c r="P140" i="3"/>
  <c r="T140" i="3" s="1"/>
  <c r="W366" i="2"/>
  <c r="V366" i="2"/>
  <c r="J366" i="2"/>
  <c r="W499" i="2"/>
  <c r="J499" i="2"/>
  <c r="V499" i="2"/>
  <c r="W574" i="2"/>
  <c r="J574" i="2"/>
  <c r="V574" i="2"/>
  <c r="P6" i="3"/>
  <c r="T6" i="3" s="1"/>
  <c r="P97" i="3"/>
  <c r="T97" i="3" s="1"/>
  <c r="P65" i="3"/>
  <c r="T65" i="3" s="1"/>
  <c r="Q287" i="3"/>
  <c r="P287" i="3"/>
  <c r="T287" i="3" s="1"/>
  <c r="W201" i="2"/>
  <c r="V201" i="2"/>
  <c r="J201" i="2"/>
  <c r="Q309" i="3"/>
  <c r="P309" i="3"/>
  <c r="T309" i="3" s="1"/>
  <c r="P340" i="3"/>
  <c r="T340" i="3" s="1"/>
  <c r="P571" i="3"/>
  <c r="T571" i="3" s="1"/>
  <c r="Q558" i="3"/>
  <c r="P558" i="3"/>
  <c r="T558" i="3" s="1"/>
  <c r="Q532" i="3"/>
  <c r="P532" i="3"/>
  <c r="T532" i="3" s="1"/>
  <c r="P693" i="3"/>
  <c r="T693" i="3" s="1"/>
  <c r="Q718" i="3"/>
  <c r="P718" i="3"/>
  <c r="T718" i="3" s="1"/>
  <c r="Q50" i="3"/>
  <c r="P50" i="3"/>
  <c r="T50" i="3" s="1"/>
  <c r="Q35" i="3"/>
  <c r="P35" i="3"/>
  <c r="T35" i="3" s="1"/>
  <c r="W262" i="2"/>
  <c r="J262" i="2"/>
  <c r="V262" i="2"/>
  <c r="P167" i="3"/>
  <c r="T167" i="3" s="1"/>
  <c r="W180" i="2"/>
  <c r="V180" i="2"/>
  <c r="J180" i="2"/>
  <c r="W549" i="2"/>
  <c r="V549" i="2"/>
  <c r="J549" i="2"/>
  <c r="W581" i="2"/>
  <c r="V581" i="2"/>
  <c r="J581" i="2"/>
  <c r="V519" i="2"/>
  <c r="W519" i="2"/>
  <c r="J519" i="2"/>
  <c r="J453" i="2"/>
  <c r="W453" i="2"/>
  <c r="V453" i="2"/>
  <c r="W27" i="2"/>
  <c r="J27" i="2"/>
  <c r="V27" i="2"/>
  <c r="J465" i="2"/>
  <c r="W465" i="2"/>
  <c r="V465" i="2"/>
  <c r="Q83" i="3"/>
  <c r="P83" i="3"/>
  <c r="T83" i="3" s="1"/>
  <c r="Q200" i="3"/>
  <c r="P200" i="3"/>
  <c r="T200" i="3" s="1"/>
  <c r="Q219" i="3"/>
  <c r="P219" i="3"/>
  <c r="T219" i="3" s="1"/>
  <c r="P235" i="3"/>
  <c r="T235" i="3" s="1"/>
  <c r="Q401" i="3"/>
  <c r="P401" i="3"/>
  <c r="T401" i="3" s="1"/>
  <c r="J284" i="2"/>
  <c r="V284" i="2"/>
  <c r="W284" i="2"/>
  <c r="P330" i="3"/>
  <c r="T330" i="3" s="1"/>
  <c r="V508" i="2"/>
  <c r="J508" i="2"/>
  <c r="W508" i="2"/>
  <c r="Q510" i="3"/>
  <c r="P510" i="3"/>
  <c r="T510" i="3" s="1"/>
  <c r="Q428" i="3"/>
  <c r="P428" i="3"/>
  <c r="T428" i="3" s="1"/>
  <c r="P447" i="3"/>
  <c r="T447" i="3" s="1"/>
  <c r="Q498" i="3"/>
  <c r="P498" i="3"/>
  <c r="T498" i="3" s="1"/>
  <c r="P649" i="3"/>
  <c r="T649" i="3" s="1"/>
  <c r="W593" i="2"/>
  <c r="V593" i="2"/>
  <c r="J593" i="2"/>
  <c r="W184" i="2"/>
  <c r="V184" i="2"/>
  <c r="J184" i="2"/>
  <c r="Q90" i="3"/>
  <c r="P90" i="3"/>
  <c r="T90" i="3" s="1"/>
  <c r="Q178" i="3"/>
  <c r="P178" i="3"/>
  <c r="T178" i="3" s="1"/>
  <c r="P254" i="3"/>
  <c r="T254" i="3" s="1"/>
  <c r="P360" i="3"/>
  <c r="T360" i="3" s="1"/>
  <c r="Q414" i="3"/>
  <c r="P414" i="3"/>
  <c r="T414" i="3" s="1"/>
  <c r="P368" i="3"/>
  <c r="T368" i="3" s="1"/>
  <c r="P477" i="3"/>
  <c r="T477" i="3" s="1"/>
  <c r="P657" i="3"/>
  <c r="T657" i="3" s="1"/>
  <c r="Q660" i="3"/>
  <c r="P660" i="3"/>
  <c r="T660" i="3" s="1"/>
  <c r="Q613" i="3"/>
  <c r="P613" i="3"/>
  <c r="T613" i="3" s="1"/>
  <c r="P572" i="3"/>
  <c r="T572" i="3" s="1"/>
  <c r="Q70" i="3"/>
  <c r="P70" i="3"/>
  <c r="T70" i="3" s="1"/>
  <c r="Q223" i="3"/>
  <c r="P223" i="3"/>
  <c r="T223" i="3" s="1"/>
  <c r="Q159" i="3"/>
  <c r="P159" i="3"/>
  <c r="T159" i="3" s="1"/>
  <c r="J381" i="2"/>
  <c r="W381" i="2"/>
  <c r="V381" i="2"/>
  <c r="P58" i="3"/>
  <c r="T58" i="3" s="1"/>
  <c r="P153" i="3"/>
  <c r="T153" i="3" s="1"/>
  <c r="P189" i="3"/>
  <c r="T189" i="3" s="1"/>
  <c r="Q305" i="3"/>
  <c r="P305" i="3"/>
  <c r="T305" i="3" s="1"/>
  <c r="P320" i="3"/>
  <c r="T320" i="3" s="1"/>
  <c r="J376" i="2"/>
  <c r="W376" i="2"/>
  <c r="V376" i="2"/>
  <c r="P346" i="3"/>
  <c r="T346" i="3" s="1"/>
  <c r="Q342" i="3"/>
  <c r="P342" i="3"/>
  <c r="T342" i="3" s="1"/>
  <c r="Q478" i="3"/>
  <c r="P478" i="3"/>
  <c r="T478" i="3" s="1"/>
  <c r="P692" i="3"/>
  <c r="T692" i="3" s="1"/>
  <c r="P696" i="3"/>
  <c r="T696" i="3" s="1"/>
  <c r="Q696" i="3"/>
  <c r="Q669" i="3"/>
  <c r="P669" i="3"/>
  <c r="T669" i="3" s="1"/>
  <c r="Q36" i="3"/>
  <c r="P36" i="3"/>
  <c r="T36" i="3" s="1"/>
  <c r="Q68" i="3"/>
  <c r="P68" i="3"/>
  <c r="T68" i="3" s="1"/>
  <c r="P100" i="3"/>
  <c r="T100" i="3" s="1"/>
  <c r="W28" i="2"/>
  <c r="V28" i="2"/>
  <c r="J28" i="2"/>
  <c r="W52" i="2"/>
  <c r="V52" i="2"/>
  <c r="J52" i="2"/>
  <c r="V579" i="2"/>
  <c r="J579" i="2"/>
  <c r="W579" i="2"/>
  <c r="G9" i="5"/>
  <c r="W4" i="2"/>
  <c r="V4" i="2"/>
  <c r="J4" i="2"/>
  <c r="W585" i="2"/>
  <c r="V585" i="2"/>
  <c r="J585" i="2"/>
  <c r="W160" i="2"/>
  <c r="J160" i="2"/>
  <c r="V160" i="2"/>
  <c r="P26" i="3"/>
  <c r="T26" i="3" s="1"/>
  <c r="Q26" i="3"/>
  <c r="P299" i="3"/>
  <c r="T299" i="3" s="1"/>
  <c r="Q270" i="3"/>
  <c r="P270" i="3"/>
  <c r="T270" i="3" s="1"/>
  <c r="P236" i="3"/>
  <c r="T236" i="3" s="1"/>
  <c r="P317" i="3"/>
  <c r="T317" i="3" s="1"/>
  <c r="P410" i="3"/>
  <c r="T410" i="3" s="1"/>
  <c r="Q430" i="3"/>
  <c r="P430" i="3"/>
  <c r="T430" i="3" s="1"/>
  <c r="P402" i="3"/>
  <c r="T402" i="3" s="1"/>
  <c r="P469" i="3"/>
  <c r="T469" i="3" s="1"/>
  <c r="P456" i="3"/>
  <c r="T456" i="3" s="1"/>
  <c r="Q456" i="3"/>
  <c r="Q637" i="3"/>
  <c r="P637" i="3"/>
  <c r="T637" i="3" s="1"/>
  <c r="P549" i="3"/>
  <c r="T549" i="3" s="1"/>
  <c r="Q549" i="3"/>
  <c r="P584" i="3"/>
  <c r="T584" i="3" s="1"/>
  <c r="W428" i="2"/>
  <c r="V428" i="2"/>
  <c r="J428" i="2"/>
  <c r="Q79" i="3"/>
  <c r="P79" i="3"/>
  <c r="T79" i="3" s="1"/>
  <c r="Q199" i="3"/>
  <c r="P199" i="3"/>
  <c r="T199" i="3" s="1"/>
  <c r="P533" i="3"/>
  <c r="T533" i="3" s="1"/>
  <c r="P531" i="3"/>
  <c r="T531" i="3" s="1"/>
  <c r="Q398" i="3"/>
  <c r="P398" i="3"/>
  <c r="T398" i="3" s="1"/>
  <c r="P248" i="3"/>
  <c r="T248" i="3" s="1"/>
  <c r="Q378" i="3"/>
  <c r="P378" i="3"/>
  <c r="T378" i="3" s="1"/>
  <c r="P712" i="3"/>
  <c r="T712" i="3" s="1"/>
  <c r="Q550" i="3"/>
  <c r="P550" i="3"/>
  <c r="T550" i="3" s="1"/>
  <c r="Q582" i="3"/>
  <c r="P582" i="3"/>
  <c r="T582" i="3" s="1"/>
  <c r="Q504" i="3"/>
  <c r="P504" i="3"/>
  <c r="T504" i="3" s="1"/>
  <c r="W40" i="2"/>
  <c r="V40" i="2"/>
  <c r="J40" i="2"/>
  <c r="P253" i="3"/>
  <c r="T253" i="3" s="1"/>
  <c r="P602" i="3"/>
  <c r="T602" i="3" s="1"/>
  <c r="P716" i="3"/>
  <c r="T716" i="3" s="1"/>
  <c r="Q716" i="3"/>
  <c r="J597" i="2"/>
  <c r="W597" i="2"/>
  <c r="V597" i="2"/>
  <c r="J35" i="2"/>
  <c r="W35" i="2"/>
  <c r="V35" i="2"/>
  <c r="P19" i="3"/>
  <c r="T19" i="3" s="1"/>
  <c r="Q557" i="3"/>
  <c r="P557" i="3"/>
  <c r="T557" i="3" s="1"/>
  <c r="W338" i="2"/>
  <c r="V338" i="2"/>
  <c r="J338" i="2"/>
  <c r="Q148" i="3"/>
  <c r="P148" i="3"/>
  <c r="T148" i="3" s="1"/>
  <c r="J122" i="2"/>
  <c r="W122" i="2"/>
  <c r="V122" i="2"/>
  <c r="P46" i="3"/>
  <c r="T46" i="3" s="1"/>
  <c r="P273" i="3"/>
  <c r="T273" i="3" s="1"/>
  <c r="Q273" i="3"/>
  <c r="V560" i="2"/>
  <c r="J560" i="2"/>
  <c r="W560" i="2"/>
  <c r="Q664" i="3"/>
  <c r="P664" i="3"/>
  <c r="T664" i="3" s="1"/>
  <c r="Q714" i="3"/>
  <c r="P714" i="3"/>
  <c r="T714" i="3" s="1"/>
  <c r="Q659" i="3"/>
  <c r="P659" i="3"/>
  <c r="T659" i="3" s="1"/>
  <c r="P128" i="3"/>
  <c r="T128" i="3" s="1"/>
  <c r="Q128" i="3"/>
  <c r="Q77" i="3"/>
  <c r="P77" i="3"/>
  <c r="T77" i="3" s="1"/>
  <c r="Q203" i="3"/>
  <c r="P203" i="3"/>
  <c r="T203" i="3" s="1"/>
  <c r="Q434" i="3"/>
  <c r="P434" i="3"/>
  <c r="T434" i="3" s="1"/>
  <c r="P351" i="3"/>
  <c r="T351" i="3" s="1"/>
  <c r="Q322" i="3"/>
  <c r="P322" i="3"/>
  <c r="T322" i="3" s="1"/>
  <c r="Q479" i="3"/>
  <c r="P479" i="3"/>
  <c r="T479" i="3" s="1"/>
  <c r="P472" i="3"/>
  <c r="T472" i="3" s="1"/>
  <c r="P701" i="3"/>
  <c r="T701" i="3" s="1"/>
  <c r="Q633" i="3"/>
  <c r="P633" i="3"/>
  <c r="T633" i="3" s="1"/>
  <c r="W72" i="2"/>
  <c r="V72" i="2"/>
  <c r="J72" i="2"/>
  <c r="W487" i="2"/>
  <c r="J487" i="2"/>
  <c r="V487" i="2"/>
  <c r="Q186" i="3"/>
  <c r="P186" i="3"/>
  <c r="T186" i="3" s="1"/>
  <c r="P214" i="3"/>
  <c r="T214" i="3" s="1"/>
  <c r="V462" i="2"/>
  <c r="J462" i="2"/>
  <c r="W462" i="2"/>
  <c r="W71" i="2"/>
  <c r="J71" i="2"/>
  <c r="V71" i="2"/>
  <c r="Q62" i="3"/>
  <c r="P62" i="3"/>
  <c r="T62" i="3" s="1"/>
  <c r="Q66" i="3"/>
  <c r="P66" i="3"/>
  <c r="T66" i="3" s="1"/>
  <c r="P134" i="3"/>
  <c r="T134" i="3" s="1"/>
  <c r="Q293" i="3"/>
  <c r="P293" i="3"/>
  <c r="T293" i="3" s="1"/>
  <c r="Q393" i="3"/>
  <c r="P393" i="3"/>
  <c r="T393" i="3" s="1"/>
  <c r="Q462" i="3"/>
  <c r="P462" i="3"/>
  <c r="T462" i="3" s="1"/>
  <c r="J634" i="2"/>
  <c r="W634" i="2"/>
  <c r="V634" i="2"/>
  <c r="P432" i="3"/>
  <c r="T432" i="3" s="1"/>
  <c r="Q432" i="3"/>
  <c r="P555" i="3"/>
  <c r="T555" i="3" s="1"/>
  <c r="Q555" i="3"/>
  <c r="P644" i="3"/>
  <c r="T644" i="3" s="1"/>
  <c r="Q505" i="3"/>
  <c r="P505" i="3"/>
  <c r="T505" i="3" s="1"/>
  <c r="P576" i="3"/>
  <c r="T576" i="3" s="1"/>
  <c r="P724" i="3"/>
  <c r="T724" i="3" s="1"/>
  <c r="Q724" i="3"/>
  <c r="J31" i="2"/>
  <c r="V31" i="2"/>
  <c r="W31" i="2"/>
  <c r="P152" i="3"/>
  <c r="T152" i="3" s="1"/>
  <c r="V523" i="2"/>
  <c r="W523" i="2"/>
  <c r="J523" i="2"/>
  <c r="P120" i="3"/>
  <c r="T120" i="3" s="1"/>
  <c r="Q120" i="3"/>
  <c r="Q132" i="3"/>
  <c r="P132" i="3"/>
  <c r="T132" i="3" s="1"/>
  <c r="W140" i="2"/>
  <c r="J140" i="2"/>
  <c r="V140" i="2"/>
  <c r="V422" i="2"/>
  <c r="J422" i="2"/>
  <c r="W422" i="2"/>
  <c r="W582" i="2"/>
  <c r="V582" i="2"/>
  <c r="J582" i="2"/>
  <c r="J461" i="2"/>
  <c r="W461" i="2"/>
  <c r="V461" i="2"/>
  <c r="J501" i="2"/>
  <c r="V501" i="2"/>
  <c r="W501" i="2"/>
  <c r="J534" i="2"/>
  <c r="W534" i="2"/>
  <c r="V534" i="2"/>
  <c r="W176" i="2"/>
  <c r="V176" i="2"/>
  <c r="J176" i="2"/>
  <c r="J281" i="2"/>
  <c r="W281" i="2"/>
  <c r="V281" i="2"/>
  <c r="P18" i="3"/>
  <c r="T18" i="3" s="1"/>
  <c r="Q18" i="3"/>
  <c r="P303" i="3"/>
  <c r="T303" i="3" s="1"/>
  <c r="P243" i="3"/>
  <c r="T243" i="3" s="1"/>
  <c r="P265" i="3"/>
  <c r="T265" i="3" s="1"/>
  <c r="P313" i="3"/>
  <c r="T313" i="3" s="1"/>
  <c r="P323" i="3"/>
  <c r="T323" i="3" s="1"/>
  <c r="P598" i="3"/>
  <c r="T598" i="3" s="1"/>
  <c r="Q697" i="3"/>
  <c r="P697" i="3"/>
  <c r="T697" i="3" s="1"/>
  <c r="P593" i="3"/>
  <c r="T593" i="3" s="1"/>
  <c r="P548" i="3"/>
  <c r="T548" i="3" s="1"/>
  <c r="P71" i="3"/>
  <c r="T71" i="3" s="1"/>
  <c r="Q156" i="3"/>
  <c r="P156" i="3"/>
  <c r="T156" i="3" s="1"/>
  <c r="J493" i="2"/>
  <c r="V493" i="2"/>
  <c r="W493" i="2"/>
  <c r="W168" i="2"/>
  <c r="J168" i="2"/>
  <c r="V168" i="2"/>
  <c r="W156" i="2"/>
  <c r="J156" i="2"/>
  <c r="V156" i="2"/>
  <c r="Q7" i="3"/>
  <c r="P7" i="3"/>
  <c r="T7" i="3" s="1"/>
  <c r="Q49" i="3"/>
  <c r="P49" i="3"/>
  <c r="T49" i="3" s="1"/>
  <c r="P207" i="3"/>
  <c r="T207" i="3" s="1"/>
  <c r="P241" i="3"/>
  <c r="T241" i="3" s="1"/>
  <c r="Q362" i="3"/>
  <c r="P362" i="3"/>
  <c r="T362" i="3" s="1"/>
  <c r="Q518" i="3"/>
  <c r="P518" i="3"/>
  <c r="T518" i="3" s="1"/>
  <c r="P408" i="3"/>
  <c r="T408" i="3" s="1"/>
  <c r="Q408" i="3"/>
  <c r="Q508" i="3"/>
  <c r="P508" i="3"/>
  <c r="T508" i="3" s="1"/>
  <c r="Q670" i="3"/>
  <c r="P670" i="3"/>
  <c r="T670" i="3" s="1"/>
  <c r="Q589" i="3"/>
  <c r="P589" i="3"/>
  <c r="T589" i="3" s="1"/>
  <c r="P674" i="3"/>
  <c r="T674" i="3" s="1"/>
  <c r="Q650" i="3"/>
  <c r="P650" i="3"/>
  <c r="T650" i="3" s="1"/>
  <c r="Q135" i="3"/>
  <c r="P135" i="3"/>
  <c r="T135" i="3" s="1"/>
  <c r="P136" i="3"/>
  <c r="T136" i="3" s="1"/>
  <c r="W495" i="2"/>
  <c r="J495" i="2"/>
  <c r="V495" i="2"/>
  <c r="P129" i="3"/>
  <c r="T129" i="3" s="1"/>
  <c r="P161" i="3"/>
  <c r="T161" i="3" s="1"/>
  <c r="J94" i="2"/>
  <c r="W94" i="2"/>
  <c r="V94" i="2"/>
  <c r="Q192" i="3"/>
  <c r="P192" i="3"/>
  <c r="T192" i="3" s="1"/>
  <c r="Q205" i="3"/>
  <c r="P205" i="3"/>
  <c r="T205" i="3" s="1"/>
  <c r="Q350" i="3"/>
  <c r="P350" i="3"/>
  <c r="T350" i="3" s="1"/>
  <c r="P458" i="3"/>
  <c r="T458" i="3" s="1"/>
  <c r="P551" i="3"/>
  <c r="T551" i="3" s="1"/>
  <c r="Q494" i="3"/>
  <c r="P494" i="3"/>
  <c r="T494" i="3" s="1"/>
  <c r="Q645" i="3"/>
  <c r="P645" i="3"/>
  <c r="T645" i="3" s="1"/>
  <c r="P211" i="3"/>
  <c r="T211" i="3" s="1"/>
  <c r="Q44" i="3"/>
  <c r="P44" i="3"/>
  <c r="T44" i="3" s="1"/>
  <c r="Q76" i="3"/>
  <c r="P76" i="3"/>
  <c r="T76" i="3" s="1"/>
  <c r="Q108" i="3"/>
  <c r="P108" i="3"/>
  <c r="T108" i="3" s="1"/>
  <c r="P39" i="3"/>
  <c r="T39" i="3" s="1"/>
  <c r="W51" i="2"/>
  <c r="J51" i="2"/>
  <c r="V51" i="2"/>
  <c r="J23" i="2"/>
  <c r="V23" i="2"/>
  <c r="W23" i="2"/>
  <c r="W164" i="2"/>
  <c r="J164" i="2"/>
  <c r="V164" i="2"/>
  <c r="J79" i="2"/>
  <c r="W79" i="2"/>
  <c r="V79" i="2"/>
  <c r="V575" i="2"/>
  <c r="J575" i="2"/>
  <c r="W575" i="2"/>
  <c r="J245" i="2"/>
  <c r="W245" i="2"/>
  <c r="V245" i="2"/>
  <c r="W204" i="2"/>
  <c r="V204" i="2"/>
  <c r="J204" i="2"/>
  <c r="P17" i="3"/>
  <c r="T17" i="3" s="1"/>
  <c r="Q95" i="3"/>
  <c r="P95" i="3"/>
  <c r="T95" i="3" s="1"/>
  <c r="P389" i="3"/>
  <c r="T389" i="3" s="1"/>
  <c r="P347" i="3"/>
  <c r="T347" i="3" s="1"/>
  <c r="J360" i="2"/>
  <c r="W360" i="2"/>
  <c r="V360" i="2"/>
  <c r="Q530" i="3"/>
  <c r="P530" i="3"/>
  <c r="T530" i="3" s="1"/>
  <c r="P501" i="3"/>
  <c r="T501" i="3" s="1"/>
  <c r="Q399" i="3"/>
  <c r="P399" i="3"/>
  <c r="T399" i="3" s="1"/>
  <c r="P534" i="3"/>
  <c r="T534" i="3" s="1"/>
  <c r="J719" i="2"/>
  <c r="W719" i="2"/>
  <c r="V719" i="2"/>
  <c r="P624" i="3"/>
  <c r="T624" i="3" s="1"/>
  <c r="Q624" i="3"/>
  <c r="P651" i="3"/>
  <c r="T651" i="3" s="1"/>
  <c r="Q146" i="3"/>
  <c r="P146" i="3"/>
  <c r="T146" i="3" s="1"/>
  <c r="P94" i="3"/>
  <c r="T94" i="3" s="1"/>
  <c r="P89" i="3"/>
  <c r="T89" i="3" s="1"/>
  <c r="P565" i="3"/>
  <c r="T565" i="3" s="1"/>
  <c r="J50" i="2"/>
  <c r="V50" i="2"/>
  <c r="W50" i="2"/>
  <c r="Q239" i="3"/>
  <c r="P239" i="3"/>
  <c r="T239" i="3" s="1"/>
  <c r="Q244" i="3"/>
  <c r="P244" i="3"/>
  <c r="T244" i="3" s="1"/>
  <c r="P375" i="3"/>
  <c r="T375" i="3" s="1"/>
  <c r="Q419" i="3"/>
  <c r="P419" i="3"/>
  <c r="T419" i="3" s="1"/>
  <c r="Q673" i="3"/>
  <c r="P673" i="3"/>
  <c r="T673" i="3" s="1"/>
  <c r="Q596" i="3"/>
  <c r="P596" i="3"/>
  <c r="T596" i="3" s="1"/>
  <c r="P333" i="3"/>
  <c r="T333" i="3" s="1"/>
  <c r="Q292" i="3"/>
  <c r="P292" i="3"/>
  <c r="T292" i="3" s="1"/>
  <c r="Q668" i="3"/>
  <c r="P668" i="3"/>
  <c r="T668" i="3" s="1"/>
  <c r="Q656" i="3"/>
  <c r="P656" i="3"/>
  <c r="T656" i="3" s="1"/>
  <c r="P451" i="3"/>
  <c r="T451" i="3" s="1"/>
  <c r="Q538" i="3"/>
  <c r="P680" i="3"/>
  <c r="T680" i="3" s="1"/>
  <c r="P639" i="3"/>
  <c r="T639" i="3" s="1"/>
  <c r="P570" i="3"/>
  <c r="T570" i="3" s="1"/>
  <c r="J365" i="2"/>
  <c r="W365" i="2"/>
  <c r="V365" i="2"/>
  <c r="Q444" i="3"/>
  <c r="P444" i="3"/>
  <c r="T444" i="3" s="1"/>
  <c r="W132" i="2"/>
  <c r="J132" i="2"/>
  <c r="V132" i="2"/>
  <c r="W420" i="2"/>
  <c r="V420" i="2"/>
  <c r="J420" i="2"/>
  <c r="Q460" i="3"/>
  <c r="P460" i="3"/>
  <c r="T460" i="3" s="1"/>
  <c r="Q394" i="3"/>
  <c r="P394" i="3"/>
  <c r="T394" i="3" s="1"/>
  <c r="P614" i="3"/>
  <c r="T614" i="3" s="1"/>
  <c r="J105" i="2"/>
  <c r="W105" i="2"/>
  <c r="V105" i="2"/>
  <c r="P592" i="3"/>
  <c r="T592" i="3" s="1"/>
  <c r="P40" i="3"/>
  <c r="T40" i="3" s="1"/>
  <c r="Q40" i="3"/>
  <c r="W188" i="2"/>
  <c r="V188" i="2"/>
  <c r="J188" i="2"/>
  <c r="W76" i="2"/>
  <c r="V76" i="2"/>
  <c r="J76" i="2"/>
  <c r="P47" i="3"/>
  <c r="T47" i="3" s="1"/>
  <c r="P672" i="3"/>
  <c r="T672" i="3" s="1"/>
  <c r="P615" i="3"/>
  <c r="T615" i="3" s="1"/>
  <c r="W100" i="2"/>
  <c r="V100" i="2"/>
  <c r="J100" i="2"/>
  <c r="W550" i="2"/>
  <c r="J550" i="2"/>
  <c r="V550" i="2"/>
  <c r="J218" i="2"/>
  <c r="W218" i="2"/>
  <c r="V218" i="2"/>
  <c r="W561" i="2"/>
  <c r="V561" i="2"/>
  <c r="J561" i="2"/>
  <c r="V535" i="2"/>
  <c r="W535" i="2"/>
  <c r="J535" i="2"/>
  <c r="Q338" i="3"/>
  <c r="P338" i="3"/>
  <c r="T338" i="3" s="1"/>
  <c r="Q497" i="3"/>
  <c r="P497" i="3"/>
  <c r="T497" i="3" s="1"/>
  <c r="P423" i="3"/>
  <c r="T423" i="3" s="1"/>
  <c r="Q480" i="3"/>
  <c r="P480" i="3"/>
  <c r="T480" i="3" s="1"/>
  <c r="Q545" i="3"/>
  <c r="P545" i="3"/>
  <c r="T545" i="3" s="1"/>
  <c r="V285" i="2"/>
  <c r="J285" i="2"/>
  <c r="W285" i="2"/>
  <c r="J542" i="2"/>
  <c r="W542" i="2"/>
  <c r="V542" i="2"/>
  <c r="P198" i="3"/>
  <c r="T198" i="3" s="1"/>
  <c r="Q31" i="3"/>
  <c r="P31" i="3"/>
  <c r="T31" i="3" s="1"/>
  <c r="W165" i="2"/>
  <c r="V165" i="2"/>
  <c r="J165" i="2"/>
  <c r="P82" i="3"/>
  <c r="T82" i="3" s="1"/>
  <c r="P191" i="3"/>
  <c r="T191" i="3" s="1"/>
  <c r="P713" i="3"/>
  <c r="T713" i="3" s="1"/>
  <c r="Q387" i="3"/>
  <c r="P387" i="3"/>
  <c r="T387" i="3" s="1"/>
  <c r="P686" i="3"/>
  <c r="T686" i="3" s="1"/>
  <c r="Q686" i="3"/>
  <c r="P617" i="3"/>
  <c r="T617" i="3" s="1"/>
  <c r="Q617" i="3"/>
  <c r="W19" i="2"/>
  <c r="J19" i="2"/>
  <c r="V19" i="2"/>
  <c r="Q109" i="3"/>
  <c r="P109" i="3"/>
  <c r="T109" i="3" s="1"/>
  <c r="Q24" i="3"/>
  <c r="P24" i="3"/>
  <c r="T24" i="3" s="1"/>
  <c r="V595" i="2"/>
  <c r="J595" i="2"/>
  <c r="W595" i="2"/>
  <c r="W506" i="2"/>
  <c r="V506" i="2"/>
  <c r="J506" i="2"/>
  <c r="W129" i="2"/>
  <c r="V129" i="2"/>
  <c r="J129" i="2"/>
  <c r="P164" i="3"/>
  <c r="T164" i="3" s="1"/>
  <c r="W16" i="2"/>
  <c r="V16" i="2"/>
  <c r="J16" i="2"/>
  <c r="J449" i="2"/>
  <c r="W449" i="2"/>
  <c r="V449" i="2"/>
  <c r="J481" i="2"/>
  <c r="V481" i="2"/>
  <c r="W481" i="2"/>
  <c r="Q16" i="3"/>
  <c r="P16" i="3"/>
  <c r="T16" i="3" s="1"/>
  <c r="P144" i="3"/>
  <c r="T144" i="3" s="1"/>
  <c r="Q210" i="3"/>
  <c r="P210" i="3"/>
  <c r="T210" i="3" s="1"/>
  <c r="J385" i="2"/>
  <c r="W385" i="2"/>
  <c r="V385" i="2"/>
  <c r="J265" i="2"/>
  <c r="W265" i="2"/>
  <c r="V265" i="2"/>
  <c r="Q54" i="3"/>
  <c r="P54" i="3"/>
  <c r="T54" i="3" s="1"/>
  <c r="P29" i="3"/>
  <c r="T29" i="3" s="1"/>
  <c r="Q179" i="3"/>
  <c r="P179" i="3"/>
  <c r="T179" i="3" s="1"/>
  <c r="Q373" i="3"/>
  <c r="P373" i="3"/>
  <c r="T373" i="3" s="1"/>
  <c r="Q328" i="3"/>
  <c r="P328" i="3"/>
  <c r="T328" i="3" s="1"/>
  <c r="P339" i="3"/>
  <c r="T339" i="3" s="1"/>
  <c r="Q433" i="3"/>
  <c r="P433" i="3"/>
  <c r="T433" i="3" s="1"/>
  <c r="Q591" i="3"/>
  <c r="P591" i="3"/>
  <c r="T591" i="3" s="1"/>
  <c r="Q717" i="3"/>
  <c r="P717" i="3"/>
  <c r="T717" i="3" s="1"/>
  <c r="P580" i="3"/>
  <c r="T580" i="3" s="1"/>
  <c r="Q209" i="3"/>
  <c r="P209" i="3"/>
  <c r="T209" i="3" s="1"/>
  <c r="V551" i="2"/>
  <c r="J551" i="2"/>
  <c r="W551" i="2"/>
  <c r="J198" i="2"/>
  <c r="W198" i="2"/>
  <c r="V198" i="2"/>
  <c r="W48" i="2"/>
  <c r="V48" i="2"/>
  <c r="J48" i="2"/>
  <c r="W64" i="2"/>
  <c r="V64" i="2"/>
  <c r="J64" i="2"/>
  <c r="P30" i="3"/>
  <c r="T30" i="3" s="1"/>
  <c r="Q81" i="3"/>
  <c r="P81" i="3"/>
  <c r="T81" i="3" s="1"/>
  <c r="Q73" i="3"/>
  <c r="P73" i="3"/>
  <c r="T73" i="3" s="1"/>
  <c r="Q226" i="3"/>
  <c r="P226" i="3"/>
  <c r="T226" i="3" s="1"/>
  <c r="P284" i="3"/>
  <c r="T284" i="3" s="1"/>
  <c r="P353" i="3"/>
  <c r="T353" i="3" s="1"/>
  <c r="P416" i="3"/>
  <c r="T416" i="3" s="1"/>
  <c r="Q379" i="3"/>
  <c r="P379" i="3"/>
  <c r="T379" i="3" s="1"/>
  <c r="P689" i="3"/>
  <c r="T689" i="3" s="1"/>
  <c r="Q676" i="3"/>
  <c r="P676" i="3"/>
  <c r="T676" i="3" s="1"/>
  <c r="Q679" i="3"/>
  <c r="P679" i="3"/>
  <c r="T679" i="3" s="1"/>
  <c r="Q139" i="3"/>
  <c r="P139" i="3"/>
  <c r="T139" i="3" s="1"/>
  <c r="P168" i="3"/>
  <c r="T168" i="3" s="1"/>
  <c r="Q168" i="3"/>
  <c r="V543" i="2"/>
  <c r="J543" i="2"/>
  <c r="W543" i="2"/>
  <c r="P133" i="3"/>
  <c r="T133" i="3" s="1"/>
  <c r="P165" i="3"/>
  <c r="T165" i="3" s="1"/>
  <c r="Q93" i="3"/>
  <c r="P93" i="3"/>
  <c r="T93" i="3" s="1"/>
  <c r="P249" i="3"/>
  <c r="T249" i="3" s="1"/>
  <c r="Q249" i="3"/>
  <c r="P213" i="3"/>
  <c r="T213" i="3" s="1"/>
  <c r="P543" i="3"/>
  <c r="T543" i="3" s="1"/>
  <c r="Q427" i="3"/>
  <c r="P427" i="3"/>
  <c r="T427" i="3" s="1"/>
  <c r="P459" i="3"/>
  <c r="T459" i="3" s="1"/>
  <c r="P609" i="3"/>
  <c r="T609" i="3" s="1"/>
  <c r="Q609" i="3"/>
  <c r="J663" i="2"/>
  <c r="W663" i="2"/>
  <c r="V663" i="2"/>
  <c r="Q585" i="3"/>
  <c r="P585" i="3"/>
  <c r="T585" i="3" s="1"/>
  <c r="P634" i="3"/>
  <c r="T634" i="3" s="1"/>
  <c r="P48" i="3"/>
  <c r="T48" i="3" s="1"/>
  <c r="P80" i="3"/>
  <c r="T80" i="3" s="1"/>
  <c r="Q80" i="3"/>
  <c r="P112" i="3"/>
  <c r="T112" i="3" s="1"/>
  <c r="J55" i="2"/>
  <c r="V55" i="2"/>
  <c r="W55" i="2"/>
  <c r="W104" i="2"/>
  <c r="V104" i="2"/>
  <c r="J104" i="2"/>
  <c r="W8" i="2"/>
  <c r="V8" i="2"/>
  <c r="J8" i="2"/>
  <c r="W103" i="2"/>
  <c r="J103" i="2"/>
  <c r="V103" i="2"/>
  <c r="V583" i="2"/>
  <c r="J583" i="2"/>
  <c r="W583" i="2"/>
  <c r="W220" i="2"/>
  <c r="V220" i="2"/>
  <c r="J220" i="2"/>
  <c r="V293" i="2"/>
  <c r="J293" i="2"/>
  <c r="W293" i="2"/>
  <c r="Q86" i="3"/>
  <c r="P86" i="3"/>
  <c r="T86" i="3" s="1"/>
  <c r="P105" i="3"/>
  <c r="T105" i="3" s="1"/>
  <c r="P57" i="3"/>
  <c r="T57" i="3" s="1"/>
  <c r="P274" i="3"/>
  <c r="T274" i="3" s="1"/>
  <c r="Q363" i="3"/>
  <c r="P363" i="3"/>
  <c r="T363" i="3" s="1"/>
  <c r="P316" i="3"/>
  <c r="T316" i="3" s="1"/>
  <c r="P371" i="3"/>
  <c r="T371" i="3" s="1"/>
  <c r="P579" i="3"/>
  <c r="T579" i="3" s="1"/>
  <c r="Q579" i="3"/>
  <c r="Q500" i="3"/>
  <c r="P500" i="3"/>
  <c r="T500" i="3" s="1"/>
  <c r="P566" i="3"/>
  <c r="T566" i="3" s="1"/>
  <c r="P629" i="3"/>
  <c r="T629" i="3" s="1"/>
  <c r="P687" i="3"/>
  <c r="T687" i="3" s="1"/>
  <c r="W700" i="2"/>
  <c r="J700" i="2"/>
  <c r="V700" i="2"/>
  <c r="Q722" i="3"/>
  <c r="P722" i="3"/>
  <c r="T722" i="3" s="1"/>
  <c r="Q201" i="3"/>
  <c r="P201" i="3"/>
  <c r="T201" i="3" s="1"/>
  <c r="P110" i="3"/>
  <c r="T110" i="3" s="1"/>
  <c r="Q233" i="3"/>
  <c r="P233" i="3"/>
  <c r="T233" i="3" s="1"/>
  <c r="J377" i="2"/>
  <c r="W377" i="2"/>
  <c r="V377" i="2"/>
  <c r="P471" i="3"/>
  <c r="T471" i="3" s="1"/>
  <c r="Q452" i="3"/>
  <c r="P452" i="3"/>
  <c r="T452" i="3" s="1"/>
  <c r="P503" i="3"/>
  <c r="T503" i="3" s="1"/>
  <c r="Q503" i="3"/>
  <c r="P336" i="3"/>
  <c r="T336" i="3" s="1"/>
  <c r="P526" i="3"/>
  <c r="T526" i="3" s="1"/>
  <c r="Q357" i="3"/>
  <c r="P357" i="3"/>
  <c r="T357" i="3" s="1"/>
  <c r="P699" i="3"/>
  <c r="T699" i="3" s="1"/>
  <c r="Q699" i="3"/>
  <c r="P166" i="3"/>
  <c r="T166" i="3" s="1"/>
  <c r="P404" i="3"/>
  <c r="T404" i="3" s="1"/>
  <c r="Q301" i="3"/>
  <c r="P301" i="3"/>
  <c r="T301" i="3" s="1"/>
  <c r="P517" i="3"/>
  <c r="T517" i="3" s="1"/>
  <c r="Q517" i="3"/>
  <c r="P127" i="3"/>
  <c r="T127" i="3" s="1"/>
  <c r="P158" i="3"/>
  <c r="T158" i="3" s="1"/>
  <c r="Q631" i="3"/>
  <c r="P631" i="3"/>
  <c r="T631" i="3" s="1"/>
  <c r="P568" i="3"/>
  <c r="T568" i="3" s="1"/>
  <c r="P331" i="3"/>
  <c r="T331" i="3" s="1"/>
  <c r="P455" i="3"/>
  <c r="T455" i="3" s="1"/>
  <c r="W471" i="2"/>
  <c r="J471" i="2"/>
  <c r="V471" i="2"/>
  <c r="W554" i="2"/>
  <c r="J554" i="2"/>
  <c r="V554" i="2"/>
  <c r="P111" i="3"/>
  <c r="T111" i="3" s="1"/>
  <c r="V526" i="2"/>
  <c r="W526" i="2"/>
  <c r="J526" i="2"/>
  <c r="Q561" i="3"/>
  <c r="P561" i="3"/>
  <c r="T561" i="3" s="1"/>
  <c r="Q193" i="3"/>
  <c r="P193" i="3"/>
  <c r="T193" i="3" s="1"/>
  <c r="W192" i="2"/>
  <c r="V192" i="2"/>
  <c r="J192" i="2"/>
  <c r="P383" i="3"/>
  <c r="T383" i="3" s="1"/>
  <c r="P335" i="3"/>
  <c r="T335" i="3" s="1"/>
  <c r="P667" i="3"/>
  <c r="T667" i="3" s="1"/>
  <c r="Q224" i="3"/>
  <c r="P224" i="3"/>
  <c r="T224" i="3" s="1"/>
  <c r="P690" i="3"/>
  <c r="T690" i="3" s="1"/>
  <c r="W112" i="2"/>
  <c r="V112" i="2"/>
  <c r="J112" i="2"/>
  <c r="J457" i="2"/>
  <c r="W457" i="2"/>
  <c r="V457" i="2"/>
  <c r="J202" i="2"/>
  <c r="W202" i="2"/>
  <c r="V202" i="2"/>
  <c r="V466" i="2"/>
  <c r="J466" i="2"/>
  <c r="W466" i="2"/>
  <c r="V434" i="2"/>
  <c r="J434" i="2"/>
  <c r="W434" i="2"/>
  <c r="Q32" i="3"/>
  <c r="P32" i="3"/>
  <c r="T32" i="3" s="1"/>
  <c r="P160" i="3"/>
  <c r="T160" i="3" s="1"/>
  <c r="P295" i="3"/>
  <c r="T295" i="3" s="1"/>
  <c r="Q295" i="3"/>
  <c r="J219" i="2"/>
  <c r="V219" i="2"/>
  <c r="W219" i="2"/>
  <c r="P262" i="3"/>
  <c r="T262" i="3" s="1"/>
  <c r="P704" i="3"/>
  <c r="T704" i="3" s="1"/>
  <c r="Q640" i="3"/>
  <c r="P640" i="3"/>
  <c r="T640" i="3" s="1"/>
  <c r="P723" i="3"/>
  <c r="T723" i="3" s="1"/>
  <c r="Q723" i="3"/>
  <c r="J530" i="2"/>
  <c r="W530" i="2"/>
  <c r="V530" i="2"/>
  <c r="J249" i="2"/>
  <c r="W249" i="2"/>
  <c r="V249" i="2"/>
  <c r="P172" i="3"/>
  <c r="T172" i="3" s="1"/>
  <c r="P289" i="3"/>
  <c r="T289" i="3" s="1"/>
  <c r="Q289" i="3"/>
  <c r="P390" i="3"/>
  <c r="T390" i="3" s="1"/>
  <c r="P464" i="3"/>
  <c r="T464" i="3" s="1"/>
  <c r="P587" i="3"/>
  <c r="T587" i="3" s="1"/>
  <c r="Q587" i="3"/>
  <c r="W208" i="2"/>
  <c r="V208" i="2"/>
  <c r="J208" i="2"/>
  <c r="J114" i="2"/>
  <c r="W114" i="2"/>
  <c r="V114" i="2"/>
  <c r="W558" i="2"/>
  <c r="V558" i="2"/>
  <c r="J558" i="2"/>
  <c r="J497" i="2"/>
  <c r="V497" i="2"/>
  <c r="W497" i="2"/>
  <c r="J409" i="2"/>
  <c r="W409" i="2"/>
  <c r="V409" i="2"/>
  <c r="J546" i="2"/>
  <c r="W546" i="2"/>
  <c r="V546" i="2"/>
  <c r="P170" i="3"/>
  <c r="T170" i="3" s="1"/>
  <c r="Q9" i="3"/>
  <c r="P9" i="3"/>
  <c r="T9" i="3" s="1"/>
  <c r="J166" i="2"/>
  <c r="W166" i="2"/>
  <c r="V166" i="2"/>
  <c r="V337" i="2"/>
  <c r="J337" i="2"/>
  <c r="W337" i="2"/>
  <c r="Q356" i="3"/>
  <c r="P356" i="3"/>
  <c r="T356" i="3" s="1"/>
  <c r="P607" i="3"/>
  <c r="T607" i="3" s="1"/>
  <c r="P488" i="3"/>
  <c r="T488" i="3" s="1"/>
  <c r="P601" i="3"/>
  <c r="T601" i="3" s="1"/>
  <c r="Q647" i="3"/>
  <c r="P647" i="3"/>
  <c r="T647" i="3" s="1"/>
  <c r="P577" i="3"/>
  <c r="T577" i="3" s="1"/>
  <c r="J529" i="2"/>
  <c r="W529" i="2"/>
  <c r="V529" i="2"/>
  <c r="V515" i="2"/>
  <c r="W515" i="2"/>
  <c r="J515" i="2"/>
  <c r="P176" i="3"/>
  <c r="T176" i="3" s="1"/>
  <c r="W177" i="2"/>
  <c r="V177" i="2"/>
  <c r="J177" i="2"/>
  <c r="J429" i="2"/>
  <c r="W429" i="2"/>
  <c r="V429" i="2"/>
  <c r="W56" i="2"/>
  <c r="V56" i="2"/>
  <c r="J56" i="2"/>
  <c r="J253" i="2"/>
  <c r="W253" i="2"/>
  <c r="V253" i="2"/>
  <c r="Q98" i="3"/>
  <c r="P98" i="3"/>
  <c r="T98" i="3" s="1"/>
  <c r="P291" i="3"/>
  <c r="T291" i="3" s="1"/>
  <c r="P638" i="3"/>
  <c r="T638" i="3" s="1"/>
  <c r="P575" i="3"/>
  <c r="T575" i="3" s="1"/>
  <c r="Q575" i="3"/>
  <c r="Q429" i="3"/>
  <c r="P429" i="3"/>
  <c r="T429" i="3" s="1"/>
  <c r="P407" i="3"/>
  <c r="T407" i="3" s="1"/>
  <c r="P678" i="3"/>
  <c r="T678" i="3" s="1"/>
  <c r="Q678" i="3"/>
  <c r="P541" i="3"/>
  <c r="T541" i="3" s="1"/>
  <c r="Q622" i="3"/>
  <c r="P622" i="3"/>
  <c r="T622" i="3" s="1"/>
  <c r="W36" i="2"/>
  <c r="V36" i="2"/>
  <c r="J36" i="2"/>
  <c r="J170" i="2"/>
  <c r="W170" i="2"/>
  <c r="V170" i="2"/>
  <c r="V531" i="2"/>
  <c r="W531" i="2"/>
  <c r="J531" i="2"/>
  <c r="W145" i="2"/>
  <c r="V145" i="2"/>
  <c r="J145" i="2"/>
  <c r="P182" i="3"/>
  <c r="T182" i="3" s="1"/>
  <c r="Q182" i="3"/>
  <c r="J39" i="2"/>
  <c r="V39" i="2"/>
  <c r="W39" i="2"/>
  <c r="J469" i="2"/>
  <c r="V469" i="2"/>
  <c r="W469" i="2"/>
  <c r="V305" i="2"/>
  <c r="J305" i="2"/>
  <c r="W305" i="2"/>
  <c r="W483" i="2"/>
  <c r="J483" i="2"/>
  <c r="V483" i="2"/>
  <c r="P275" i="3"/>
  <c r="T275" i="3" s="1"/>
  <c r="W96" i="2"/>
  <c r="V96" i="2"/>
  <c r="J96" i="2"/>
  <c r="J401" i="2"/>
  <c r="V401" i="2"/>
  <c r="W401" i="2"/>
  <c r="P117" i="3"/>
  <c r="T117" i="3" s="1"/>
  <c r="P187" i="3"/>
  <c r="T187" i="3" s="1"/>
  <c r="Q279" i="3"/>
  <c r="P279" i="3"/>
  <c r="T279" i="3" s="1"/>
  <c r="P267" i="3"/>
  <c r="T267" i="3" s="1"/>
  <c r="P348" i="3"/>
  <c r="T348" i="3" s="1"/>
  <c r="P384" i="3"/>
  <c r="T384" i="3" s="1"/>
  <c r="Q384" i="3"/>
  <c r="W478" i="2"/>
  <c r="V478" i="2"/>
  <c r="J478" i="2"/>
  <c r="Q403" i="3"/>
  <c r="P403" i="3"/>
  <c r="T403" i="3" s="1"/>
  <c r="Q562" i="3"/>
  <c r="P562" i="3"/>
  <c r="T562" i="3" s="1"/>
  <c r="P612" i="3"/>
  <c r="T612" i="3" s="1"/>
  <c r="Q116" i="3"/>
  <c r="P116" i="3"/>
  <c r="T116" i="3" s="1"/>
  <c r="W263" i="2"/>
  <c r="J263" i="2"/>
  <c r="V263" i="2"/>
  <c r="P174" i="3"/>
  <c r="T174" i="3" s="1"/>
  <c r="W586" i="2"/>
  <c r="J586" i="2"/>
  <c r="V586" i="2"/>
  <c r="V547" i="2"/>
  <c r="J547" i="2"/>
  <c r="W547" i="2"/>
  <c r="J214" i="2"/>
  <c r="W214" i="2"/>
  <c r="V214" i="2"/>
  <c r="J269" i="2"/>
  <c r="W269" i="2"/>
  <c r="V269" i="2"/>
  <c r="P10" i="3"/>
  <c r="T10" i="3" s="1"/>
  <c r="Q10" i="3"/>
  <c r="P42" i="3"/>
  <c r="T42" i="3" s="1"/>
  <c r="Q194" i="3"/>
  <c r="P194" i="3"/>
  <c r="T194" i="3" s="1"/>
  <c r="P234" i="3"/>
  <c r="T234" i="3" s="1"/>
  <c r="P300" i="3"/>
  <c r="T300" i="3" s="1"/>
  <c r="J364" i="2"/>
  <c r="W364" i="2"/>
  <c r="V364" i="2"/>
  <c r="Q535" i="3"/>
  <c r="P535" i="3"/>
  <c r="T535" i="3" s="1"/>
  <c r="P448" i="3"/>
  <c r="T448" i="3" s="1"/>
  <c r="Q395" i="3"/>
  <c r="P395" i="3"/>
  <c r="T395" i="3" s="1"/>
  <c r="P648" i="3"/>
  <c r="T648" i="3" s="1"/>
  <c r="Q681" i="3"/>
  <c r="P681" i="3"/>
  <c r="T681" i="3" s="1"/>
  <c r="Q202" i="3"/>
  <c r="P202" i="3"/>
  <c r="T202" i="3" s="1"/>
  <c r="Q143" i="3"/>
  <c r="P143" i="3"/>
  <c r="T143" i="3" s="1"/>
  <c r="V559" i="2"/>
  <c r="J559" i="2"/>
  <c r="W559" i="2"/>
  <c r="P137" i="3"/>
  <c r="T137" i="3" s="1"/>
  <c r="P169" i="3"/>
  <c r="T169" i="3" s="1"/>
  <c r="P130" i="3"/>
  <c r="T130" i="3" s="1"/>
  <c r="Q27" i="3"/>
  <c r="P27" i="3"/>
  <c r="T27" i="3" s="1"/>
  <c r="P195" i="3"/>
  <c r="T195" i="3" s="1"/>
  <c r="P221" i="3"/>
  <c r="T221" i="3" s="1"/>
  <c r="P376" i="3"/>
  <c r="T376" i="3" s="1"/>
  <c r="Q376" i="3"/>
  <c r="Q370" i="3"/>
  <c r="P370" i="3"/>
  <c r="T370" i="3" s="1"/>
  <c r="P367" i="3"/>
  <c r="T367" i="3" s="1"/>
  <c r="P425" i="3"/>
  <c r="T425" i="3" s="1"/>
  <c r="P559" i="3"/>
  <c r="T559" i="3" s="1"/>
  <c r="Q559" i="3"/>
  <c r="Q515" i="3"/>
  <c r="P515" i="3"/>
  <c r="T515" i="3" s="1"/>
  <c r="P527" i="3"/>
  <c r="T527" i="3" s="1"/>
  <c r="P677" i="3"/>
  <c r="T677" i="3" s="1"/>
  <c r="P599" i="3"/>
  <c r="T599" i="3" s="1"/>
  <c r="P642" i="3"/>
  <c r="T642" i="3" s="1"/>
  <c r="P52" i="3"/>
  <c r="T52" i="3" s="1"/>
  <c r="P84" i="3"/>
  <c r="T84" i="3" s="1"/>
  <c r="P122" i="3"/>
  <c r="T122" i="3" s="1"/>
  <c r="J67" i="2"/>
  <c r="W67" i="2"/>
  <c r="V67" i="2"/>
  <c r="J118" i="2"/>
  <c r="W118" i="2"/>
  <c r="V118" i="2"/>
  <c r="J485" i="2"/>
  <c r="V485" i="2"/>
  <c r="W485" i="2"/>
  <c r="J111" i="2"/>
  <c r="V111" i="2"/>
  <c r="W111" i="2"/>
  <c r="J7" i="2"/>
  <c r="V7" i="2"/>
  <c r="W7" i="2"/>
  <c r="J473" i="2"/>
  <c r="V473" i="2"/>
  <c r="W473" i="2"/>
  <c r="W573" i="2"/>
  <c r="V573" i="2"/>
  <c r="J573" i="2"/>
  <c r="Q102" i="3"/>
  <c r="P102" i="3"/>
  <c r="T102" i="3" s="1"/>
  <c r="P142" i="3"/>
  <c r="T142" i="3" s="1"/>
  <c r="Q183" i="3"/>
  <c r="P183" i="3"/>
  <c r="T183" i="3" s="1"/>
  <c r="P247" i="3"/>
  <c r="T247" i="3" s="1"/>
  <c r="Q422" i="3"/>
  <c r="P422" i="3"/>
  <c r="T422" i="3" s="1"/>
  <c r="P385" i="3"/>
  <c r="T385" i="3" s="1"/>
  <c r="Q621" i="3"/>
  <c r="P621" i="3"/>
  <c r="T621" i="3" s="1"/>
  <c r="Q604" i="3"/>
  <c r="P604" i="3"/>
  <c r="T604" i="3" s="1"/>
  <c r="Q625" i="3"/>
  <c r="P625" i="3"/>
  <c r="T625" i="3" s="1"/>
  <c r="P513" i="3"/>
  <c r="T513" i="3" s="1"/>
  <c r="Q623" i="3"/>
  <c r="P623" i="3"/>
  <c r="T623" i="3" s="1"/>
  <c r="P206" i="3"/>
  <c r="T206" i="3" s="1"/>
  <c r="Q123" i="3"/>
  <c r="P123" i="3"/>
  <c r="T123" i="3" s="1"/>
  <c r="P467" i="3"/>
  <c r="T467" i="3" s="1"/>
  <c r="W152" i="2"/>
  <c r="J152" i="2"/>
  <c r="V152" i="2"/>
  <c r="P334" i="3"/>
  <c r="T334" i="3" s="1"/>
  <c r="P489" i="3"/>
  <c r="T489" i="3" s="1"/>
  <c r="P318" i="3"/>
  <c r="T318" i="3" s="1"/>
  <c r="P321" i="3"/>
  <c r="T321" i="3" s="1"/>
  <c r="P708" i="3"/>
  <c r="T708" i="3" s="1"/>
  <c r="Q708" i="3"/>
  <c r="P661" i="3"/>
  <c r="T661" i="3" s="1"/>
  <c r="Q126" i="3"/>
  <c r="P126" i="3"/>
  <c r="T126" i="3" s="1"/>
  <c r="P369" i="3"/>
  <c r="T369" i="3" s="1"/>
  <c r="P525" i="3"/>
  <c r="T525" i="3" s="1"/>
  <c r="Q525" i="3"/>
  <c r="P131" i="3"/>
  <c r="T131" i="3" s="1"/>
  <c r="Q264" i="3"/>
  <c r="P264" i="3"/>
  <c r="T264" i="3" s="1"/>
  <c r="P280" i="3"/>
  <c r="T280" i="3" s="1"/>
  <c r="P537" i="3"/>
  <c r="T537" i="3" s="1"/>
  <c r="P354" i="3"/>
  <c r="T354" i="3" s="1"/>
  <c r="P719" i="3"/>
  <c r="T719" i="3" s="1"/>
  <c r="P306" i="3"/>
  <c r="T306" i="3" s="1"/>
  <c r="P628" i="3"/>
  <c r="T628" i="3" s="1"/>
  <c r="P124" i="3"/>
  <c r="T124" i="3" s="1"/>
  <c r="P345" i="3"/>
  <c r="T345" i="3" s="1"/>
  <c r="P99" i="3"/>
  <c r="T99" i="3" s="1"/>
  <c r="W569" i="2"/>
  <c r="V569" i="2"/>
  <c r="J569" i="2"/>
  <c r="J425" i="2"/>
  <c r="W425" i="2"/>
  <c r="V425" i="2"/>
  <c r="V567" i="2"/>
  <c r="J567" i="2"/>
  <c r="W567" i="2"/>
  <c r="V418" i="2"/>
  <c r="J418" i="2"/>
  <c r="W418" i="2"/>
  <c r="Q463" i="3"/>
  <c r="P463" i="3"/>
  <c r="T463" i="3" s="1"/>
  <c r="J421" i="2"/>
  <c r="W421" i="2"/>
  <c r="V421" i="2"/>
  <c r="J91" i="2"/>
  <c r="W91" i="2"/>
  <c r="V91" i="2"/>
  <c r="Q258" i="3"/>
  <c r="P258" i="3"/>
  <c r="T258" i="3" s="1"/>
  <c r="P225" i="3"/>
  <c r="T225" i="3" s="1"/>
  <c r="P491" i="3"/>
  <c r="T491" i="3" s="1"/>
  <c r="P665" i="3"/>
  <c r="T665" i="3" s="1"/>
  <c r="Q665" i="3"/>
  <c r="Q663" i="3"/>
  <c r="P663" i="3"/>
  <c r="T663" i="3" s="1"/>
  <c r="P125" i="3"/>
  <c r="T125" i="3" s="1"/>
  <c r="P33" i="3"/>
  <c r="T33" i="3" s="1"/>
  <c r="P337" i="3"/>
  <c r="T337" i="3" s="1"/>
  <c r="Q337" i="3"/>
  <c r="P104" i="3"/>
  <c r="T104" i="3" s="1"/>
  <c r="P296" i="3"/>
  <c r="T296" i="3" s="1"/>
  <c r="J158" i="2"/>
  <c r="W158" i="2"/>
  <c r="V158" i="2"/>
  <c r="P588" i="3"/>
  <c r="T588" i="3" s="1"/>
  <c r="Q208" i="3"/>
  <c r="P208" i="3"/>
  <c r="T208" i="3" s="1"/>
  <c r="Q15" i="3"/>
  <c r="P15" i="3"/>
  <c r="T15" i="3" s="1"/>
  <c r="J277" i="2"/>
  <c r="W277" i="2"/>
  <c r="V277" i="2"/>
  <c r="Q41" i="3"/>
  <c r="P41" i="3"/>
  <c r="T41" i="3" s="1"/>
  <c r="W196" i="2"/>
  <c r="V196" i="2"/>
  <c r="J196" i="2"/>
  <c r="Q374" i="3"/>
  <c r="P374" i="3"/>
  <c r="T374" i="3" s="1"/>
  <c r="J392" i="2"/>
  <c r="W392" i="2"/>
  <c r="V392" i="2"/>
  <c r="P514" i="3"/>
  <c r="T514" i="3" s="1"/>
  <c r="P611" i="3"/>
  <c r="T611" i="3" s="1"/>
  <c r="P439" i="3"/>
  <c r="T439" i="3" s="1"/>
  <c r="Q654" i="3"/>
  <c r="P654" i="3"/>
  <c r="T654" i="3" s="1"/>
  <c r="P606" i="3"/>
  <c r="T606" i="3" s="1"/>
  <c r="Q606" i="3"/>
  <c r="V414" i="2"/>
  <c r="J414" i="2"/>
  <c r="W414" i="2"/>
  <c r="V598" i="2"/>
  <c r="J598" i="2"/>
  <c r="W598" i="2"/>
  <c r="V430" i="2"/>
  <c r="J430" i="2"/>
  <c r="W430" i="2"/>
  <c r="Q283" i="3"/>
  <c r="P283" i="3"/>
  <c r="T283" i="3" s="1"/>
  <c r="V587" i="2"/>
  <c r="J587" i="2"/>
  <c r="W587" i="2"/>
  <c r="W108" i="2"/>
  <c r="V108" i="2"/>
  <c r="J108" i="2"/>
  <c r="W88" i="2"/>
  <c r="V88" i="2"/>
  <c r="J88" i="2"/>
  <c r="J15" i="2"/>
  <c r="W15" i="2"/>
  <c r="V15" i="2"/>
  <c r="Q115" i="3"/>
  <c r="P115" i="3"/>
  <c r="T115" i="3" s="1"/>
  <c r="Q23" i="3"/>
  <c r="P23" i="3"/>
  <c r="T23" i="3" s="1"/>
  <c r="P271" i="3"/>
  <c r="T271" i="3" s="1"/>
  <c r="P222" i="3"/>
  <c r="T222" i="3" s="1"/>
  <c r="Q461" i="3"/>
  <c r="P461" i="3"/>
  <c r="T461" i="3" s="1"/>
  <c r="Q655" i="3"/>
  <c r="P655" i="3"/>
  <c r="T655" i="3" s="1"/>
  <c r="P573" i="3"/>
  <c r="T573" i="3" s="1"/>
  <c r="W80" i="2"/>
  <c r="V80" i="2"/>
  <c r="J80" i="2"/>
  <c r="P285" i="3"/>
  <c r="T285" i="3" s="1"/>
  <c r="P8" i="3"/>
  <c r="T8" i="3" s="1"/>
  <c r="W153" i="2"/>
  <c r="V153" i="2"/>
  <c r="J153" i="2"/>
  <c r="J273" i="2"/>
  <c r="W273" i="2"/>
  <c r="V273" i="2"/>
  <c r="W479" i="2"/>
  <c r="J479" i="2"/>
  <c r="V479" i="2"/>
  <c r="J393" i="2"/>
  <c r="W393" i="2"/>
  <c r="V393" i="2"/>
  <c r="W60" i="2"/>
  <c r="V60" i="2"/>
  <c r="J60" i="2"/>
  <c r="V527" i="2"/>
  <c r="W527" i="2"/>
  <c r="J527" i="2"/>
  <c r="P101" i="3"/>
  <c r="T101" i="3" s="1"/>
  <c r="P380" i="3"/>
  <c r="T380" i="3" s="1"/>
  <c r="Q380" i="3"/>
  <c r="P426" i="3"/>
  <c r="T426" i="3" s="1"/>
  <c r="V504" i="2"/>
  <c r="J504" i="2"/>
  <c r="W504" i="2"/>
  <c r="Q465" i="3"/>
  <c r="P465" i="3"/>
  <c r="T465" i="3" s="1"/>
  <c r="Q415" i="3"/>
  <c r="P415" i="3"/>
  <c r="T415" i="3" s="1"/>
  <c r="P476" i="3"/>
  <c r="T476" i="3" s="1"/>
  <c r="Q594" i="3"/>
  <c r="P594" i="3"/>
  <c r="T594" i="3" s="1"/>
  <c r="Q725" i="3"/>
  <c r="P725" i="3"/>
  <c r="T725" i="3" s="1"/>
  <c r="Q75" i="3"/>
  <c r="P75" i="3"/>
  <c r="T75" i="3" s="1"/>
  <c r="W121" i="2"/>
  <c r="J121" i="2"/>
  <c r="V121" i="2"/>
  <c r="P67" i="3"/>
  <c r="T67" i="3" s="1"/>
  <c r="J373" i="2"/>
  <c r="W373" i="2"/>
  <c r="V373" i="2"/>
  <c r="J389" i="2"/>
  <c r="W389" i="2"/>
  <c r="V389" i="2"/>
  <c r="J210" i="2"/>
  <c r="W210" i="2"/>
  <c r="V210" i="2"/>
  <c r="Q150" i="3"/>
  <c r="P150" i="3"/>
  <c r="T150" i="3" s="1"/>
  <c r="P242" i="3"/>
  <c r="T242" i="3" s="1"/>
  <c r="Q325" i="3"/>
  <c r="P325" i="3"/>
  <c r="T325" i="3" s="1"/>
  <c r="Q324" i="3"/>
  <c r="P324" i="3"/>
  <c r="T324" i="3" s="1"/>
  <c r="Q438" i="3"/>
  <c r="P438" i="3"/>
  <c r="T438" i="3" s="1"/>
  <c r="V520" i="2"/>
  <c r="W520" i="2"/>
  <c r="J520" i="2"/>
  <c r="P682" i="3"/>
  <c r="T682" i="3" s="1"/>
  <c r="P688" i="3"/>
  <c r="T688" i="3" s="1"/>
  <c r="P715" i="3"/>
  <c r="T715" i="3" s="1"/>
  <c r="Q715" i="3"/>
  <c r="Q282" i="3"/>
  <c r="P282" i="3"/>
  <c r="T282" i="3" s="1"/>
  <c r="P442" i="3"/>
  <c r="T442" i="3" s="1"/>
  <c r="P147" i="3"/>
  <c r="T147" i="3" s="1"/>
  <c r="W570" i="2"/>
  <c r="V570" i="2"/>
  <c r="J570" i="2"/>
  <c r="Q141" i="3"/>
  <c r="P141" i="3"/>
  <c r="T141" i="3" s="1"/>
  <c r="Q259" i="3"/>
  <c r="P259" i="3"/>
  <c r="T259" i="3" s="1"/>
  <c r="Q231" i="3"/>
  <c r="P231" i="3"/>
  <c r="T231" i="3" s="1"/>
  <c r="P563" i="3"/>
  <c r="T563" i="3" s="1"/>
  <c r="Q563" i="3"/>
  <c r="Q377" i="3"/>
  <c r="P377" i="3"/>
  <c r="T377" i="3" s="1"/>
  <c r="Q311" i="3"/>
  <c r="P311" i="3"/>
  <c r="T311" i="3" s="1"/>
  <c r="W439" i="2"/>
  <c r="V439" i="2"/>
  <c r="J439" i="2"/>
  <c r="Q457" i="3"/>
  <c r="P457" i="3"/>
  <c r="T457" i="3" s="1"/>
  <c r="P436" i="3"/>
  <c r="T436" i="3" s="1"/>
  <c r="P685" i="3"/>
  <c r="T685" i="3" s="1"/>
  <c r="J722" i="2"/>
  <c r="W722" i="2"/>
  <c r="V722" i="2"/>
  <c r="Q4" i="3"/>
  <c r="P4" i="3"/>
  <c r="T4" i="3" s="1"/>
  <c r="P56" i="3"/>
  <c r="T56" i="3" s="1"/>
  <c r="P88" i="3"/>
  <c r="T88" i="3" s="1"/>
  <c r="W169" i="2"/>
  <c r="J169" i="2"/>
  <c r="V169" i="2"/>
  <c r="J107" i="2"/>
  <c r="W107" i="2"/>
  <c r="V107" i="2"/>
  <c r="W92" i="2"/>
  <c r="V92" i="2"/>
  <c r="J92" i="2"/>
  <c r="J522" i="2"/>
  <c r="W522" i="2"/>
  <c r="V522" i="2"/>
  <c r="W116" i="2"/>
  <c r="V116" i="2"/>
  <c r="J116" i="2"/>
  <c r="W475" i="2"/>
  <c r="J475" i="2"/>
  <c r="V475" i="2"/>
  <c r="J437" i="2"/>
  <c r="W437" i="2"/>
  <c r="V437" i="2"/>
  <c r="P113" i="3"/>
  <c r="T113" i="3" s="1"/>
  <c r="P204" i="3"/>
  <c r="T204" i="3" s="1"/>
  <c r="P237" i="3"/>
  <c r="T237" i="3" s="1"/>
  <c r="P405" i="3"/>
  <c r="T405" i="3" s="1"/>
  <c r="P700" i="3"/>
  <c r="T700" i="3" s="1"/>
  <c r="Q700" i="3"/>
  <c r="P683" i="3"/>
  <c r="T683" i="3" s="1"/>
  <c r="Q683" i="3"/>
  <c r="P646" i="3"/>
  <c r="T646" i="3" s="1"/>
  <c r="P521" i="3"/>
  <c r="T521" i="3" s="1"/>
  <c r="P694" i="3"/>
  <c r="T694" i="3" s="1"/>
  <c r="P490" i="3"/>
  <c r="T490" i="3" s="1"/>
  <c r="P332" i="3"/>
  <c r="T332" i="3" s="1"/>
  <c r="Q332" i="3"/>
  <c r="P319" i="3"/>
  <c r="T319" i="3" s="1"/>
  <c r="P298" i="3"/>
  <c r="T298" i="3" s="1"/>
  <c r="P382" i="3"/>
  <c r="T382" i="3" s="1"/>
  <c r="P409" i="3"/>
  <c r="T409" i="3" s="1"/>
  <c r="P232" i="3"/>
  <c r="T232" i="3" s="1"/>
  <c r="P421" i="3"/>
  <c r="T421" i="3" s="1"/>
  <c r="P499" i="3"/>
  <c r="T499" i="3" s="1"/>
  <c r="P482" i="3"/>
  <c r="T482" i="3" s="1"/>
  <c r="P229" i="3"/>
  <c r="T229" i="3" s="1"/>
  <c r="P632" i="3"/>
  <c r="T632" i="3" s="1"/>
  <c r="P220" i="3"/>
  <c r="T220" i="3" s="1"/>
  <c r="P569" i="3"/>
  <c r="T569" i="3" s="1"/>
  <c r="P119" i="3"/>
  <c r="T119" i="3" s="1"/>
  <c r="P583" i="3"/>
  <c r="T583" i="3" s="1"/>
  <c r="Q409" i="3" l="1"/>
  <c r="Q482" i="3"/>
  <c r="Q646" i="3"/>
  <c r="Q573" i="3"/>
  <c r="Q513" i="3"/>
  <c r="Q142" i="3"/>
  <c r="Q612" i="3"/>
  <c r="Q110" i="3"/>
  <c r="Q689" i="3"/>
  <c r="Q284" i="3"/>
  <c r="Q30" i="3"/>
  <c r="Q580" i="3"/>
  <c r="Q339" i="3"/>
  <c r="Q29" i="3"/>
  <c r="Q423" i="3"/>
  <c r="Q614" i="3"/>
  <c r="Q451" i="3"/>
  <c r="Q333" i="3"/>
  <c r="Q375" i="3"/>
  <c r="Q534" i="3"/>
  <c r="Q39" i="3"/>
  <c r="Q211" i="3"/>
  <c r="Q458" i="3"/>
  <c r="Q674" i="3"/>
  <c r="Q207" i="3"/>
  <c r="Q134" i="3"/>
  <c r="Q701" i="3"/>
  <c r="Q351" i="3"/>
  <c r="Q712" i="3"/>
  <c r="Q531" i="3"/>
  <c r="Q100" i="3"/>
  <c r="Q346" i="3"/>
  <c r="Q572" i="3"/>
  <c r="Q477" i="3"/>
  <c r="Q254" i="3"/>
  <c r="Q447" i="3"/>
  <c r="Q235" i="3"/>
  <c r="Q693" i="3"/>
  <c r="Q340" i="3"/>
  <c r="Q140" i="3"/>
  <c r="Q620" i="3"/>
  <c r="Q397" i="3"/>
  <c r="Q552" i="3"/>
  <c r="Q684" i="3"/>
  <c r="Q381" i="3"/>
  <c r="Q470" i="3"/>
  <c r="Q185" i="3"/>
  <c r="Q574" i="3"/>
  <c r="Q349" i="3"/>
  <c r="Q212" i="3"/>
  <c r="Q466" i="3"/>
  <c r="Q431" i="3"/>
  <c r="Q59" i="3"/>
  <c r="Q658" i="3"/>
  <c r="Q450" i="3"/>
  <c r="Q61" i="3"/>
  <c r="Q675" i="3"/>
  <c r="Q154" i="3"/>
  <c r="Q5" i="3"/>
  <c r="Q386" i="3"/>
  <c r="Q502" i="3"/>
  <c r="Q529" i="3"/>
  <c r="Q215" i="3"/>
  <c r="Q60" i="3"/>
  <c r="Q554" i="3"/>
  <c r="Q277" i="3"/>
  <c r="Q269" i="3"/>
  <c r="Q413" i="3"/>
  <c r="Q641" i="3"/>
  <c r="Q519" i="3"/>
  <c r="Q355" i="3"/>
  <c r="Q63" i="3"/>
  <c r="Q43" i="3"/>
  <c r="Q671" i="3"/>
  <c r="Q184" i="3"/>
  <c r="Q307" i="3"/>
  <c r="Q569" i="3"/>
  <c r="Q237" i="3"/>
  <c r="Q242" i="3"/>
  <c r="Q476" i="3"/>
  <c r="Q271" i="3"/>
  <c r="Q588" i="3"/>
  <c r="Q467" i="3"/>
  <c r="Q385" i="3"/>
  <c r="Q648" i="3"/>
  <c r="Q220" i="3"/>
  <c r="Q499" i="3"/>
  <c r="Q382" i="3"/>
  <c r="Q490" i="3"/>
  <c r="Q204" i="3"/>
  <c r="Q88" i="3"/>
  <c r="Q426" i="3"/>
  <c r="Q8" i="3"/>
  <c r="Q439" i="3"/>
  <c r="Q124" i="3"/>
  <c r="Q354" i="3"/>
  <c r="Q131" i="3"/>
  <c r="Q661" i="3"/>
  <c r="Q489" i="3"/>
  <c r="Q122" i="3"/>
  <c r="Q599" i="3"/>
  <c r="Q130" i="3"/>
  <c r="Q42" i="3"/>
  <c r="Q174" i="3"/>
  <c r="Q187" i="3"/>
  <c r="Q541" i="3"/>
  <c r="Q601" i="3"/>
  <c r="Q170" i="3"/>
  <c r="Q390" i="3"/>
  <c r="Q704" i="3"/>
  <c r="Q160" i="3"/>
  <c r="Q667" i="3"/>
  <c r="Q111" i="3"/>
  <c r="Q455" i="3"/>
  <c r="Q158" i="3"/>
  <c r="Q404" i="3"/>
  <c r="Q526" i="3"/>
  <c r="Q471" i="3"/>
  <c r="Q687" i="3"/>
  <c r="Q274" i="3"/>
  <c r="Q48" i="3"/>
  <c r="Q543" i="3"/>
  <c r="Q165" i="3"/>
  <c r="Q164" i="3"/>
  <c r="Q713" i="3"/>
  <c r="Q47" i="3"/>
  <c r="Q570" i="3"/>
  <c r="Q565" i="3"/>
  <c r="Q651" i="3"/>
  <c r="Q17" i="3"/>
  <c r="Q136" i="3"/>
  <c r="Q71" i="3"/>
  <c r="Q598" i="3"/>
  <c r="Q243" i="3"/>
  <c r="Q644" i="3"/>
  <c r="Q472" i="3"/>
  <c r="Q19" i="3"/>
  <c r="Q533" i="3"/>
  <c r="Q410" i="3"/>
  <c r="Q299" i="3"/>
  <c r="Q692" i="3"/>
  <c r="Q189" i="3"/>
  <c r="Q368" i="3"/>
  <c r="Q330" i="3"/>
  <c r="Q65" i="3"/>
  <c r="Q564" i="3"/>
  <c r="Q87" i="3"/>
  <c r="Q710" i="3"/>
  <c r="Q512" i="3"/>
  <c r="Q544" i="3"/>
  <c r="Q217" i="3"/>
  <c r="Q266" i="3"/>
  <c r="Q173" i="3"/>
  <c r="Q691" i="3"/>
  <c r="Q64" i="3"/>
  <c r="Q38" i="3"/>
  <c r="Q509" i="3"/>
  <c r="Q495" i="3"/>
  <c r="Q706" i="3"/>
  <c r="Q85" i="3"/>
  <c r="Q705" i="3"/>
  <c r="Q114" i="3"/>
  <c r="Q597" i="3"/>
  <c r="Q435" i="3"/>
  <c r="Q485" i="3"/>
  <c r="Q610" i="3"/>
  <c r="Q396" i="3"/>
  <c r="Q567" i="3"/>
  <c r="Q653" i="3"/>
  <c r="Q177" i="3"/>
  <c r="Q276" i="3"/>
  <c r="Q21" i="3"/>
  <c r="Q546" i="3"/>
  <c r="Q69" i="3"/>
  <c r="Q106" i="3"/>
  <c r="Q583" i="3"/>
  <c r="Q632" i="3"/>
  <c r="Q421" i="3"/>
  <c r="Q298" i="3"/>
  <c r="Q694" i="3"/>
  <c r="Q113" i="3"/>
  <c r="Q56" i="3"/>
  <c r="Q685" i="3"/>
  <c r="Q147" i="3"/>
  <c r="Q688" i="3"/>
  <c r="Q285" i="3"/>
  <c r="Q611" i="3"/>
  <c r="Q33" i="3"/>
  <c r="Q491" i="3"/>
  <c r="Q628" i="3"/>
  <c r="Q537" i="3"/>
  <c r="Q334" i="3"/>
  <c r="Q206" i="3"/>
  <c r="Q247" i="3"/>
  <c r="Q84" i="3"/>
  <c r="Q677" i="3"/>
  <c r="Q425" i="3"/>
  <c r="Q221" i="3"/>
  <c r="Q169" i="3"/>
  <c r="Q448" i="3"/>
  <c r="Q300" i="3"/>
  <c r="Q348" i="3"/>
  <c r="Q117" i="3"/>
  <c r="Q275" i="3"/>
  <c r="Q638" i="3"/>
  <c r="Q488" i="3"/>
  <c r="Q262" i="3"/>
  <c r="Q335" i="3"/>
  <c r="Q331" i="3"/>
  <c r="Q127" i="3"/>
  <c r="Q166" i="3"/>
  <c r="Q336" i="3"/>
  <c r="Q629" i="3"/>
  <c r="Q371" i="3"/>
  <c r="Q57" i="3"/>
  <c r="Q634" i="3"/>
  <c r="Q213" i="3"/>
  <c r="Q133" i="3"/>
  <c r="Q416" i="3"/>
  <c r="Q144" i="3"/>
  <c r="Q191" i="3"/>
  <c r="Q198" i="3"/>
  <c r="Q592" i="3"/>
  <c r="Q639" i="3"/>
  <c r="Q89" i="3"/>
  <c r="Q501" i="3"/>
  <c r="Q347" i="3"/>
  <c r="Q161" i="3"/>
  <c r="Q548" i="3"/>
  <c r="Q323" i="3"/>
  <c r="Q303" i="3"/>
  <c r="Q214" i="3"/>
  <c r="Q602" i="3"/>
  <c r="Q248" i="3"/>
  <c r="Q584" i="3"/>
  <c r="Q469" i="3"/>
  <c r="Q317" i="3"/>
  <c r="B182" i="4"/>
  <c r="F180" i="4"/>
  <c r="D179" i="4"/>
  <c r="C182" i="4"/>
  <c r="E180" i="4"/>
  <c r="B179" i="4"/>
  <c r="F177" i="4"/>
  <c r="D176" i="4"/>
  <c r="B175" i="4"/>
  <c r="A89" i="5" s="1"/>
  <c r="F173" i="4"/>
  <c r="D172" i="4"/>
  <c r="B171" i="4"/>
  <c r="A85" i="5" s="1"/>
  <c r="F169" i="4"/>
  <c r="D168" i="4"/>
  <c r="E182" i="4"/>
  <c r="G180" i="4"/>
  <c r="G178" i="4"/>
  <c r="D177" i="4"/>
  <c r="G175" i="4"/>
  <c r="B89" i="5" s="1"/>
  <c r="D174" i="4"/>
  <c r="G172" i="4"/>
  <c r="B86" i="5" s="1"/>
  <c r="D171" i="4"/>
  <c r="G169" i="4"/>
  <c r="B83" i="5" s="1"/>
  <c r="C168" i="4"/>
  <c r="D182" i="4"/>
  <c r="D180" i="4"/>
  <c r="F178" i="4"/>
  <c r="C177" i="4"/>
  <c r="F175" i="4"/>
  <c r="C174" i="4"/>
  <c r="F172" i="4"/>
  <c r="C171" i="4"/>
  <c r="E169" i="4"/>
  <c r="B168" i="4"/>
  <c r="A82" i="5" s="1"/>
  <c r="E181" i="4"/>
  <c r="G179" i="4"/>
  <c r="C178" i="4"/>
  <c r="F176" i="4"/>
  <c r="C175" i="4"/>
  <c r="E173" i="4"/>
  <c r="B172" i="4"/>
  <c r="A86" i="5" s="1"/>
  <c r="E170" i="4"/>
  <c r="B169" i="4"/>
  <c r="A83" i="5" s="1"/>
  <c r="F182" i="4"/>
  <c r="F179" i="4"/>
  <c r="B177" i="4"/>
  <c r="A91" i="5" s="1"/>
  <c r="F174" i="4"/>
  <c r="C172" i="4"/>
  <c r="B170" i="4"/>
  <c r="A84" i="5" s="1"/>
  <c r="G181" i="4"/>
  <c r="E179" i="4"/>
  <c r="G176" i="4"/>
  <c r="B90" i="5" s="1"/>
  <c r="E174" i="4"/>
  <c r="G171" i="4"/>
  <c r="B85" i="5" s="1"/>
  <c r="D169" i="4"/>
  <c r="F181" i="4"/>
  <c r="C179" i="4"/>
  <c r="E176" i="4"/>
  <c r="B174" i="4"/>
  <c r="A88" i="5" s="1"/>
  <c r="F171" i="4"/>
  <c r="C169" i="4"/>
  <c r="D181" i="4"/>
  <c r="E178" i="4"/>
  <c r="C176" i="4"/>
  <c r="G173" i="4"/>
  <c r="B87" i="5" s="1"/>
  <c r="E171" i="4"/>
  <c r="G168" i="4"/>
  <c r="B82" i="5" s="1"/>
  <c r="C181" i="4"/>
  <c r="D178" i="4"/>
  <c r="B176" i="4"/>
  <c r="A90" i="5" s="1"/>
  <c r="D173" i="4"/>
  <c r="G170" i="4"/>
  <c r="B84" i="5" s="1"/>
  <c r="F168" i="4"/>
  <c r="B181" i="4"/>
  <c r="B178" i="4"/>
  <c r="E175" i="4"/>
  <c r="C173" i="4"/>
  <c r="F170" i="4"/>
  <c r="E168" i="4"/>
  <c r="G182" i="4"/>
  <c r="B180" i="4"/>
  <c r="E177" i="4"/>
  <c r="G174" i="4"/>
  <c r="B88" i="5" s="1"/>
  <c r="E172" i="4"/>
  <c r="C170" i="4"/>
  <c r="G177" i="4"/>
  <c r="B91" i="5" s="1"/>
  <c r="B173" i="4"/>
  <c r="A87" i="5" s="1"/>
  <c r="D170" i="4"/>
  <c r="C180" i="4"/>
  <c r="D175" i="4"/>
  <c r="Q153" i="3"/>
  <c r="Q649" i="3"/>
  <c r="Q97" i="3"/>
  <c r="Q312" i="3"/>
  <c r="Q14" i="3"/>
  <c r="Q486" i="3"/>
  <c r="Q539" i="3"/>
  <c r="Q441" i="3"/>
  <c r="Q245" i="3"/>
  <c r="Q702" i="3"/>
  <c r="Q255" i="3"/>
  <c r="Q707" i="3"/>
  <c r="Q496" i="3"/>
  <c r="Q238" i="3"/>
  <c r="Q636" i="3"/>
  <c r="Q278" i="3"/>
  <c r="Q366" i="3"/>
  <c r="Q78" i="3"/>
  <c r="Q424" i="3"/>
  <c r="Q595" i="3"/>
  <c r="Q703" i="3"/>
  <c r="Q392" i="3"/>
  <c r="Q484" i="3"/>
  <c r="Q138" i="3"/>
  <c r="Q454" i="3"/>
  <c r="Q218" i="3"/>
  <c r="Q523" i="3"/>
  <c r="Q352" i="3"/>
  <c r="Q662" i="3"/>
  <c r="F199" i="4"/>
  <c r="D198" i="4"/>
  <c r="B197" i="4"/>
  <c r="F195" i="4"/>
  <c r="D194" i="4"/>
  <c r="B193" i="4"/>
  <c r="A99" i="5" s="1"/>
  <c r="F191" i="4"/>
  <c r="D190" i="4"/>
  <c r="B189" i="4"/>
  <c r="A95" i="5" s="1"/>
  <c r="F187" i="4"/>
  <c r="D186" i="4"/>
  <c r="D200" i="4"/>
  <c r="G198" i="4"/>
  <c r="D197" i="4"/>
  <c r="G195" i="4"/>
  <c r="B101" i="5" s="1"/>
  <c r="C194" i="4"/>
  <c r="F192" i="4"/>
  <c r="C191" i="4"/>
  <c r="F189" i="4"/>
  <c r="C188" i="4"/>
  <c r="F186" i="4"/>
  <c r="D199" i="4"/>
  <c r="F197" i="4"/>
  <c r="B196" i="4"/>
  <c r="B194" i="4"/>
  <c r="A100" i="5" s="1"/>
  <c r="D192" i="4"/>
  <c r="F190" i="4"/>
  <c r="G188" i="4"/>
  <c r="B94" i="5" s="1"/>
  <c r="C187" i="4"/>
  <c r="G200" i="4"/>
  <c r="C199" i="4"/>
  <c r="E197" i="4"/>
  <c r="E195" i="4"/>
  <c r="G193" i="4"/>
  <c r="B99" i="5" s="1"/>
  <c r="C192" i="4"/>
  <c r="E190" i="4"/>
  <c r="F188" i="4"/>
  <c r="B187" i="4"/>
  <c r="A93" i="5" s="1"/>
  <c r="C200" i="4"/>
  <c r="E198" i="4"/>
  <c r="F196" i="4"/>
  <c r="B195" i="4"/>
  <c r="A101" i="5" s="1"/>
  <c r="D193" i="4"/>
  <c r="E191" i="4"/>
  <c r="G189" i="4"/>
  <c r="B95" i="5" s="1"/>
  <c r="B188" i="4"/>
  <c r="A94" i="5" s="1"/>
  <c r="C186" i="4"/>
  <c r="E199" i="4"/>
  <c r="E196" i="4"/>
  <c r="F193" i="4"/>
  <c r="B191" i="4"/>
  <c r="A97" i="5" s="1"/>
  <c r="D188" i="4"/>
  <c r="B199" i="4"/>
  <c r="D196" i="4"/>
  <c r="E193" i="4"/>
  <c r="G190" i="4"/>
  <c r="B96" i="5" s="1"/>
  <c r="G187" i="4"/>
  <c r="B93" i="5" s="1"/>
  <c r="F198" i="4"/>
  <c r="C196" i="4"/>
  <c r="C193" i="4"/>
  <c r="C190" i="4"/>
  <c r="E187" i="4"/>
  <c r="C198" i="4"/>
  <c r="D195" i="4"/>
  <c r="G192" i="4"/>
  <c r="B98" i="5" s="1"/>
  <c r="B190" i="4"/>
  <c r="A96" i="5" s="1"/>
  <c r="D187" i="4"/>
  <c r="F200" i="4"/>
  <c r="B198" i="4"/>
  <c r="C195" i="4"/>
  <c r="E192" i="4"/>
  <c r="E189" i="4"/>
  <c r="G186" i="4"/>
  <c r="B92" i="5" s="1"/>
  <c r="E200" i="4"/>
  <c r="G197" i="4"/>
  <c r="G194" i="4"/>
  <c r="B100" i="5" s="1"/>
  <c r="B192" i="4"/>
  <c r="A98" i="5" s="1"/>
  <c r="D189" i="4"/>
  <c r="E186" i="4"/>
  <c r="G199" i="4"/>
  <c r="G196" i="4"/>
  <c r="E194" i="4"/>
  <c r="D191" i="4"/>
  <c r="E188" i="4"/>
  <c r="C197" i="4"/>
  <c r="F194" i="4"/>
  <c r="G191" i="4"/>
  <c r="B97" i="5" s="1"/>
  <c r="C189" i="4"/>
  <c r="B200" i="4"/>
  <c r="B186" i="4"/>
  <c r="A92" i="5" s="1"/>
  <c r="Q119" i="3"/>
  <c r="Q229" i="3"/>
  <c r="Q232" i="3"/>
  <c r="Q319" i="3"/>
  <c r="Q521" i="3"/>
  <c r="Q405" i="3"/>
  <c r="D146" i="4"/>
  <c r="B145" i="4"/>
  <c r="F143" i="4"/>
  <c r="D142" i="4"/>
  <c r="B141" i="4"/>
  <c r="F139" i="4"/>
  <c r="D138" i="4"/>
  <c r="B137" i="4"/>
  <c r="F135" i="4"/>
  <c r="D134" i="4"/>
  <c r="B133" i="4"/>
  <c r="E145" i="4"/>
  <c r="B144" i="4"/>
  <c r="E142" i="4"/>
  <c r="G140" i="4"/>
  <c r="D139" i="4"/>
  <c r="G137" i="4"/>
  <c r="D136" i="4"/>
  <c r="G134" i="4"/>
  <c r="D133" i="4"/>
  <c r="G146" i="4"/>
  <c r="D145" i="4"/>
  <c r="G143" i="4"/>
  <c r="C142" i="4"/>
  <c r="C146" i="4"/>
  <c r="F144" i="4"/>
  <c r="C143" i="4"/>
  <c r="F141" i="4"/>
  <c r="C140" i="4"/>
  <c r="F138" i="4"/>
  <c r="C137" i="4"/>
  <c r="E135" i="4"/>
  <c r="B134" i="4"/>
  <c r="E132" i="4"/>
  <c r="F146" i="4"/>
  <c r="D144" i="4"/>
  <c r="G141" i="4"/>
  <c r="G139" i="4"/>
  <c r="F137" i="4"/>
  <c r="G135" i="4"/>
  <c r="F133" i="4"/>
  <c r="E146" i="4"/>
  <c r="C144" i="4"/>
  <c r="E141" i="4"/>
  <c r="E139" i="4"/>
  <c r="E137" i="4"/>
  <c r="D135" i="4"/>
  <c r="E133" i="4"/>
  <c r="B146" i="4"/>
  <c r="E143" i="4"/>
  <c r="D141" i="4"/>
  <c r="C139" i="4"/>
  <c r="D137" i="4"/>
  <c r="C135" i="4"/>
  <c r="C133" i="4"/>
  <c r="G145" i="4"/>
  <c r="D143" i="4"/>
  <c r="C141" i="4"/>
  <c r="B139" i="4"/>
  <c r="G136" i="4"/>
  <c r="B135" i="4"/>
  <c r="G132" i="4"/>
  <c r="F145" i="4"/>
  <c r="B143" i="4"/>
  <c r="F140" i="4"/>
  <c r="G138" i="4"/>
  <c r="F136" i="4"/>
  <c r="F134" i="4"/>
  <c r="F132" i="4"/>
  <c r="C145" i="4"/>
  <c r="G142" i="4"/>
  <c r="E140" i="4"/>
  <c r="E138" i="4"/>
  <c r="E136" i="4"/>
  <c r="E134" i="4"/>
  <c r="D132" i="4"/>
  <c r="E144" i="4"/>
  <c r="B142" i="4"/>
  <c r="B140" i="4"/>
  <c r="B138" i="4"/>
  <c r="B136" i="4"/>
  <c r="G133" i="4"/>
  <c r="B132" i="4"/>
  <c r="C134" i="4"/>
  <c r="G144" i="4"/>
  <c r="F142" i="4"/>
  <c r="D140" i="4"/>
  <c r="C136" i="4"/>
  <c r="C138" i="4"/>
  <c r="C132" i="4"/>
  <c r="Q436" i="3"/>
  <c r="Q442" i="3"/>
  <c r="Q682" i="3"/>
  <c r="Q67" i="3"/>
  <c r="Q101" i="3"/>
  <c r="Q222" i="3"/>
  <c r="Q514" i="3"/>
  <c r="Q296" i="3"/>
  <c r="Q125" i="3"/>
  <c r="Q225" i="3"/>
  <c r="Q99" i="3"/>
  <c r="Q306" i="3"/>
  <c r="Q280" i="3"/>
  <c r="Q369" i="3"/>
  <c r="Q321" i="3"/>
  <c r="Q52" i="3"/>
  <c r="Q527" i="3"/>
  <c r="Q367" i="3"/>
  <c r="Q195" i="3"/>
  <c r="Q137" i="3"/>
  <c r="Q234" i="3"/>
  <c r="Q267" i="3"/>
  <c r="Q407" i="3"/>
  <c r="Q291" i="3"/>
  <c r="Q176" i="3"/>
  <c r="Q577" i="3"/>
  <c r="Q607" i="3"/>
  <c r="Q172" i="3"/>
  <c r="Q690" i="3"/>
  <c r="Q383" i="3"/>
  <c r="Q568" i="3"/>
  <c r="Q566" i="3"/>
  <c r="Q316" i="3"/>
  <c r="Q105" i="3"/>
  <c r="Q112" i="3"/>
  <c r="Q459" i="3"/>
  <c r="Q353" i="3"/>
  <c r="Q82" i="3"/>
  <c r="Q615" i="3"/>
  <c r="Q680" i="3"/>
  <c r="Q94" i="3"/>
  <c r="Q389" i="3"/>
  <c r="Q551" i="3"/>
  <c r="Q129" i="3"/>
  <c r="Q241" i="3"/>
  <c r="Q593" i="3"/>
  <c r="Q313" i="3"/>
  <c r="Q152" i="3"/>
  <c r="Q576" i="3"/>
  <c r="Q46" i="3"/>
  <c r="Q253" i="3"/>
  <c r="Q402" i="3"/>
  <c r="Q236" i="3"/>
  <c r="Q320" i="3"/>
  <c r="Q58" i="3"/>
  <c r="Q657" i="3"/>
  <c r="Q360" i="3"/>
  <c r="Q167" i="3"/>
  <c r="Q571" i="3"/>
  <c r="Q6" i="3"/>
  <c r="I9" i="5" s="1"/>
  <c r="Q616" i="3"/>
  <c r="Q329" i="3"/>
  <c r="Q358" i="3"/>
  <c r="Q107" i="3"/>
  <c r="Q252" i="3"/>
  <c r="Q709" i="3"/>
  <c r="Q240" i="3"/>
  <c r="Q190" i="3"/>
  <c r="Q487" i="3"/>
  <c r="Q343" i="3"/>
  <c r="Q181" i="3"/>
  <c r="Q302" i="3"/>
  <c r="Q180" i="3"/>
  <c r="Q493" i="3"/>
  <c r="Q391" i="3"/>
  <c r="Q547" i="3"/>
  <c r="Q626" i="3"/>
  <c r="Q603" i="3"/>
  <c r="Q590" i="3"/>
  <c r="Q449" i="3"/>
  <c r="Q104" i="3"/>
  <c r="Q345" i="3"/>
  <c r="Q719" i="3"/>
  <c r="Q318" i="3"/>
  <c r="Q642" i="3"/>
  <c r="Q464" i="3"/>
  <c r="Q672" i="3"/>
  <c r="Q265" i="3"/>
  <c r="Q364" i="3"/>
  <c r="Q91" i="3"/>
  <c r="Q281" i="3"/>
  <c r="Q475" i="3"/>
  <c r="Q121" i="3"/>
  <c r="Q297" i="3"/>
  <c r="Q359" i="3"/>
</calcChain>
</file>

<file path=xl/sharedStrings.xml><?xml version="1.0" encoding="utf-8"?>
<sst xmlns="http://schemas.openxmlformats.org/spreadsheetml/2006/main" count="11090" uniqueCount="3128">
  <si>
    <t>ticker</t>
  </si>
  <si>
    <t>name</t>
  </si>
  <si>
    <t>currency</t>
  </si>
  <si>
    <t>exchange</t>
  </si>
  <si>
    <t>industry</t>
  </si>
  <si>
    <t>logo</t>
  </si>
  <si>
    <t>weburl</t>
  </si>
  <si>
    <t>environment_grade</t>
  </si>
  <si>
    <t>environment_level</t>
  </si>
  <si>
    <t>social_grade</t>
  </si>
  <si>
    <t>social_level</t>
  </si>
  <si>
    <t>governance_grade</t>
  </si>
  <si>
    <t>governance_level</t>
  </si>
  <si>
    <t>environment_score</t>
  </si>
  <si>
    <t>social_score</t>
  </si>
  <si>
    <t>governance_score</t>
  </si>
  <si>
    <t>total_score</t>
  </si>
  <si>
    <t>last_processing_date</t>
  </si>
  <si>
    <t>total_grade</t>
  </si>
  <si>
    <t>total_level</t>
  </si>
  <si>
    <t>cik</t>
  </si>
  <si>
    <t>dis</t>
  </si>
  <si>
    <t>Walt Disney Co</t>
  </si>
  <si>
    <t>USD</t>
  </si>
  <si>
    <t>NEW YORK STOCK EXCHANGE, INC.</t>
  </si>
  <si>
    <t>Media</t>
  </si>
  <si>
    <t>https://static.finnhub.io/logo/ef50b4a2b263c847211b567a01edb702cae8b9ef46ca1f6856ca4432a70e9f52.png</t>
  </si>
  <si>
    <t>https://thewaltdisneycompany.com/</t>
  </si>
  <si>
    <t>A</t>
  </si>
  <si>
    <t>High</t>
  </si>
  <si>
    <t>BB</t>
  </si>
  <si>
    <t>Medium</t>
  </si>
  <si>
    <t>BBB</t>
  </si>
  <si>
    <t>gm</t>
  </si>
  <si>
    <t>General Motors Co</t>
  </si>
  <si>
    <t>Automobiles</t>
  </si>
  <si>
    <t>https://static.finnhub.io/logo/9253db78-80c9-11ea-920d-00000000092a.png</t>
  </si>
  <si>
    <t>https://www.gm.com/</t>
  </si>
  <si>
    <t>B</t>
  </si>
  <si>
    <t>gww</t>
  </si>
  <si>
    <t>WW Grainger Inc</t>
  </si>
  <si>
    <t>Trading Companies and Distributors</t>
  </si>
  <si>
    <t>https://static.finnhub.io/logo/f153dcda-80eb-11ea-bc2e-00000000092a.png</t>
  </si>
  <si>
    <t>https://www.grainger.com/</t>
  </si>
  <si>
    <t>mhk</t>
  </si>
  <si>
    <t>Mohawk Industries Inc</t>
  </si>
  <si>
    <t>Consumer products</t>
  </si>
  <si>
    <t>https://static.finnhub.io/logo/26868a62-80ec-11ea-9712-00000000092a.png</t>
  </si>
  <si>
    <t>https://mohawkind.com/</t>
  </si>
  <si>
    <t>lyv</t>
  </si>
  <si>
    <t>Live Nation Entertainment Inc</t>
  </si>
  <si>
    <t>https://static.finnhub.io/logo/1cd144d2-80ec-11ea-b50a-00000000092a.png</t>
  </si>
  <si>
    <t>https://www.livenationentertainment.com/</t>
  </si>
  <si>
    <t>lvs</t>
  </si>
  <si>
    <t>Las Vegas Sands Corp</t>
  </si>
  <si>
    <t>Hotels Restaurants and Leisure</t>
  </si>
  <si>
    <t>https://static.finnhub.io/logo/7256a9be-8279-11ea-874d-00000000092a.png</t>
  </si>
  <si>
    <t>https://www.sands.com/</t>
  </si>
  <si>
    <t>clx</t>
  </si>
  <si>
    <t>Clorox Co</t>
  </si>
  <si>
    <t>https://static.finnhub.io/logo/a67c34fe-80eb-11ea-a87f-00000000092a.png</t>
  </si>
  <si>
    <t>https://www.thecloroxcompany.com/</t>
  </si>
  <si>
    <t>aacg</t>
  </si>
  <si>
    <t>ATA Creativity Global</t>
  </si>
  <si>
    <t>CNY</t>
  </si>
  <si>
    <t>NASDAQ NMS - GLOBAL MARKET</t>
  </si>
  <si>
    <t>Diversified Consumer Services</t>
  </si>
  <si>
    <t>https://static2.finnhub.io/file/publicdatany/finnhubimage/stock_logo/AACG.svg</t>
  </si>
  <si>
    <t>http://www.ata.net.cn</t>
  </si>
  <si>
    <t>aal</t>
  </si>
  <si>
    <t>American Airlines Group Inc</t>
  </si>
  <si>
    <t>Airlines</t>
  </si>
  <si>
    <t>https://static2.finnhub.io/file/publicdatany/finnhubimage/stock_logo/AAL.png</t>
  </si>
  <si>
    <t>https://americanairlines.gcs-web.com/</t>
  </si>
  <si>
    <t>aame</t>
  </si>
  <si>
    <t>Atlantic American Corp</t>
  </si>
  <si>
    <t>Insurance</t>
  </si>
  <si>
    <t>https://static.finnhub.io/logo/6b536b3e-826a-11ea-bc66-00000000092a.png</t>
  </si>
  <si>
    <t>http://www.atlam.com/</t>
  </si>
  <si>
    <t>aaoi</t>
  </si>
  <si>
    <t>Applied Optoelectronics Inc</t>
  </si>
  <si>
    <t>Communications</t>
  </si>
  <si>
    <t>https://static.finnhub.io/logo/7afdb95a-80ce-11ea-849c-00000000092a.png</t>
  </si>
  <si>
    <t>http://ao-inc.com/</t>
  </si>
  <si>
    <t>aaon</t>
  </si>
  <si>
    <t>Aaon Inc</t>
  </si>
  <si>
    <t>Building</t>
  </si>
  <si>
    <t>https://static.finnhub.io/logo/8819421c-80df-11ea-80b9-00000000092a.png</t>
  </si>
  <si>
    <t>https://www.aaon.com/</t>
  </si>
  <si>
    <t>aapl</t>
  </si>
  <si>
    <t>Apple Inc</t>
  </si>
  <si>
    <t>Technology</t>
  </si>
  <si>
    <t>https://static.finnhub.io/logo/87cb30d8-80df-11ea-8951-00000000092a.png</t>
  </si>
  <si>
    <t>https://www.apple.com/</t>
  </si>
  <si>
    <t>aatc</t>
  </si>
  <si>
    <t>Autoscope Technologies Corp</t>
  </si>
  <si>
    <t>Electrical Equipment</t>
  </si>
  <si>
    <t>aaww</t>
  </si>
  <si>
    <t>Atlas Air Worldwide Holdings Inc</t>
  </si>
  <si>
    <t>Logistics and Transportation</t>
  </si>
  <si>
    <t>https://static.finnhub.io/logo/8b74bf8a-80df-11ea-8463-00000000092a.png</t>
  </si>
  <si>
    <t>https://www.atlasairworldwide.com/</t>
  </si>
  <si>
    <t>aaci</t>
  </si>
  <si>
    <t>Armada Acquisition Corp I</t>
  </si>
  <si>
    <t>N/A</t>
  </si>
  <si>
    <t>aadi</t>
  </si>
  <si>
    <t>Aadi Bioscience Inc</t>
  </si>
  <si>
    <t>Biotechnology</t>
  </si>
  <si>
    <t>https://static.finnhub.io/logo/358b0921e9d761a529cffa812e99b140f4bb9c2e1e63bfeee3a4ea7165257e7b.png</t>
  </si>
  <si>
    <t>https://aadibio.com/</t>
  </si>
  <si>
    <t>abeo</t>
  </si>
  <si>
    <t>Abeona Therapeutics Inc</t>
  </si>
  <si>
    <t>https://static.finnhub.io/logo/33b2a5a8-80d1-11ea-8de8-00000000092a.png</t>
  </si>
  <si>
    <t>https://abeonatherapeutics.com/</t>
  </si>
  <si>
    <t>abnb</t>
  </si>
  <si>
    <t>Airbnb Inc</t>
  </si>
  <si>
    <t>https://static2.finnhub.io/file/publicdatany/finnhubimage/stock_logo/ABNB.png</t>
  </si>
  <si>
    <t>https://www.airbnb.co.in/</t>
  </si>
  <si>
    <t>abio</t>
  </si>
  <si>
    <t>ARCA Biopharma Inc</t>
  </si>
  <si>
    <t>https://static.finnhub.io/logo/52ec4c2e0c249a506cbce41ef284e287901cccb0a08db285aa9a9d4091ba8434.png</t>
  </si>
  <si>
    <t>http://arcabio.com/</t>
  </si>
  <si>
    <t>abmd</t>
  </si>
  <si>
    <t>ABIOMED Inc</t>
  </si>
  <si>
    <t>Health Care</t>
  </si>
  <si>
    <t>https://static.finnhub.io/logo/8b2cc7cc-80df-11ea-b8c7-00000000092a.png</t>
  </si>
  <si>
    <t>https://www.abiomed.com/</t>
  </si>
  <si>
    <t>abos</t>
  </si>
  <si>
    <t>Acumen Pharmaceuticals Inc</t>
  </si>
  <si>
    <t>https://static.finnhub.io/logo/f1081a3d8031ad222b050bbbcfef7a073cea50638ad028f1fd31c5ca934f3820.png</t>
  </si>
  <si>
    <t>https://acumenpharm.com/</t>
  </si>
  <si>
    <t>absi</t>
  </si>
  <si>
    <t>Absci Corp</t>
  </si>
  <si>
    <t>Life Sciences Tools and Services</t>
  </si>
  <si>
    <t>https://static.finnhub.io/logo/d030f309b5a348085ba6297eadf507c1d7410dbf605e6147f34eec997f6f073f.png</t>
  </si>
  <si>
    <t>https://www.absci.com/</t>
  </si>
  <si>
    <t>abtx</t>
  </si>
  <si>
    <t>Allegiance Bancshares Inc</t>
  </si>
  <si>
    <t>Banking</t>
  </si>
  <si>
    <t>https://static.finnhub.io/logo/b34c7c52-80d2-11ea-8e19-00000000092a.png</t>
  </si>
  <si>
    <t>https://ir.allegiancebank.com/</t>
  </si>
  <si>
    <t>abus</t>
  </si>
  <si>
    <t>Arbutus Biopharma Corp</t>
  </si>
  <si>
    <t>https://static.finnhub.io/logo/0068df02-80ca-11ea-abb6-00000000092a.png</t>
  </si>
  <si>
    <t>https://www.arbutusbio.com/</t>
  </si>
  <si>
    <t>abvc</t>
  </si>
  <si>
    <t>ABVC Biopharma Inc</t>
  </si>
  <si>
    <t>https://static.finnhub.io/logo/2b1c9fbcfafa70dcfa10247ad6ebe12858ca5878a4c90e32840a2080a507eb3d.png</t>
  </si>
  <si>
    <t>https://abvcpharma.com/</t>
  </si>
  <si>
    <t>acad</t>
  </si>
  <si>
    <t>ACADIA Pharmaceuticals Inc</t>
  </si>
  <si>
    <t>https://static.finnhub.io/logo/2d87da57d47f7a5c0225c54f67d806d3a906cec1ea63d739dad084772cf5079c.png</t>
  </si>
  <si>
    <t>https://acadia.com/</t>
  </si>
  <si>
    <t>acac</t>
  </si>
  <si>
    <t>Acri Capital Acquisition Corp</t>
  </si>
  <si>
    <t>accd</t>
  </si>
  <si>
    <t>Accolade Inc</t>
  </si>
  <si>
    <t>https://static.finnhub.io/logo/a967c80c75f9c72bb31fd3ae796a0a4e1e0dec7378ade4f78c06f10d89acf8bf.png</t>
  </si>
  <si>
    <t>https://www.accolade.com</t>
  </si>
  <si>
    <t>acet</t>
  </si>
  <si>
    <t>Adicet Bio Inc</t>
  </si>
  <si>
    <t>https://static.finnhub.io/logo/ea701be36180b02128c519975a35fcca2ef8ef5cd412e65e7ff39eb054703270.png</t>
  </si>
  <si>
    <t>https://www.adicetbio.com/</t>
  </si>
  <si>
    <t>abcl</t>
  </si>
  <si>
    <t>Abcellera Biologics Inc</t>
  </si>
  <si>
    <t>https://static.finnhub.io/logo/cd950365b552eae0cadf348f427e5a4dd05974468d5803b8b63e44da362a5ee9.png</t>
  </si>
  <si>
    <t>https://www.abcellera.com/</t>
  </si>
  <si>
    <t>abcb</t>
  </si>
  <si>
    <t>Ameris Bancorp</t>
  </si>
  <si>
    <t>https://static.finnhub.io/logo/8cea9450-80df-11ea-80b8-00000000092a.png</t>
  </si>
  <si>
    <t>https://www.amerisbank.com/</t>
  </si>
  <si>
    <t>acev</t>
  </si>
  <si>
    <t>ACE Convergence Acquisition Corp</t>
  </si>
  <si>
    <t>https://static.finnhub.io/logo/d86f14d77a3f95acbb00c602a4e2d735df7f2d3cfd22be9263a22876630ae65d.png</t>
  </si>
  <si>
    <t>http://acev.io/home/</t>
  </si>
  <si>
    <t>achl</t>
  </si>
  <si>
    <t>Achilles Therapeutics PLC</t>
  </si>
  <si>
    <t>https://static.finnhub.io/logo/6147e0afabb6d97c0483d7921c255166e49adccf043d5bf956068f9c4c546cae.png</t>
  </si>
  <si>
    <t>https://www.achillestx.com/</t>
  </si>
  <si>
    <t>achc</t>
  </si>
  <si>
    <t>Acadia Healthcare Company Inc</t>
  </si>
  <si>
    <t>https://static.finnhub.io/logo/4b6b2e5a4cfce5b1377719219ab5a354a629c9b9fb43067b5993423152fef1fb.png</t>
  </si>
  <si>
    <t>https://www.acadiahealthcare.com/</t>
  </si>
  <si>
    <t>aciw</t>
  </si>
  <si>
    <t>ACI Worldwide Inc</t>
  </si>
  <si>
    <t>https://static.finnhub.io/logo/875c5a76-80df-11ea-ab99-00000000092a.png</t>
  </si>
  <si>
    <t>https://www.aciworldwide.com/</t>
  </si>
  <si>
    <t>acls</t>
  </si>
  <si>
    <t>Axcelis Technologies Inc</t>
  </si>
  <si>
    <t>Semiconductors</t>
  </si>
  <si>
    <t>https://static.finnhub.io/logo/88b5f730-80df-11ea-94d0-00000000092a.png</t>
  </si>
  <si>
    <t>https://www.axcelis.com/</t>
  </si>
  <si>
    <t>aciu</t>
  </si>
  <si>
    <t>AC Immune SA</t>
  </si>
  <si>
    <t>CHF</t>
  </si>
  <si>
    <t>https://static.finnhub.io/logo/f93a1c3e-80db-11ea-a2b4-00000000092a.png</t>
  </si>
  <si>
    <t>https://www.acimmune.com/</t>
  </si>
  <si>
    <t>achv</t>
  </si>
  <si>
    <t>Achieve Life Sciences Inc</t>
  </si>
  <si>
    <t>https://static.finnhub.io/logo/bf32de26-80e0-11ea-962e-00000000092a.png</t>
  </si>
  <si>
    <t>http://achievelifesciences.com/</t>
  </si>
  <si>
    <t>acmr</t>
  </si>
  <si>
    <t>ACM Research Inc</t>
  </si>
  <si>
    <t>https://static.finnhub.io/logo/bd3e9ce4b1a48aa839d6a0ff155fc165309d14773a651b8fb39fe880212870b2.png</t>
  </si>
  <si>
    <t>https://www.acmrcsh.com/</t>
  </si>
  <si>
    <t>acor</t>
  </si>
  <si>
    <t>Acorda Therapeutics Inc</t>
  </si>
  <si>
    <t>https://static.finnhub.io/logo/8d3dceec-80df-11ea-98bc-00000000092a.png</t>
  </si>
  <si>
    <t>http://www.acorda.com/</t>
  </si>
  <si>
    <t>acnb</t>
  </si>
  <si>
    <t>ACNB Corp</t>
  </si>
  <si>
    <t>https://static.finnhub.io/logo/fa34ff3a5a42ae240b90281cb94d9f9dc73fe2b24a600c551b6d7f0e200dd0e8.png</t>
  </si>
  <si>
    <t>https://www.acnb.com/</t>
  </si>
  <si>
    <t>acrs</t>
  </si>
  <si>
    <t>Aclaris Therapeutics Inc</t>
  </si>
  <si>
    <t>Pharmaceuticals</t>
  </si>
  <si>
    <t>https://static.finnhub.io/logo/a0e2bf10-80d2-11ea-bde8-00000000092a.png</t>
  </si>
  <si>
    <t>https://www.aclaristx.com/</t>
  </si>
  <si>
    <t>acrx</t>
  </si>
  <si>
    <t>AcelRx Pharmaceuticals Inc</t>
  </si>
  <si>
    <t>https://static.finnhub.io/logo/04b72c22-80ca-11ea-a317-00000000092a.png</t>
  </si>
  <si>
    <t>http://www.acelrx.com</t>
  </si>
  <si>
    <t>act</t>
  </si>
  <si>
    <t>Enact Holdings Inc</t>
  </si>
  <si>
    <t>Financial Services</t>
  </si>
  <si>
    <t>https://static4.finnhub.io/file/publicdatany2/stock_logo/ACT_5038081287.png</t>
  </si>
  <si>
    <t>https://enactmi.com/</t>
  </si>
  <si>
    <t>actg</t>
  </si>
  <si>
    <t>Acacia Research Corp</t>
  </si>
  <si>
    <t>https://static.finnhub.io/logo/9a284398-80df-11ea-8a34-00000000092a.png</t>
  </si>
  <si>
    <t>http://acaciaresearch.com/</t>
  </si>
  <si>
    <t>acva</t>
  </si>
  <si>
    <t>ACV Auctions Inc</t>
  </si>
  <si>
    <t>Commercial Services and Supplies</t>
  </si>
  <si>
    <t>https://static.finnhub.io/logo/d1e18ee9f9b952b21566aa5cf9af8ffba761e9085e9de40fbe30fa6b65b8d785.png</t>
  </si>
  <si>
    <t>https://www.acvauctions.com/</t>
  </si>
  <si>
    <t>adag</t>
  </si>
  <si>
    <t>Adagene Inc</t>
  </si>
  <si>
    <t>https://static.finnhub.io/logo/5dc6728a7d01cd93139ce716cce8147be340b68b00025bc3471e9350c8487792.png</t>
  </si>
  <si>
    <t>https://www.adagene.com/</t>
  </si>
  <si>
    <t>acxp</t>
  </si>
  <si>
    <t>Acurx Pharmaceuticals Inc</t>
  </si>
  <si>
    <t>https://static.finnhub.io/logo/dae37e820f89b2050d5105bea48bf5d491196bc6ef42b3249f3bf29ca14589ca.png</t>
  </si>
  <si>
    <t>https://www.acurxpharma.com/</t>
  </si>
  <si>
    <t>adbe</t>
  </si>
  <si>
    <t>Adobe Inc</t>
  </si>
  <si>
    <t>https://static.finnhub.io/logo/9b4b19c2-80df-11ea-becf-00000000092a.png</t>
  </si>
  <si>
    <t>https://www.adobe.com/</t>
  </si>
  <si>
    <t>adap</t>
  </si>
  <si>
    <t>Adaptimmune Therapeutics PLC</t>
  </si>
  <si>
    <t>https://static.finnhub.io/logo/c2ef9c38-80d1-11ea-b201-00000000092a.png</t>
  </si>
  <si>
    <t>https://www.adaptimmune.com/</t>
  </si>
  <si>
    <t>adma</t>
  </si>
  <si>
    <t>ADMA Biologics Inc</t>
  </si>
  <si>
    <t>https://static.finnhub.io/logo/cba1b436-80d0-11ea-bae6-00000000092a.png</t>
  </si>
  <si>
    <t>https://www.admabiologics.com/</t>
  </si>
  <si>
    <t>ades</t>
  </si>
  <si>
    <t>Advanced Emissions Solutions Inc</t>
  </si>
  <si>
    <t>Chemicals</t>
  </si>
  <si>
    <t>https://static.finnhub.io/logo/d0ea69a2118af9d978c84b2f19242e5a5f3275cf41c49498003f2ffb80911f23.png</t>
  </si>
  <si>
    <t>https://www.ada-cs.com/Home/default.aspx</t>
  </si>
  <si>
    <t>adi</t>
  </si>
  <si>
    <t>Analog Devices Inc</t>
  </si>
  <si>
    <t>https://static.finnhub.io/logo/638498fa-80eb-11ea-8d04-00000000092a.png</t>
  </si>
  <si>
    <t>https://www.analog.com/</t>
  </si>
  <si>
    <t>adil</t>
  </si>
  <si>
    <t>Adial Pharmaceuticals Inc</t>
  </si>
  <si>
    <t>https://static.finnhub.io/logo/e0366ab8-80da-11ea-9da8-00000000092a.png</t>
  </si>
  <si>
    <t>https://www.adialpharma.com/</t>
  </si>
  <si>
    <t>admp</t>
  </si>
  <si>
    <t>Adamis Pharmaceuticals Corp</t>
  </si>
  <si>
    <t>https://static.finnhub.io/logo/2653d72e-80cf-11ea-b9db-00000000092a.png</t>
  </si>
  <si>
    <t>http://www.adamispharmaceuticals.com/</t>
  </si>
  <si>
    <t>acer</t>
  </si>
  <si>
    <t>Acer Therapeutics Inc</t>
  </si>
  <si>
    <t>https://static.finnhub.io/logo/da0a6c40-80e0-11ea-81ae-00000000092a.png</t>
  </si>
  <si>
    <t>https://acertx.com/</t>
  </si>
  <si>
    <t>adoc</t>
  </si>
  <si>
    <t>Edoc Acquisition Corp</t>
  </si>
  <si>
    <t>adus</t>
  </si>
  <si>
    <t>Addus Homecare Corp</t>
  </si>
  <si>
    <t>https://static.finnhub.io/logo/20ba9a37b3127f14370410e76dcf5f2e7db9e068cc08f2da0e740aa7aaa6bf52.png</t>
  </si>
  <si>
    <t>https://addus.com/</t>
  </si>
  <si>
    <t>acgl</t>
  </si>
  <si>
    <t>Arch Capital Group Ltd</t>
  </si>
  <si>
    <t>https://static.finnhub.io/logo/8c4d69f6-80df-11ea-8233-00000000092a.png</t>
  </si>
  <si>
    <t>https://www.archgroup.com/</t>
  </si>
  <si>
    <t>adpt</t>
  </si>
  <si>
    <t>Adaptive Biotechnologies Corp</t>
  </si>
  <si>
    <t>https://static.finnhub.io/logo/49f91794-80da-11ea-be7a-00000000092a.png</t>
  </si>
  <si>
    <t>https://www.adaptivebiotech.com</t>
  </si>
  <si>
    <t>adsk</t>
  </si>
  <si>
    <t>Autodesk Inc</t>
  </si>
  <si>
    <t>https://static.finnhub.io/logo/99d251e4-80df-11ea-ad7f-00000000092a.png</t>
  </si>
  <si>
    <t>https://www.autodesk.com/</t>
  </si>
  <si>
    <t>adp</t>
  </si>
  <si>
    <t>Automatic Data Processing Inc</t>
  </si>
  <si>
    <t>https://static.finnhub.io/logo/987cc1f6-80df-11ea-96e8-00000000092a.png</t>
  </si>
  <si>
    <t>https://www.adp.com/</t>
  </si>
  <si>
    <t>adtx</t>
  </si>
  <si>
    <t>Aditxt Inc</t>
  </si>
  <si>
    <t>https://static.finnhub.io/logo/278ebd47277db15b770d06958e2e2b981b0f75047d9485ef7fd67eabe0c557f0.png</t>
  </si>
  <si>
    <t>https://aditxt.com/</t>
  </si>
  <si>
    <t>adv</t>
  </si>
  <si>
    <t>Advantage Solutions Inc</t>
  </si>
  <si>
    <t>https://static.finnhub.io/logo/4191147864cd494d9602ea7d462b368568307c389e3447f9d958e091675fc1b7.png</t>
  </si>
  <si>
    <t>https://advantagesolutions.net/</t>
  </si>
  <si>
    <t>advm</t>
  </si>
  <si>
    <t>Adverum Biotechnologies Inc</t>
  </si>
  <si>
    <t>https://static.finnhub.io/logo/2a8c64fe-80d0-11ea-9f54-00000000092a.png</t>
  </si>
  <si>
    <t>https://adverum.com/</t>
  </si>
  <si>
    <t>aehr</t>
  </si>
  <si>
    <t>Aehr Test Systems</t>
  </si>
  <si>
    <t>https://static.finnhub.io/logo/9a8fe21e-80df-11ea-8837-00000000092a.png</t>
  </si>
  <si>
    <t>https://www.aehr.com/</t>
  </si>
  <si>
    <t>aehl</t>
  </si>
  <si>
    <t>Antelope Enterprise Holdings Ltd</t>
  </si>
  <si>
    <t>https://static.finnhub.io/logo/9a75e4385b34c0cb39ac72f06791b387f2ee941735bc144041b63d26403c5301.png</t>
  </si>
  <si>
    <t>https://www.aehltd.com/</t>
  </si>
  <si>
    <t>aei</t>
  </si>
  <si>
    <t>Alset Ehome International Inc</t>
  </si>
  <si>
    <t>Real Estate</t>
  </si>
  <si>
    <t>https://static.finnhub.io/logo/98c8d7c249f43e2d9209af2a93fb646dc774a1a85a30840fc88e94859962870c.png</t>
  </si>
  <si>
    <t>http://www.hfenterp.com</t>
  </si>
  <si>
    <t>aeis</t>
  </si>
  <si>
    <t>Advanced Energy Industries Inc</t>
  </si>
  <si>
    <t>https://static.finnhub.io/logo/9ae27426-80df-11ea-a9fa-00000000092a.png</t>
  </si>
  <si>
    <t>https://www.advancedenergy.com/</t>
  </si>
  <si>
    <t>aep</t>
  </si>
  <si>
    <t>American Electric Power Company Inc</t>
  </si>
  <si>
    <t>Utilities</t>
  </si>
  <si>
    <t>https://static.finnhub.io/logo/65ca8abe-80eb-11ea-9cac-00000000092a.png</t>
  </si>
  <si>
    <t>https://www.aep.com/</t>
  </si>
  <si>
    <t>aemd</t>
  </si>
  <si>
    <t>Aethlon Medical Inc</t>
  </si>
  <si>
    <t>https://static.finnhub.io/logo/63fe5910-80d2-11ea-bdd5-00000000092a.png</t>
  </si>
  <si>
    <t>https://www.aethlonmedical.com/</t>
  </si>
  <si>
    <t>aese</t>
  </si>
  <si>
    <t>Allied Esports Entertainment Inc</t>
  </si>
  <si>
    <t>https://static.finnhub.io/logo/60068062-80db-11ea-826d-00000000092a.png</t>
  </si>
  <si>
    <t>https://ir.alliedesportsent.com/</t>
  </si>
  <si>
    <t>aeye</t>
  </si>
  <si>
    <t>AudioEye Inc</t>
  </si>
  <si>
    <t>https://static.finnhub.io/logo/d47b30ac-80da-11ea-acae-00000000092a.png</t>
  </si>
  <si>
    <t>https://www.audioeye.com/</t>
  </si>
  <si>
    <t>aeri</t>
  </si>
  <si>
    <t>Aerie Pharmaceuticals Inc</t>
  </si>
  <si>
    <t>https://static.finnhub.io/logo/c3eb1f5c-80ce-11ea-bebe-00000000092a.png</t>
  </si>
  <si>
    <t>https://aeriepharma.com/</t>
  </si>
  <si>
    <t>aey</t>
  </si>
  <si>
    <t>ADDvantage Technologies Group Inc</t>
  </si>
  <si>
    <t>https://static.finnhub.io/logo/d2abb4b87e579c2bb32357938df36ceafc9b5d1e999aee923ea9938b2acee94c.png</t>
  </si>
  <si>
    <t>http://www.addvantagetechnologies.com/</t>
  </si>
  <si>
    <t>afaq</t>
  </si>
  <si>
    <t>AF Acquisition Corp</t>
  </si>
  <si>
    <t>afmd</t>
  </si>
  <si>
    <t>Affimed NV</t>
  </si>
  <si>
    <t>EUR</t>
  </si>
  <si>
    <t>https://static.finnhub.io/logo/29cc761a-80d0-11ea-ab42-00000000092a.png</t>
  </si>
  <si>
    <t>https://www.affimed.com/</t>
  </si>
  <si>
    <t>afcg</t>
  </si>
  <si>
    <t>AFC Gamma Inc</t>
  </si>
  <si>
    <t>https://static.finnhub.io/logo/f0ef42fade24d578bbdf91be70ad822290a91ced952da4c22093df2e1c015b1b.png</t>
  </si>
  <si>
    <t>https://afcgamma.com/</t>
  </si>
  <si>
    <t>afbi</t>
  </si>
  <si>
    <t>Affinity Bancshares Inc</t>
  </si>
  <si>
    <t>https://communityfirstbancshares.q4ir.com/</t>
  </si>
  <si>
    <t>afrm</t>
  </si>
  <si>
    <t>Affirm Holdings Inc</t>
  </si>
  <si>
    <t>https://static2.finnhub.io/file/publicdatany/finnhubimage/stock_logo/AFRM.png</t>
  </si>
  <si>
    <t>https://www.affirm.com/</t>
  </si>
  <si>
    <t>afib</t>
  </si>
  <si>
    <t>Acutus Medical Inc</t>
  </si>
  <si>
    <t>https://static.finnhub.io/logo/352bd59a63f14910c54166ecc5aa8f67ac11b7d8828185bc023d5915d7cf0457.png</t>
  </si>
  <si>
    <t>http://www.acutusmedical.com/</t>
  </si>
  <si>
    <t>agen</t>
  </si>
  <si>
    <t>Agenus Inc</t>
  </si>
  <si>
    <t>https://static.finnhub.io/logo/9ccb30fe-80df-11ea-993b-00000000092a.png</t>
  </si>
  <si>
    <t>https://agenusbio.com/</t>
  </si>
  <si>
    <t>afya</t>
  </si>
  <si>
    <t>Afya Ltd</t>
  </si>
  <si>
    <t>BRL</t>
  </si>
  <si>
    <t>https://static.finnhub.io/logo/c57ab10fd72c2aa8b1db15524838647943d52bf5f5ad9be3c1f19d9c5c03a762.png</t>
  </si>
  <si>
    <t>https://www.afya.com.br/</t>
  </si>
  <si>
    <t>agfs</t>
  </si>
  <si>
    <t>AgroFresh Solutions Inc</t>
  </si>
  <si>
    <t>https://static.finnhub.io/logo/b57e8700-80cf-11ea-b35b-00000000092a.png</t>
  </si>
  <si>
    <t>https://www.agrofresh.com/</t>
  </si>
  <si>
    <t>agfy</t>
  </si>
  <si>
    <t>Agrify Corp</t>
  </si>
  <si>
    <t>Machinery</t>
  </si>
  <si>
    <t>https://static.finnhub.io/logo/aa5216aab348419b7fcfc5d9d79e4b271d486e16e75a4938dee5bd2343263eb9.png</t>
  </si>
  <si>
    <t>https://www.agrify.com/</t>
  </si>
  <si>
    <t>agil</t>
  </si>
  <si>
    <t>AgileThought Inc</t>
  </si>
  <si>
    <t>https://static.finnhub.io/logo/becb547f102d410d67137477f782925246bd6ca61915f634a3fa91063ff51d0c.png</t>
  </si>
  <si>
    <t>https://agilethought.com/</t>
  </si>
  <si>
    <t>agmh</t>
  </si>
  <si>
    <t>AGM Group Holdings Inc</t>
  </si>
  <si>
    <t>https://static.finnhub.io/logo/7f908b9c-80db-11ea-96c9-00000000092a.png</t>
  </si>
  <si>
    <t>http://www.agmprime.com/</t>
  </si>
  <si>
    <t>agio</t>
  </si>
  <si>
    <t>Agios Pharmaceuticals Inc</t>
  </si>
  <si>
    <t>https://static.finnhub.io/logo/4298fc14-80ce-11ea-ace7-00000000092a.png</t>
  </si>
  <si>
    <t>https://www.agios.com/</t>
  </si>
  <si>
    <t>agle</t>
  </si>
  <si>
    <t>Aeglea Bio Therapeutics Inc</t>
  </si>
  <si>
    <t>https://static.finnhub.io/logo/523351d2-80d2-11ea-b332-00000000092a.png</t>
  </si>
  <si>
    <t>https://www.aeglea.com/</t>
  </si>
  <si>
    <t>agnc</t>
  </si>
  <si>
    <t>AGNC Investment Corp</t>
  </si>
  <si>
    <t>https://static.finnhub.io/logo/2f35e91b0085245b224c9799c269249eec328a9687dcd6c3345b79a268802cb0.png</t>
  </si>
  <si>
    <t>https://agnc.com/</t>
  </si>
  <si>
    <t>agri</t>
  </si>
  <si>
    <t>AgriFORCE Growing Systems Ltd</t>
  </si>
  <si>
    <t>Food Products</t>
  </si>
  <si>
    <t>https://static.finnhub.io/logo/13b2627f534d45aba679196877fcbf2fe8af01324ddfa2aecc3dbba8c1132239.png</t>
  </si>
  <si>
    <t>https://agriforcegs.com/</t>
  </si>
  <si>
    <t>agrx</t>
  </si>
  <si>
    <t>Agile Therapeutics Inc</t>
  </si>
  <si>
    <t>https://static.finnhub.io/logo/ce934c88-80cf-11ea-8207-00000000092a.png</t>
  </si>
  <si>
    <t>https://www.agiletherapeutics.com/</t>
  </si>
  <si>
    <t>agys</t>
  </si>
  <si>
    <t>Agilysys Inc</t>
  </si>
  <si>
    <t>https://static.finnhub.io/logo/9f139b98-80df-11ea-bde1-00000000092a.png</t>
  </si>
  <si>
    <t>https://www.agilysys.com/</t>
  </si>
  <si>
    <t>agtc</t>
  </si>
  <si>
    <t>Applied Genetic Technologies Corp</t>
  </si>
  <si>
    <t>https://static.finnhub.io/logo/56431592-80cf-11ea-a718-00000000092a.png</t>
  </si>
  <si>
    <t>https://www.agtc.com/</t>
  </si>
  <si>
    <t>ahco</t>
  </si>
  <si>
    <t>Adapthealth Corp</t>
  </si>
  <si>
    <t>https://static.finnhub.io/logo/0d255d71bb558e608b96ab76dc546dbaef93419ed054817b132789da3b0c0350.png</t>
  </si>
  <si>
    <t>https://adapthealth.com/investor-relations/</t>
  </si>
  <si>
    <t>ahpi</t>
  </si>
  <si>
    <t>Allied Healthcare Products Inc</t>
  </si>
  <si>
    <t>https://static.finnhub.io/logo/a505c155a53bb84a0c27e5a919e287f856f4a255e509bc48f499f9f73b588069.png</t>
  </si>
  <si>
    <t>http://www.alliedhpi.com/</t>
  </si>
  <si>
    <t>aib</t>
  </si>
  <si>
    <t>AIB Acquisition Corp</t>
  </si>
  <si>
    <t>adtn</t>
  </si>
  <si>
    <t>ADTRAN Inc</t>
  </si>
  <si>
    <t>https://static.finnhub.io/logo/544d99910973b1d04b345cd611449e802ade0468588c1066ad0a5be905a80a84.png</t>
  </si>
  <si>
    <t>https://www.adtran.com/</t>
  </si>
  <si>
    <t>adn</t>
  </si>
  <si>
    <t>Advent Technologies Holdings Inc</t>
  </si>
  <si>
    <t>https://static.finnhub.io/logo/adca3c2e-80da-11ea-9ab0-00000000092a.png</t>
  </si>
  <si>
    <t>http://amciacquisition.com/</t>
  </si>
  <si>
    <t>aiki</t>
  </si>
  <si>
    <t>Aikido Pharma Inc</t>
  </si>
  <si>
    <t>https://static.finnhub.io/logo/b16fc664-80e0-11ea-9b8a-00000000092a.png</t>
  </si>
  <si>
    <t>https://aikidopharma.com/</t>
  </si>
  <si>
    <t>akic</t>
  </si>
  <si>
    <t>Sports Ventures Acquisition Corp</t>
  </si>
  <si>
    <t>aip</t>
  </si>
  <si>
    <t>Arteris Inc</t>
  </si>
  <si>
    <t>https://static.finnhub.io/logo/6429ccca605b3faa9498cbbc2727b1c4fb8e3c24e577855ff8bf45eeff7d21b2.png</t>
  </si>
  <si>
    <t>https://www.arteris.com/</t>
  </si>
  <si>
    <t>akro</t>
  </si>
  <si>
    <t>Akero Therapeutics Inc</t>
  </si>
  <si>
    <t>https://static.finnhub.io/logo/5ac79f50-80da-11ea-8fee-00000000092a.png</t>
  </si>
  <si>
    <t>https://www.akerotx.com/</t>
  </si>
  <si>
    <t>airt</t>
  </si>
  <si>
    <t>Air T Inc</t>
  </si>
  <si>
    <t>https://static.finnhub.io/logo/9e54807a-80df-11ea-9dbf-00000000092a.png</t>
  </si>
  <si>
    <t>http://www.airt.net/</t>
  </si>
  <si>
    <t>aimc</t>
  </si>
  <si>
    <t>Altra Industrial Motion Corp</t>
  </si>
  <si>
    <t>https://static.finnhub.io/logo/9da7f902-80df-11ea-b5a0-00000000092a.png</t>
  </si>
  <si>
    <t>https://www.altramotion.com/</t>
  </si>
  <si>
    <t>akba</t>
  </si>
  <si>
    <t>Akebia Therapeutics Inc</t>
  </si>
  <si>
    <t>https://static.finnhub.io/logo/7d6670f8-80cf-11ea-aab1-00000000092a.png</t>
  </si>
  <si>
    <t>https://akebia.com/</t>
  </si>
  <si>
    <t>airg</t>
  </si>
  <si>
    <t>Airgain Inc</t>
  </si>
  <si>
    <t>https://static.finnhub.io/logo/ff72eaca-80db-11ea-a64a-00000000092a.png</t>
  </si>
  <si>
    <t>http://www.airgain.com/</t>
  </si>
  <si>
    <t>airs</t>
  </si>
  <si>
    <t>Airsculpt Technologies Inc</t>
  </si>
  <si>
    <t>https://static.finnhub.io/logo/e5484b255e157a1ac5f11571a56a7a14e23cb71d6cf02440a54c447cae42e82a.png</t>
  </si>
  <si>
    <t>https://elitebodysculpture.com/</t>
  </si>
  <si>
    <t>akam</t>
  </si>
  <si>
    <t>Akamai Technologies Inc</t>
  </si>
  <si>
    <t>https://static.finnhub.io/logo/0982f80bff901e6c53bbeda92444bf52ccfe7fb4b559716e0e2bc14037d6ca3f.png</t>
  </si>
  <si>
    <t>https://www.akamai.com/</t>
  </si>
  <si>
    <t>aku</t>
  </si>
  <si>
    <t>Akumin Inc</t>
  </si>
  <si>
    <t>https://static.finnhub.io/logo/60c47c38-80db-11ea-aa7b-00000000092a.png</t>
  </si>
  <si>
    <t>https://www.akumin.com</t>
  </si>
  <si>
    <t>akus</t>
  </si>
  <si>
    <t>Akouos Inc</t>
  </si>
  <si>
    <t>https://static.finnhub.io/logo/a33692c919e7f03a35025ca5873e5f14ee8f53cd5bc190cd22d677f58ceaf538.png</t>
  </si>
  <si>
    <t>https://akouos.com/</t>
  </si>
  <si>
    <t>akts</t>
  </si>
  <si>
    <t>Akoustis Technologies Inc</t>
  </si>
  <si>
    <t>https://static.finnhub.io/logo/c87e2de6-80db-11ea-b469-00000000092a.png</t>
  </si>
  <si>
    <t>https://ir.akoustis.com/</t>
  </si>
  <si>
    <t>aktx</t>
  </si>
  <si>
    <t>Akari Therapeutics PLC</t>
  </si>
  <si>
    <t>https://static.finnhub.io/logo/6566bacc-80cf-11ea-a49e-00000000092a.png</t>
  </si>
  <si>
    <t>http://akaritx.com/</t>
  </si>
  <si>
    <t>albo</t>
  </si>
  <si>
    <t>Albireo Pharma Inc</t>
  </si>
  <si>
    <t>https://static.finnhub.io/logo/b888b486-80df-11ea-bc00-00000000092a.png</t>
  </si>
  <si>
    <t>https://albireopharma.com/</t>
  </si>
  <si>
    <t>akya</t>
  </si>
  <si>
    <t>Akoya Biosciences Inc</t>
  </si>
  <si>
    <t>https://static.finnhub.io/logo/ebaa6db90afb3fd57e3402e38731e2ac663ddb7015f44ae0c020a525a4e80832.png</t>
  </si>
  <si>
    <t>https://www.akoyabio.com/</t>
  </si>
  <si>
    <t>alco</t>
  </si>
  <si>
    <t>Alico Inc</t>
  </si>
  <si>
    <t>https://static.finnhub.io/logo/95b11e40-80df-11ea-8e03-00000000092a.png</t>
  </si>
  <si>
    <t>https://www.alicoinc.com/</t>
  </si>
  <si>
    <t>aldx</t>
  </si>
  <si>
    <t>Aldeyra Therapeutics Inc</t>
  </si>
  <si>
    <t>https://static.finnhub.io/logo/4b4f9dba-80cf-11ea-87c6-00000000092a.png</t>
  </si>
  <si>
    <t>https://www.aldeyra.com/</t>
  </si>
  <si>
    <t>alec</t>
  </si>
  <si>
    <t>Alector Inc</t>
  </si>
  <si>
    <t>https://static.finnhub.io/logo/871e51b8-80da-11ea-b167-00000000092a.png</t>
  </si>
  <si>
    <t>https://alector.com</t>
  </si>
  <si>
    <t>algm</t>
  </si>
  <si>
    <t>Allegro Microsystems Inc</t>
  </si>
  <si>
    <t>https://static.finnhub.io/logo/20eb4170e5f97f9a34699f366ad26aa5e0bcc1b90d5ba7ceca4d2ea325c798dc.png</t>
  </si>
  <si>
    <t>https://www.allegromicro.com/en</t>
  </si>
  <si>
    <t>alf</t>
  </si>
  <si>
    <t>Alfi Inc</t>
  </si>
  <si>
    <t>https://static.finnhub.io/logo/954cad65a4d7e526ef98b990ffa89eaef29832cb3309ee729758201a938bb326.png</t>
  </si>
  <si>
    <t>https://www.getalfi.com/</t>
  </si>
  <si>
    <t>algn</t>
  </si>
  <si>
    <t>Align Technology Inc</t>
  </si>
  <si>
    <t>https://static4.finnhub.io/file/publicdatany2/stock_logo/ALGN_4295900190.png</t>
  </si>
  <si>
    <t>https://www.aligntech.com/</t>
  </si>
  <si>
    <t>algs</t>
  </si>
  <si>
    <t>Aligos Therapeutics Inc</t>
  </si>
  <si>
    <t>https://static.finnhub.io/logo/6b5a2554225d2f95a883cfe8cf08836e3f393f6b9ba4ee3a8276ca38e48f43ae.png</t>
  </si>
  <si>
    <t>https://www.aligos.com/</t>
  </si>
  <si>
    <t>alhc</t>
  </si>
  <si>
    <t>Alignment Healthcare LLC</t>
  </si>
  <si>
    <t>https://static.finnhub.io/logo/de5dbbf80fc814b921a6c8c5dbf9419a4bf46742aaa0f34752661418ffaa4158.png</t>
  </si>
  <si>
    <t>https://www.alignmenthealthcare.com</t>
  </si>
  <si>
    <t>alks</t>
  </si>
  <si>
    <t>Alkermes Plc</t>
  </si>
  <si>
    <t>https://static.finnhub.io/logo/9187a488-80df-11ea-8157-00000000092a.png</t>
  </si>
  <si>
    <t>http://www.alkermes.com/</t>
  </si>
  <si>
    <t>alim</t>
  </si>
  <si>
    <t>Alimera Sciences Inc</t>
  </si>
  <si>
    <t>https://static.finnhub.io/logo/911aa6ee-8100-11ea-ae7f-00000000092a.png</t>
  </si>
  <si>
    <t>http://www.alimerasciences.com/</t>
  </si>
  <si>
    <t>algt</t>
  </si>
  <si>
    <t>Allegiant Travel Co</t>
  </si>
  <si>
    <t>https://static.finnhub.io/logo/8f1d001c-80df-11ea-9290-00000000092a.png</t>
  </si>
  <si>
    <t>https://www.allegiantair.com/</t>
  </si>
  <si>
    <t>aih</t>
  </si>
  <si>
    <t>Aesthetic Medical International Holdings Group Ltd</t>
  </si>
  <si>
    <t>https://static.finnhub.io/logo/697bd3e4-81d2-11ea-8587-00000000092a.png</t>
  </si>
  <si>
    <t>http://www.pengai.com.cn</t>
  </si>
  <si>
    <t>alkt</t>
  </si>
  <si>
    <t>Alkami Technology Inc</t>
  </si>
  <si>
    <t>https://static.finnhub.io/logo/4d26995d74a0ad752eb680076961f46e4e33333cf4615fa33aeb2e0789a1971e.png</t>
  </si>
  <si>
    <t>https://www.alkami.com/</t>
  </si>
  <si>
    <t>alny</t>
  </si>
  <si>
    <t>Alnylam Pharmaceuticals Inc</t>
  </si>
  <si>
    <t>https://static.finnhub.io/logo/f84d39ef1ff5def1044225ef2ea4a1ed1f2deca8bc5d338574d2991c88959b10.png</t>
  </si>
  <si>
    <t>https://www.alnylam.com/</t>
  </si>
  <si>
    <t>allt</t>
  </si>
  <si>
    <t>Allot Ltd</t>
  </si>
  <si>
    <t>https://static.finnhub.io/logo/9564945e-80df-11ea-9144-00000000092a.png</t>
  </si>
  <si>
    <t>https://www.allot.com</t>
  </si>
  <si>
    <t>allo</t>
  </si>
  <si>
    <t>Allogene Therapeutics Inc</t>
  </si>
  <si>
    <t>https://static.finnhub.io/logo/c257caf6-80da-11ea-8622-00000000092a.png</t>
  </si>
  <si>
    <t>https://allogene.com/</t>
  </si>
  <si>
    <t>amat</t>
  </si>
  <si>
    <t>Applied Materials Inc</t>
  </si>
  <si>
    <t>https://static.finnhub.io/logo/907771b0-80df-11ea-848b-00000000092a.png</t>
  </si>
  <si>
    <t>https://www.appliedmaterials.com/</t>
  </si>
  <si>
    <t>amd</t>
  </si>
  <si>
    <t>Advanced Micro Devices Inc</t>
  </si>
  <si>
    <t>https://static2.finnhub.io/file/publicdatany/finnhubimage/stock_logo/AMD_4295903297.jpeg</t>
  </si>
  <si>
    <t>https://www.amd.com/en</t>
  </si>
  <si>
    <t>atvi</t>
  </si>
  <si>
    <t>Activision Blizzard Inc</t>
  </si>
  <si>
    <t>https://static.finnhub.io/logo/74116cec-80fc-11ea-bc98-00000000092a.png</t>
  </si>
  <si>
    <t>https://www.activisionblizzard.com/</t>
  </si>
  <si>
    <t>avgo</t>
  </si>
  <si>
    <t>Broadcom Inc</t>
  </si>
  <si>
    <t>https://static.finnhub.io/logo/8ef67930-80d3-11ea-abb0-00000000092a.png</t>
  </si>
  <si>
    <t>https://www.broadcom.com</t>
  </si>
  <si>
    <t>anss</t>
  </si>
  <si>
    <t>ANSYS Inc</t>
  </si>
  <si>
    <t>https://static.finnhub.io/logo/6edb83c2-826a-11ea-9332-00000000092a.png</t>
  </si>
  <si>
    <t>https://www.ansys.com/</t>
  </si>
  <si>
    <t>amzn</t>
  </si>
  <si>
    <t>Amazon.com Inc</t>
  </si>
  <si>
    <t>Retail</t>
  </si>
  <si>
    <t>https://static.finnhub.io/logo/967bf7b0-80df-11ea-abb4-00000000092a.png</t>
  </si>
  <si>
    <t>https://www.amazon.com/</t>
  </si>
  <si>
    <t>AA</t>
  </si>
  <si>
    <t>Excellent</t>
  </si>
  <si>
    <t>aihs</t>
  </si>
  <si>
    <t>Senmiao Technology Ltd</t>
  </si>
  <si>
    <t>https://static.finnhub.io/logo/86ea906d08d7e5c73068d922de5ea0f69468758c41e6c219d1238ddb022b5193.png</t>
  </si>
  <si>
    <t>https://www.ihongsen.com</t>
  </si>
  <si>
    <t>apa</t>
  </si>
  <si>
    <t>APA Corp (US)</t>
  </si>
  <si>
    <t>Energy</t>
  </si>
  <si>
    <t>https://static2.finnhub.io/file/publicdatany/finnhubimage/stock_logo/5080022433.png</t>
  </si>
  <si>
    <t>https://apacorp.com/</t>
  </si>
  <si>
    <t>biib</t>
  </si>
  <si>
    <t>Biogen Inc</t>
  </si>
  <si>
    <t>https://static.finnhub.io/logo/4eb95aee-80e0-11ea-a580-00000000092a.png</t>
  </si>
  <si>
    <t>https://www.biogen.com/</t>
  </si>
  <si>
    <t>bkng</t>
  </si>
  <si>
    <t>Booking Holdings Inc</t>
  </si>
  <si>
    <t>https://static.finnhub.io/logo/a8fcd262-80e0-11ea-9907-00000000092a.png</t>
  </si>
  <si>
    <t>https://www.bookingholdings.com/</t>
  </si>
  <si>
    <t>cdns</t>
  </si>
  <si>
    <t>Cadence Design Systems Inc</t>
  </si>
  <si>
    <t>https://static.finnhub.io/logo/bbbf4280-80df-11ea-834e-00000000092a.png</t>
  </si>
  <si>
    <t>https://www.cadence.com/</t>
  </si>
  <si>
    <t>cdw</t>
  </si>
  <si>
    <t>CDW Corp</t>
  </si>
  <si>
    <t>https://static.finnhub.io/logo/4c3802e76baf7914df0324fcd9bfd1c05c835a803751266262cf9f14022ecf4c.png</t>
  </si>
  <si>
    <t>https://www.cdw.com/</t>
  </si>
  <si>
    <t>chrw</t>
  </si>
  <si>
    <t>CH Robinson Worldwide Inc</t>
  </si>
  <si>
    <t>https://static.finnhub.io/logo/390745f6-80e0-11ea-8529-00000000092a.png</t>
  </si>
  <si>
    <t>https://www.chrobinson.com/</t>
  </si>
  <si>
    <t>cinf</t>
  </si>
  <si>
    <t>Cincinnati Financial Corp</t>
  </si>
  <si>
    <t>https://static.finnhub.io/logo/78f04730-80e0-11ea-9b3b-00000000092a.png</t>
  </si>
  <si>
    <t>https://www.cinfin.com/</t>
  </si>
  <si>
    <t>chtr</t>
  </si>
  <si>
    <t>Charter Communications Inc</t>
  </si>
  <si>
    <t>https://static.finnhub.io/logo/ac65393a-80c9-11ea-a42d-00000000092a.png</t>
  </si>
  <si>
    <t>https://corporate.charter.com/</t>
  </si>
  <si>
    <t>cmcsa</t>
  </si>
  <si>
    <t>Comcast Corp</t>
  </si>
  <si>
    <t>https://static.finnhub.io/logo/9f50b602-826a-11ea-855c-00000000092a.png</t>
  </si>
  <si>
    <t>https://corporate.comcast.com/</t>
  </si>
  <si>
    <t>cprt</t>
  </si>
  <si>
    <t>Copart Inc</t>
  </si>
  <si>
    <t>https://static.finnhub.io/logo/c1ae2adc-80df-11ea-997f-00000000092a.png</t>
  </si>
  <si>
    <t>https://www.copart.com/</t>
  </si>
  <si>
    <t>cost</t>
  </si>
  <si>
    <t>Costco Wholesale Corp</t>
  </si>
  <si>
    <t>https://static2.finnhub.io/file/publicdatany/finnhubimage/stock_logo/COST_4295912987.png</t>
  </si>
  <si>
    <t>https://www.costco.com/</t>
  </si>
  <si>
    <t>csx</t>
  </si>
  <si>
    <t>CSX Corp</t>
  </si>
  <si>
    <t>Road and Rail</t>
  </si>
  <si>
    <t>https://static.finnhub.io/logo/b034979a-80eb-11ea-b0c3-00000000092a.png</t>
  </si>
  <si>
    <t>https://www.csx.com/</t>
  </si>
  <si>
    <t>ctsh</t>
  </si>
  <si>
    <t>Cognizant Technology Solutions Corp</t>
  </si>
  <si>
    <t>https://static.finnhub.io/logo/cad080be-80df-11ea-8b33-00000000092a.png</t>
  </si>
  <si>
    <t>https://www.cognizant.com/</t>
  </si>
  <si>
    <t>cme</t>
  </si>
  <si>
    <t>CME Group Inc</t>
  </si>
  <si>
    <t>https://static.finnhub.io/logo/121b709a86980d7eb8db8589918a76d3db9e4e428b05857011dbd8957fd059bf.png</t>
  </si>
  <si>
    <t>https://www.cmegroup.com/</t>
  </si>
  <si>
    <t>csco</t>
  </si>
  <si>
    <t>Cisco Systems Inc</t>
  </si>
  <si>
    <t>https://static.finnhub.io/logo/ca223cac-80df-11ea-a99c-00000000092a.png</t>
  </si>
  <si>
    <t>https://www.cisco.com/</t>
  </si>
  <si>
    <t>ctas</t>
  </si>
  <si>
    <t>Cintas Corp</t>
  </si>
  <si>
    <t>https://static.finnhub.io/logo/cb889e02-80df-11ea-80b6-00000000092a.png</t>
  </si>
  <si>
    <t>https://www.cintas.com/</t>
  </si>
  <si>
    <t>ctxs</t>
  </si>
  <si>
    <t>Citrix Systems Inc</t>
  </si>
  <si>
    <t>https://static.finnhub.io/logo/ceb2199a-80df-11ea-af9f-00000000092a.png</t>
  </si>
  <si>
    <t>https://www.citrix.com/</t>
  </si>
  <si>
    <t>czr</t>
  </si>
  <si>
    <t>Caesars Entertainment Inc</t>
  </si>
  <si>
    <t>https://static.finnhub.io/logo/45d618da-80cc-11ea-884e-00000000092a.png</t>
  </si>
  <si>
    <t>https://www.caesars.com/</t>
  </si>
  <si>
    <t>dish</t>
  </si>
  <si>
    <t>DISH Network Corp</t>
  </si>
  <si>
    <t>https://static.finnhub.io/logo/c9b0175c-80df-11ea-a0ec-00000000092a.png</t>
  </si>
  <si>
    <t>https://ir.dish.com/</t>
  </si>
  <si>
    <t>dltr</t>
  </si>
  <si>
    <t>Dollar Tree Inc</t>
  </si>
  <si>
    <t>https://static.finnhub.io/logo/d277a94a-80df-11ea-8f0a-00000000092a.png</t>
  </si>
  <si>
    <t>https://www.dollartree.com/</t>
  </si>
  <si>
    <t>dxcm</t>
  </si>
  <si>
    <t>Dexcom Inc</t>
  </si>
  <si>
    <t>https://static.finnhub.io/logo/fb3c517a-80df-11ea-a0a0-00000000092a.png</t>
  </si>
  <si>
    <t>https://www.dexcom.com/</t>
  </si>
  <si>
    <t>ea</t>
  </si>
  <si>
    <t>Electronic Arts Inc</t>
  </si>
  <si>
    <t>https://static.finnhub.io/logo/556815ac-80e0-11ea-bb14-00000000092a.png</t>
  </si>
  <si>
    <t>https://www.ea.com/</t>
  </si>
  <si>
    <t>lnt</t>
  </si>
  <si>
    <t>Alliant Energy Corp</t>
  </si>
  <si>
    <t>https://static.finnhub.io/logo/1981fcae-80ec-11ea-a4b8-00000000092a.png</t>
  </si>
  <si>
    <t>https://www.alliantenergy.com/</t>
  </si>
  <si>
    <t>fang</t>
  </si>
  <si>
    <t>Diamondback Energy Inc</t>
  </si>
  <si>
    <t>https://static.finnhub.io/logo/fe1ab98ccc6f7867a191970f03152cff56846b7811399704b9d4be280d895b5b.png</t>
  </si>
  <si>
    <t>https://ir.diamondbackenergy.com/</t>
  </si>
  <si>
    <t>ebay</t>
  </si>
  <si>
    <t>eBay Inc</t>
  </si>
  <si>
    <t>https://static.finnhub.io/logo/919a6270-826a-11ea-abe9-00000000092a.png</t>
  </si>
  <si>
    <t>https://www.ebayinc.com/</t>
  </si>
  <si>
    <t>lkq</t>
  </si>
  <si>
    <t>LKQ Corp</t>
  </si>
  <si>
    <t>Distributors</t>
  </si>
  <si>
    <t>https://static.finnhub.io/logo/0846719a1ab7311db60cef58b6985f4e9269ceb9eaf89e63efc354b2188280a1.png</t>
  </si>
  <si>
    <t>https://www.lkqcorp.com/</t>
  </si>
  <si>
    <t>googl</t>
  </si>
  <si>
    <t>Alphabet Inc</t>
  </si>
  <si>
    <t>https://static2.finnhub.io/file/publicdatany/finnhubimage/stock_logo/GOOGL.png</t>
  </si>
  <si>
    <t>https://abc.xyz/</t>
  </si>
  <si>
    <t>mar</t>
  </si>
  <si>
    <t>Marriott International Inc</t>
  </si>
  <si>
    <t>https://static.finnhub.io/logo/1f7dc93a-80ec-11ea-a5dc-00000000092a.png</t>
  </si>
  <si>
    <t>https://www.marriott.com/</t>
  </si>
  <si>
    <t>mchp</t>
  </si>
  <si>
    <t>Microchip Technology Inc</t>
  </si>
  <si>
    <t>https://static.finnhub.io/logo/35e836b8-80e0-11ea-855a-00000000092a.png</t>
  </si>
  <si>
    <t>https://www.microchip.com/</t>
  </si>
  <si>
    <t>lrcx</t>
  </si>
  <si>
    <t>Lam Research Corp</t>
  </si>
  <si>
    <t>https://static.finnhub.io/logo/b05d9f52-80e0-11ea-8823-00000000092a.png</t>
  </si>
  <si>
    <t>https://www.lamresearch.com/</t>
  </si>
  <si>
    <t>mdlz</t>
  </si>
  <si>
    <t>Mondelez International Inc</t>
  </si>
  <si>
    <t>https://static.finnhub.io/logo/10b5dc9a-80ec-11ea-897a-00000000092a.png</t>
  </si>
  <si>
    <t>https://www.mondelezinternational.com/</t>
  </si>
  <si>
    <t>meta</t>
  </si>
  <si>
    <t>Meta Platforms Inc</t>
  </si>
  <si>
    <t>https://static2.finnhub.io/file/publicdatany/finnhubimage/stock_logo/FB.png</t>
  </si>
  <si>
    <t>https://www.facebook.com</t>
  </si>
  <si>
    <t>mktx</t>
  </si>
  <si>
    <t>Marketaxess Holdings Inc</t>
  </si>
  <si>
    <t>https://static.finnhub.io/logo/4a309d80-80e1-11ea-8514-00000000092a.png</t>
  </si>
  <si>
    <t>https://www.marketaxess.com/</t>
  </si>
  <si>
    <t>mnst</t>
  </si>
  <si>
    <t>Monster Beverage Corp</t>
  </si>
  <si>
    <t>Beverages</t>
  </si>
  <si>
    <t>https://static.finnhub.io/logo/18126d0c-80e0-11ea-a414-00000000092a.png</t>
  </si>
  <si>
    <t>http://monsterbevcorp.com/</t>
  </si>
  <si>
    <t>mrna</t>
  </si>
  <si>
    <t>Moderna Inc</t>
  </si>
  <si>
    <t>https://static.finnhub.io/logo/a024deee-80da-11ea-9046-00000000092a.png</t>
  </si>
  <si>
    <t>https://www.modernatx.com/</t>
  </si>
  <si>
    <t>mtch</t>
  </si>
  <si>
    <t>Match Group Inc</t>
  </si>
  <si>
    <t>https://static2.finnhub.io/file/publicdatany/finnhubimage/stock_logo/4295908221.png</t>
  </si>
  <si>
    <t>https://www.mtch.com/</t>
  </si>
  <si>
    <t>mpwr</t>
  </si>
  <si>
    <t>Monolithic Power Systems Inc</t>
  </si>
  <si>
    <t>https://static.finnhub.io/logo/3ec1921c-80e1-11ea-b9d8-00000000092a.png</t>
  </si>
  <si>
    <t>https://www.monolithicpower.com/</t>
  </si>
  <si>
    <t>msft</t>
  </si>
  <si>
    <t>Microsoft Corp</t>
  </si>
  <si>
    <t>https://static.finnhub.io/logo/25e313016e9fac0f4b78bbd7e3afded45a8136b17f450c262aea14beed438191.png</t>
  </si>
  <si>
    <t>https://www.microsoft.com/en-us</t>
  </si>
  <si>
    <t>mu</t>
  </si>
  <si>
    <t>Micron Technology Inc</t>
  </si>
  <si>
    <t>https://static.finnhub.io/logo/33e8930c-80ec-11ea-a30a-00000000092a.png</t>
  </si>
  <si>
    <t>https://www.micron.com/</t>
  </si>
  <si>
    <t>ndaq</t>
  </si>
  <si>
    <t>Nasdaq Inc</t>
  </si>
  <si>
    <t>https://static2.finnhub.io/file/publicdatany/finnhubimage/stock_logo/NDAQ_8589934167.png</t>
  </si>
  <si>
    <t>https://www.nasdaq.com/</t>
  </si>
  <si>
    <t>nlok</t>
  </si>
  <si>
    <t>NortonLifeLock Inc</t>
  </si>
  <si>
    <t>https://static.finnhub.io/logo/a14f7054-80e0-11ea-8378-00000000092a.png</t>
  </si>
  <si>
    <t>https://www.nortonlifelock.com/</t>
  </si>
  <si>
    <t>ntrs</t>
  </si>
  <si>
    <t>Northern Trust Corp</t>
  </si>
  <si>
    <t>https://static.finnhub.io/logo/729a6714ac01ab49a6f558cdeaf2d29037d313f87e6acd4af638a8152a23b9fc.png</t>
  </si>
  <si>
    <t>https://www.northerntrust.com/united-states/</t>
  </si>
  <si>
    <t>nwl</t>
  </si>
  <si>
    <t>Newell Brands Inc</t>
  </si>
  <si>
    <t>https://static.finnhub.io/logo/43c3da30-80ec-11ea-a6ea-00000000092a.png</t>
  </si>
  <si>
    <t>https://www.newellbrands.com/</t>
  </si>
  <si>
    <t>nvda</t>
  </si>
  <si>
    <t>NVIDIA Corp</t>
  </si>
  <si>
    <t>https://static2.finnhub.io/file/publicdatany/finnhubimage/stock_logo/NVDA.png</t>
  </si>
  <si>
    <t>https://www.nvidia.com/</t>
  </si>
  <si>
    <t>allk</t>
  </si>
  <si>
    <t>Allakos Inc</t>
  </si>
  <si>
    <t>https://static.finnhub.io/logo/7358df46-81d5-11ea-b3b3-00000000092a.png</t>
  </si>
  <si>
    <t>http://www.allakos.com/</t>
  </si>
  <si>
    <t>nwsa</t>
  </si>
  <si>
    <t>News Corp</t>
  </si>
  <si>
    <t>https://static.finnhub.io/logo/38632848-80ce-11ea-a34f-00000000092a.png</t>
  </si>
  <si>
    <t>https://newscorp.com/</t>
  </si>
  <si>
    <t>odfl</t>
  </si>
  <si>
    <t>Old Dominion Freight Line Inc</t>
  </si>
  <si>
    <t>https://static.finnhub.io/logo/8b7ba59a51614579f97c95184c2a54ab36d44842d9bf5350e077217523059382.png</t>
  </si>
  <si>
    <t>https://www.odfl.com/</t>
  </si>
  <si>
    <t>pcar</t>
  </si>
  <si>
    <t>Paccar Inc</t>
  </si>
  <si>
    <t>https://static4.finnhub.io/file/publicdatany2/stock_logo/PCAR_4295907525.jpg</t>
  </si>
  <si>
    <t>https://www.paccar.com/</t>
  </si>
  <si>
    <t>nxpi</t>
  </si>
  <si>
    <t>NXP Semiconductors NV</t>
  </si>
  <si>
    <t>https://static.finnhub.io/logo/86154d10-80c9-11ea-9926-00000000092a.png</t>
  </si>
  <si>
    <t>https://www.nxp.com/</t>
  </si>
  <si>
    <t>orly</t>
  </si>
  <si>
    <t>O'Reilly Automotive Inc</t>
  </si>
  <si>
    <t>https://static.finnhub.io/logo/e7e4dff0-826a-11ea-8801-00000000092a.png</t>
  </si>
  <si>
    <t>https://corporate.oreillyauto.com/corporate/</t>
  </si>
  <si>
    <t>payx</t>
  </si>
  <si>
    <t>Paychex Inc</t>
  </si>
  <si>
    <t>https://static.finnhub.io/logo/acaa8fac-80e0-11ea-9d58-00000000092a.png</t>
  </si>
  <si>
    <t>https://www.paychex.com/</t>
  </si>
  <si>
    <t>pfg</t>
  </si>
  <si>
    <t>Principal Financial Group Inc</t>
  </si>
  <si>
    <t>https://static.finnhub.io/logo/52a59ab6-80ec-11ea-b750-00000000092a.png</t>
  </si>
  <si>
    <t>https://www.principal.com/</t>
  </si>
  <si>
    <t>rost</t>
  </si>
  <si>
    <t>Ross Stores Inc</t>
  </si>
  <si>
    <t>https://static.finnhub.io/logo/d0674d8a-826a-11ea-8077-00000000092a.png</t>
  </si>
  <si>
    <t>https://www.rossstores.com/</t>
  </si>
  <si>
    <t>sbac</t>
  </si>
  <si>
    <t>SBA Communications Corp</t>
  </si>
  <si>
    <t>https://static.finnhub.io/logo/19c8edbbf482503d3a876417a19001cfb20a28894f61df4606c75b8d5657da21.png</t>
  </si>
  <si>
    <t>https://ir.sbasite.com/overview/default.aspx</t>
  </si>
  <si>
    <t>qcom</t>
  </si>
  <si>
    <t>Qualcomm Inc</t>
  </si>
  <si>
    <t>https://static.finnhub.io/logo/28159d10-80e1-11ea-b725-00000000092a.png</t>
  </si>
  <si>
    <t>https://www.qualcomm.com/</t>
  </si>
  <si>
    <t>pool</t>
  </si>
  <si>
    <t>Pool Corp</t>
  </si>
  <si>
    <t>https://static.finnhub.io/logo/ac59de52-80e0-11ea-9ff4-00000000092a.png</t>
  </si>
  <si>
    <t>https://www.poolcorp.com/</t>
  </si>
  <si>
    <t>pep</t>
  </si>
  <si>
    <t>PepsiCo Inc</t>
  </si>
  <si>
    <t>https://static2.finnhub.io/file/publicdatany/finnhubimage/stock_logo/PEP_4295904718.png</t>
  </si>
  <si>
    <t>https://www.pepsico.com/</t>
  </si>
  <si>
    <t>sbux</t>
  </si>
  <si>
    <t>Starbucks Corp</t>
  </si>
  <si>
    <t>https://static.finnhub.io/logo/8d4c97ac-80e0-11ea-b957-00000000092a.png</t>
  </si>
  <si>
    <t>https://www.starbucks.com/</t>
  </si>
  <si>
    <t>reg</t>
  </si>
  <si>
    <t>Regency Centers Corp</t>
  </si>
  <si>
    <t>https://static.finnhub.io/logo/5ecc68e8-80ec-11ea-af0b-00000000092a.png</t>
  </si>
  <si>
    <t>https://www.regencycenters.com/</t>
  </si>
  <si>
    <t>qrvo</t>
  </si>
  <si>
    <t>Qorvo Inc</t>
  </si>
  <si>
    <t>https://static.finnhub.io/logo/6008ddde-80d1-11ea-8e0e-00000000092a.png</t>
  </si>
  <si>
    <t>https://www.qorvo.com/</t>
  </si>
  <si>
    <t>ptc</t>
  </si>
  <si>
    <t>PTC Inc</t>
  </si>
  <si>
    <t>https://static.finnhub.io/logo/29d81df0-80e1-11ea-8920-00000000092a.png</t>
  </si>
  <si>
    <t>https://www.ptc.com/</t>
  </si>
  <si>
    <t>penn</t>
  </si>
  <si>
    <t>PENN Entertainment Inc</t>
  </si>
  <si>
    <t>https://static.finnhub.io/logo/aeca4e7e-80e0-11ea-b61c-00000000092a.png</t>
  </si>
  <si>
    <t>https://www.pngaming.com/</t>
  </si>
  <si>
    <t>pypl</t>
  </si>
  <si>
    <t>PayPal Holdings Inc</t>
  </si>
  <si>
    <t>https://static.finnhub.io/logo/58e310c0-80d2-11ea-8993-00000000092a.png</t>
  </si>
  <si>
    <t>https://www.paypal.com/</t>
  </si>
  <si>
    <t>regn</t>
  </si>
  <si>
    <t>Regeneron Pharmaceuticals Inc</t>
  </si>
  <si>
    <t>https://static.finnhub.io/logo/94aceb0a-80e0-11ea-a230-00000000092a.png</t>
  </si>
  <si>
    <t>https://www.regeneron.com/</t>
  </si>
  <si>
    <t>amgn</t>
  </si>
  <si>
    <t>Amgen Inc</t>
  </si>
  <si>
    <t>https://static.finnhub.io/logo/06a226980337772e10ad0953d2904b1be6d15866d212e9912efaea5850757690.png</t>
  </si>
  <si>
    <t>https://www.amgen.com/</t>
  </si>
  <si>
    <t>snps</t>
  </si>
  <si>
    <t>Synopsys Inc</t>
  </si>
  <si>
    <t>https://static.finnhub.io/logo/b5dff9e4-80e0-11ea-b347-00000000092a.png</t>
  </si>
  <si>
    <t>https://www.synopsys.com/</t>
  </si>
  <si>
    <t>stx</t>
  </si>
  <si>
    <t>Seagate Technology Holdings PLC</t>
  </si>
  <si>
    <t>https://static.finnhub.io/logo/1b9ae09b2197a137d5e26ef7606d068678109eab18fefac2f4994c3ab827a080.png</t>
  </si>
  <si>
    <t>https://investors.seagate.com/overview/default.aspx</t>
  </si>
  <si>
    <t>tech</t>
  </si>
  <si>
    <t>Bio-Techne Corp</t>
  </si>
  <si>
    <t>https://static.finnhub.io/logo/21c90d484b75f48b0c3943f2cd9208034fc36add542c71254724b6e6e173036c.png</t>
  </si>
  <si>
    <t>https://www.bio-techne.com/</t>
  </si>
  <si>
    <t>ter</t>
  </si>
  <si>
    <t>Teradyne Inc</t>
  </si>
  <si>
    <t>https://static.finnhub.io/logo/8211e574-80ec-11ea-b01d-00000000092a.png</t>
  </si>
  <si>
    <t>https://www.teradyne.com/</t>
  </si>
  <si>
    <t>swks</t>
  </si>
  <si>
    <t>Skyworks Solutions Inc</t>
  </si>
  <si>
    <t>https://static.finnhub.io/logo/6d9737aa218175cf0ecab9fbfde6531a45cb826eab7877356403e5b905bcca2f.png</t>
  </si>
  <si>
    <t>https://www.skyworksinc.com/</t>
  </si>
  <si>
    <t>trmb</t>
  </si>
  <si>
    <t>Trimble Inc</t>
  </si>
  <si>
    <t>https://static.finnhub.io/logo/f89b3dba-80e0-11ea-a642-00000000092a.png</t>
  </si>
  <si>
    <t>https://www.trimble.com/</t>
  </si>
  <si>
    <t>trow</t>
  </si>
  <si>
    <t>T Rowe Price Group Inc</t>
  </si>
  <si>
    <t>https://static.finnhub.io/logo/f20081c2-80e0-11ea-aa51-00000000092a.png</t>
  </si>
  <si>
    <t>https://www.troweprice.com</t>
  </si>
  <si>
    <t>ttwo</t>
  </si>
  <si>
    <t>Take-Two Interactive Software Inc</t>
  </si>
  <si>
    <t>https://static.finnhub.io/logo/c1e64458-80e0-11ea-8873-00000000092a.png</t>
  </si>
  <si>
    <t>https://www.take2games.com/</t>
  </si>
  <si>
    <t>tsla</t>
  </si>
  <si>
    <t>Tesla Inc</t>
  </si>
  <si>
    <t>https://static.finnhub.io/logo/2dd96524-80c9-11ea-aaac-00000000092a.png</t>
  </si>
  <si>
    <t>https://www.tesla.com/</t>
  </si>
  <si>
    <t>CCC</t>
  </si>
  <si>
    <t>Low</t>
  </si>
  <si>
    <t>tsco</t>
  </si>
  <si>
    <t>Tractor Supply Co</t>
  </si>
  <si>
    <t>https://static.finnhub.io/logo/c382b098-80e0-11ea-a382-00000000092a.png</t>
  </si>
  <si>
    <t>https://www.tractorsupply.com/</t>
  </si>
  <si>
    <t>txn</t>
  </si>
  <si>
    <t>Texas Instruments Inc</t>
  </si>
  <si>
    <t>https://static.finnhub.io/logo/8e047d7e-80ec-11ea-a11f-00000000092a.png</t>
  </si>
  <si>
    <t>https://www.ti.com/</t>
  </si>
  <si>
    <t>tmus</t>
  </si>
  <si>
    <t>T-Mobile US Inc</t>
  </si>
  <si>
    <t>Telecommunication</t>
  </si>
  <si>
    <t>https://static.finnhub.io/logo/4ffaa8b8-80ec-11ea-94ca-00000000092a.png</t>
  </si>
  <si>
    <t>https://www.t-mobile.com/</t>
  </si>
  <si>
    <t>ual</t>
  </si>
  <si>
    <t>United Airlines Holdings Inc</t>
  </si>
  <si>
    <t>https://static.finnhub.io/logo/b3f34b67dcba1725d92ac006206475d24142031e7f30415f77010a101e9fae1b.png</t>
  </si>
  <si>
    <t>https://ir.united.com/</t>
  </si>
  <si>
    <t>vrsk</t>
  </si>
  <si>
    <t>Verisk Analytics Inc</t>
  </si>
  <si>
    <t>Professional Services</t>
  </si>
  <si>
    <t>https://static.finnhub.io/logo/fe905336-80fe-11ea-adc8-00000000092a.png</t>
  </si>
  <si>
    <t>https://www.verisk.com</t>
  </si>
  <si>
    <t>ulta</t>
  </si>
  <si>
    <t>Ulta Beauty Inc</t>
  </si>
  <si>
    <t>https://static.finnhub.io/logo/d10866ba-80e0-11ea-9adf-00000000092a.png</t>
  </si>
  <si>
    <t>https://www.ulta.com/</t>
  </si>
  <si>
    <t>vrtx</t>
  </si>
  <si>
    <t>Vertex Pharmaceuticals Inc</t>
  </si>
  <si>
    <t>https://static.finnhub.io/logo/feec7ad8-80e0-11ea-ac96-00000000092a.png</t>
  </si>
  <si>
    <t>https://www.vrtx.com/</t>
  </si>
  <si>
    <t>vtrs</t>
  </si>
  <si>
    <t>Viatris Inc</t>
  </si>
  <si>
    <t>https://static.finnhub.io/logo/bb69368ad1567617f611958c6dbb56e67edc624e4531b680597d2d17e8dcace8.png</t>
  </si>
  <si>
    <t>https://www.viatris.com/en</t>
  </si>
  <si>
    <t>vrsn</t>
  </si>
  <si>
    <t>Verisign Inc</t>
  </si>
  <si>
    <t>https://static.finnhub.io/logo/9adf6b51871316924a9578bea95b2d64a4227d34ba3b664d3826fdba28ff23ae.png</t>
  </si>
  <si>
    <t>https://www.verisign.com/</t>
  </si>
  <si>
    <t>wba</t>
  </si>
  <si>
    <t>Walgreens Boots Alliance Inc</t>
  </si>
  <si>
    <t>https://static.finnhub.io/logo/9cc9acf0-80ec-11ea-a362-00000000092a.png</t>
  </si>
  <si>
    <t>https://www.walgreensbootsalliance.com/</t>
  </si>
  <si>
    <t>ntap</t>
  </si>
  <si>
    <t>NetApp Inc</t>
  </si>
  <si>
    <t>https://static.finnhub.io/logo/8aa1beee-80e0-11ea-85fc-00000000092a.png</t>
  </si>
  <si>
    <t>https://www.netapp.com/</t>
  </si>
  <si>
    <t>xel</t>
  </si>
  <si>
    <t>Xcel Energy Inc</t>
  </si>
  <si>
    <t>https://static.finnhub.io/logo/ad4fb250-80ec-11ea-950a-00000000092a.png</t>
  </si>
  <si>
    <t>https://www.xcelenergy.com/</t>
  </si>
  <si>
    <t>xray</t>
  </si>
  <si>
    <t>DENTSPLY SIRONA Inc</t>
  </si>
  <si>
    <t>https://static.finnhub.io/logo/27b1f30a-80e1-11ea-bdab-00000000092a.png</t>
  </si>
  <si>
    <t>https://www.dentsplysirona.com/</t>
  </si>
  <si>
    <t>zbra</t>
  </si>
  <si>
    <t>Zebra Technologies Corp</t>
  </si>
  <si>
    <t>https://static.finnhub.io/logo/19363bc2-80e1-11ea-be98-00000000092a.png</t>
  </si>
  <si>
    <t>https://www.zebra.com/</t>
  </si>
  <si>
    <t>aap</t>
  </si>
  <si>
    <t>Advance Auto Parts Inc</t>
  </si>
  <si>
    <t>https://static.finnhub.io/logo/5fdef210-80eb-11ea-8a31-00000000092a.png</t>
  </si>
  <si>
    <t>https://shop.advanceautoparts.com/</t>
  </si>
  <si>
    <t>zion</t>
  </si>
  <si>
    <t>Zions Bancorporation NA</t>
  </si>
  <si>
    <t>https://static.finnhub.io/logo/1ab22e6c-80e1-11ea-8246-00000000092a.png</t>
  </si>
  <si>
    <t>https://www.zionsbank.com/</t>
  </si>
  <si>
    <t>wynn</t>
  </si>
  <si>
    <t>Wynn Resorts Ltd</t>
  </si>
  <si>
    <t>https://static.finnhub.io/logo/acba626ebfc3757928c79f34ba0291de64d34a185fce74db448210806384f2dd.png</t>
  </si>
  <si>
    <t>https://www.wynnresorts.com/</t>
  </si>
  <si>
    <t>a</t>
  </si>
  <si>
    <t>Agilent Technologies Inc</t>
  </si>
  <si>
    <t>https://static.finnhub.io/logo/5f1f8412-80eb-11ea-bd05-00000000092a.png</t>
  </si>
  <si>
    <t>https://www.agilent.com/</t>
  </si>
  <si>
    <t>abbv</t>
  </si>
  <si>
    <t>Abbvie Inc</t>
  </si>
  <si>
    <t>https://static.finnhub.io/logo/8806d72c-80cd-11ea-b0f0-00000000092a.png</t>
  </si>
  <si>
    <t>https://www.abbvie.com/</t>
  </si>
  <si>
    <t>abc</t>
  </si>
  <si>
    <t>Amerisourcebergen Corp</t>
  </si>
  <si>
    <t>https://static.finnhub.io/logo/984684bcb4bd8dbd25efd66e89a3e9b1529e45333e9cbcefbbb50b1d8fdd44d2.png</t>
  </si>
  <si>
    <t>https://www.amerisourcebergen.com/</t>
  </si>
  <si>
    <t>adm</t>
  </si>
  <si>
    <t>Archer-Daniels-Midland Co</t>
  </si>
  <si>
    <t>https://static.finnhub.io/logo/633db98c-80eb-11ea-ab18-00000000092a.png</t>
  </si>
  <si>
    <t>https://www.adm.com/</t>
  </si>
  <si>
    <t>abt</t>
  </si>
  <si>
    <t>Abbott Laboratories</t>
  </si>
  <si>
    <t>https://static.finnhub.io/logo/d90fadbf0b79644dfb7ab6f63b510b0e690db067d5a36ebcbaebaf342c0728d0.png</t>
  </si>
  <si>
    <t>https://www.abbott.com/</t>
  </si>
  <si>
    <t>aee</t>
  </si>
  <si>
    <t>Ameren Corp</t>
  </si>
  <si>
    <t>https://static.finnhub.io/logo/643922d8-80eb-11ea-b89f-00000000092a.png</t>
  </si>
  <si>
    <t>https://www.ameren.com/</t>
  </si>
  <si>
    <t>aes</t>
  </si>
  <si>
    <t>AES Corp</t>
  </si>
  <si>
    <t>https://static.finnhub.io/logo/dd2e38bf724fd9d5860157f55d57588ba0ea09e12d3ac1b9361148d013d566d4.png</t>
  </si>
  <si>
    <t>https://www.aes.com/</t>
  </si>
  <si>
    <t>afl</t>
  </si>
  <si>
    <t>Aflac Inc</t>
  </si>
  <si>
    <t>https://static.finnhub.io/logo/669fcffe-80eb-11ea-8a69-00000000092a.png</t>
  </si>
  <si>
    <t>https://www.aflac.com/</t>
  </si>
  <si>
    <t>acn</t>
  </si>
  <si>
    <t>Accenture PLC</t>
  </si>
  <si>
    <t>https://static.finnhub.io/logo/d97049de-8278-11ea-8ac9-00000000092a.png</t>
  </si>
  <si>
    <t>https://www.accenture.com/ie-en/</t>
  </si>
  <si>
    <t>ajg</t>
  </si>
  <si>
    <t>Arthur J. Gallagher &amp; Co.</t>
  </si>
  <si>
    <t>https://static.finnhub.io/logo/6ad765be-80eb-11ea-97ea-00000000092a.png</t>
  </si>
  <si>
    <t>https://www.ajg.com/</t>
  </si>
  <si>
    <t>aiz</t>
  </si>
  <si>
    <t>Assurant Inc</t>
  </si>
  <si>
    <t>https://static.finnhub.io/logo/6d03fe00-80eb-11ea-a0c7-00000000092a.png</t>
  </si>
  <si>
    <t>https://www.assurant.com/</t>
  </si>
  <si>
    <t>alk</t>
  </si>
  <si>
    <t>Alaska Air Group Inc</t>
  </si>
  <si>
    <t>https://static.finnhub.io/logo/6f0f3ff0-80eb-11ea-adee-00000000092a.png</t>
  </si>
  <si>
    <t>https://investor.alaskaair.com/</t>
  </si>
  <si>
    <t>alb</t>
  </si>
  <si>
    <t>Albemarle Corp</t>
  </si>
  <si>
    <t>https://static.finnhub.io/logo/4ef8740ea71ccbddb20e0dcfc8e82c9029f79efda1e34947efece24c8974199c.png</t>
  </si>
  <si>
    <t>https://www.albemarle.com/</t>
  </si>
  <si>
    <t>aig</t>
  </si>
  <si>
    <t>American International Group Inc</t>
  </si>
  <si>
    <t>https://static.finnhub.io/logo/69801f92-80eb-11ea-a320-00000000092a.png</t>
  </si>
  <si>
    <t>https://www.aig.com/individual</t>
  </si>
  <si>
    <t>all</t>
  </si>
  <si>
    <t>Allstate Corp</t>
  </si>
  <si>
    <t>https://static.finnhub.io/logo/e0a6bc18-8278-11ea-aad1-00000000092a.png</t>
  </si>
  <si>
    <t>https://www.allstateinvestors.com/investor-overview?c=93125&amp;p=irol-irhome</t>
  </si>
  <si>
    <t>alle</t>
  </si>
  <si>
    <t>Allegion PLC</t>
  </si>
  <si>
    <t>https://static.finnhub.io/logo/57a8176a6abfdd7d5a24ec8d7802b8ccd943b7e6b0f435d6af062dab03864422.png</t>
  </si>
  <si>
    <t>https://www.allegion.com/corp/en/index.html</t>
  </si>
  <si>
    <t>amp</t>
  </si>
  <si>
    <t>Ameriprise Financial Inc</t>
  </si>
  <si>
    <t>https://static.finnhub.io/logo/71b42062-80eb-11ea-a0bc-00000000092a.png</t>
  </si>
  <si>
    <t>https://www.ameriprise.com/</t>
  </si>
  <si>
    <t>ame</t>
  </si>
  <si>
    <t>AMETEK Inc</t>
  </si>
  <si>
    <t>https://static.finnhub.io/logo/70aae254-80eb-11ea-8bb6-00000000092a.png</t>
  </si>
  <si>
    <t>https://www.ametek.com/</t>
  </si>
  <si>
    <t>amt</t>
  </si>
  <si>
    <t>American Tower Corp</t>
  </si>
  <si>
    <t>https://static.finnhub.io/logo/72058208-80eb-11ea-bbb0-00000000092a.png</t>
  </si>
  <si>
    <t>https://www.americantower.com/</t>
  </si>
  <si>
    <t>aos</t>
  </si>
  <si>
    <t>A O Smith Corp</t>
  </si>
  <si>
    <t>https://static.finnhub.io/logo/73381be8-80eb-11ea-b385-00000000092a.png</t>
  </si>
  <si>
    <t>https://www.aosmith.com/</t>
  </si>
  <si>
    <t>apd</t>
  </si>
  <si>
    <t>Air Products and Chemicals Inc</t>
  </si>
  <si>
    <t>https://static.finnhub.io/logo/74581b6e-80eb-11ea-a665-00000000092a.png</t>
  </si>
  <si>
    <t>https://www.airproducts.com/</t>
  </si>
  <si>
    <t>aon</t>
  </si>
  <si>
    <t>Aon PLC</t>
  </si>
  <si>
    <t>https://static.finnhub.io/logo/aa9668652232c8e21ee7ff27ca3f3a49a12c07c6d86670032b41608efb282982.png</t>
  </si>
  <si>
    <t>https://www.aon.com/</t>
  </si>
  <si>
    <t>anet</t>
  </si>
  <si>
    <t>Arista Networks Inc</t>
  </si>
  <si>
    <t>https://static.finnhub.io/logo/5c1639fa-81b4-11ea-a6d0-00000000092a.png</t>
  </si>
  <si>
    <t>https://www.arista.com/en/</t>
  </si>
  <si>
    <t>aph</t>
  </si>
  <si>
    <t>Amphenol Corp</t>
  </si>
  <si>
    <t>https://static.finnhub.io/logo/74ad03fe-80eb-11ea-a501-00000000092a.png</t>
  </si>
  <si>
    <t>https://www.amphenol.com/</t>
  </si>
  <si>
    <t>ato</t>
  </si>
  <si>
    <t>Atmos Energy Corp</t>
  </si>
  <si>
    <t>https://static.finnhub.io/logo/77cd59a2-80eb-11ea-b2f2-00000000092a.png</t>
  </si>
  <si>
    <t>https://www.atmosenergy.com/</t>
  </si>
  <si>
    <t>awk</t>
  </si>
  <si>
    <t>American Water Works Company Inc</t>
  </si>
  <si>
    <t>https://static.finnhub.io/logo/7abeb7a8-80eb-11ea-9cc9-00000000092a.png</t>
  </si>
  <si>
    <t>https://www.amwater.com/</t>
  </si>
  <si>
    <t>are</t>
  </si>
  <si>
    <t>Alexandria Real Estate Equities Inc</t>
  </si>
  <si>
    <t>https://static.finnhub.io/logo/ffde2ccf9a1b68d8c0417d434712742c97a013bed497f0bcafbd67c6c48c3838.png</t>
  </si>
  <si>
    <t>https://www.are.com/</t>
  </si>
  <si>
    <t>aptv</t>
  </si>
  <si>
    <t>Aptiv PLC</t>
  </si>
  <si>
    <t>Auto Components</t>
  </si>
  <si>
    <t>https://static.finnhub.io/logo/56ba8998-80cb-11ea-ade4-00000000092a.png</t>
  </si>
  <si>
    <t>https://www.aptiv.com</t>
  </si>
  <si>
    <t>avb</t>
  </si>
  <si>
    <t>Avalonbay Communities Inc</t>
  </si>
  <si>
    <t>https://static.finnhub.io/logo/7940482e-80eb-11ea-9e46-00000000092a.png</t>
  </si>
  <si>
    <t>https://www.avaloncommunities.com/</t>
  </si>
  <si>
    <t>avy</t>
  </si>
  <si>
    <t>Avery Dennison Corp</t>
  </si>
  <si>
    <t>Packaging</t>
  </si>
  <si>
    <t>https://static.finnhub.io/logo/79d9e86c-80eb-11ea-acfe-00000000092a.png</t>
  </si>
  <si>
    <t>https://www.averydennison.com/</t>
  </si>
  <si>
    <t>ba</t>
  </si>
  <si>
    <t>Boeing Co</t>
  </si>
  <si>
    <t>Aerospace and Defense</t>
  </si>
  <si>
    <t>https://static.finnhub.io/logo/7f18239e-80eb-11ea-b544-00000000092a.png</t>
  </si>
  <si>
    <t>https://www.boeing.com/</t>
  </si>
  <si>
    <t>bac</t>
  </si>
  <si>
    <t>Bank of America Corp</t>
  </si>
  <si>
    <t>https://static2.finnhub.io/file/publicdatany/finnhubimage/stock_logo/BAC.png</t>
  </si>
  <si>
    <t>https://www.bankofamerica.com</t>
  </si>
  <si>
    <t>bax</t>
  </si>
  <si>
    <t>Baxter International Inc</t>
  </si>
  <si>
    <t>https://static.finnhub.io/logo/7fd00f9c-80eb-11ea-95bb-00000000092a.png</t>
  </si>
  <si>
    <t>https://www.baxter.com/</t>
  </si>
  <si>
    <t>bbwi</t>
  </si>
  <si>
    <t>Bath &amp; Body Works Inc</t>
  </si>
  <si>
    <t>https://static.finnhub.io/logo/1b846d4a-80ec-11ea-b03e-00000000092a.png</t>
  </si>
  <si>
    <t>https://www.bbwinc.com/</t>
  </si>
  <si>
    <t>bdx</t>
  </si>
  <si>
    <t>Becton Dickinson and Co</t>
  </si>
  <si>
    <t>https://static.finnhub.io/logo/82e1f20c-80eb-11ea-b25d-00000000092a.png</t>
  </si>
  <si>
    <t>https://www.bd.com/</t>
  </si>
  <si>
    <t>bio</t>
  </si>
  <si>
    <t>Bio Rad Laboratories Inc</t>
  </si>
  <si>
    <t>https://static.finnhub.io/logo/44edee0a-80df-11ea-9ec3-00000000092a.png</t>
  </si>
  <si>
    <t>https://www.bio-rad.com/</t>
  </si>
  <si>
    <t>bby</t>
  </si>
  <si>
    <t>Best Buy Co Inc</t>
  </si>
  <si>
    <t>https://static.finnhub.io/logo/81b71688-80eb-11ea-8a5b-00000000092a.png</t>
  </si>
  <si>
    <t>https://www.bestbuy.com/</t>
  </si>
  <si>
    <t>bk</t>
  </si>
  <si>
    <t>Bank of New York Mellon Corp</t>
  </si>
  <si>
    <t>https://static.finnhub.io/logo/f1e8660c-8278-11ea-a415-00000000092a.png</t>
  </si>
  <si>
    <t>https://www.bnymellon.com/</t>
  </si>
  <si>
    <t>axp</t>
  </si>
  <si>
    <t>American Express Co</t>
  </si>
  <si>
    <t>https://static.finnhub.io/logo/7c511c66-80eb-11ea-83d7-00000000092a.png</t>
  </si>
  <si>
    <t>https://www.americanexpress.com/</t>
  </si>
  <si>
    <t>br</t>
  </si>
  <si>
    <t>Broadridge Financial Solutions Inc</t>
  </si>
  <si>
    <t>https://static.finnhub.io/logo/8c4db812-80eb-11ea-a03a-00000000092a.png</t>
  </si>
  <si>
    <t>https://www.broadridge.com/</t>
  </si>
  <si>
    <t>bmy</t>
  </si>
  <si>
    <t>Bristol-Myers Squibb Co</t>
  </si>
  <si>
    <t>https://static.finnhub.io/logo/8b628318-80eb-11ea-93a2-00000000092a.png</t>
  </si>
  <si>
    <t>https://www.bms.com/</t>
  </si>
  <si>
    <t>bro</t>
  </si>
  <si>
    <t>Brown &amp; Brown Inc</t>
  </si>
  <si>
    <t>https://static.finnhub.io/logo/8d4bb0d8-80eb-11ea-b804-00000000092a.png</t>
  </si>
  <si>
    <t>https://www.bbinsurance.com/</t>
  </si>
  <si>
    <t>azo</t>
  </si>
  <si>
    <t>Autozone Inc</t>
  </si>
  <si>
    <t>https://static.finnhub.io/logo/7e0ca700-80eb-11ea-bd89-00000000092a.png</t>
  </si>
  <si>
    <t>https://www.autozone.com/</t>
  </si>
  <si>
    <t>bsx</t>
  </si>
  <si>
    <t>Boston Scientific Corp</t>
  </si>
  <si>
    <t>https://static.finnhub.io/logo/8ee22dde-80eb-11ea-9789-00000000092a.png</t>
  </si>
  <si>
    <t>https://www.bostonscientific.com/</t>
  </si>
  <si>
    <t>bx</t>
  </si>
  <si>
    <t>Blackstone Inc</t>
  </si>
  <si>
    <t>https://static.finnhub.io/logo/933284c8-80eb-11ea-b057-00000000092a.png</t>
  </si>
  <si>
    <t>https://www.blackstone.com/</t>
  </si>
  <si>
    <t>bxp</t>
  </si>
  <si>
    <t>Boston Properties Inc</t>
  </si>
  <si>
    <t>https://static.finnhub.io/logo/908869c8-80eb-11ea-b9d6-00000000092a.png</t>
  </si>
  <si>
    <t>https://www.bxp.com/</t>
  </si>
  <si>
    <t>sivb</t>
  </si>
  <si>
    <t>SVB Financial Group</t>
  </si>
  <si>
    <t>https://static.finnhub.io/logo/1fbbb8c43e148c0b3b8648e5ec5a5d9008616203f19162e3973e79435b02ea11.png</t>
  </si>
  <si>
    <t>https://www.svb.com/</t>
  </si>
  <si>
    <t>c</t>
  </si>
  <si>
    <t>Citigroup Inc</t>
  </si>
  <si>
    <t>https://static.finnhub.io/logo/93e64c9c-80eb-11ea-805d-00000000092a.png</t>
  </si>
  <si>
    <t>http://www.citigroup.com/</t>
  </si>
  <si>
    <t>cat</t>
  </si>
  <si>
    <t>Caterpillar Inc</t>
  </si>
  <si>
    <t>https://static2.finnhub.io/file/publicdatany/finnhubimage/stock_logo/4295903678.jpeg</t>
  </si>
  <si>
    <t>https://www.caterpillar.com/en.html</t>
  </si>
  <si>
    <t>carr</t>
  </si>
  <si>
    <t>Carrier Global Corp</t>
  </si>
  <si>
    <t>https://static.finnhub.io/logo/603e44f9a46419a67a8a0e59358d8fa90f116ba0bd9735830f2b11886a71fd52.png</t>
  </si>
  <si>
    <t>https://www.carrier.com/</t>
  </si>
  <si>
    <t>cbre</t>
  </si>
  <si>
    <t>CBRE Group Inc</t>
  </si>
  <si>
    <t>https://static.finnhub.io/logo/96608490-80eb-11ea-a287-00000000092a.png</t>
  </si>
  <si>
    <t>https://www.cbre.us</t>
  </si>
  <si>
    <t>cci</t>
  </si>
  <si>
    <t>Crown Castle Inc</t>
  </si>
  <si>
    <t>https://static.finnhub.io/logo/9955c1da-80eb-11ea-9b73-00000000092a.png</t>
  </si>
  <si>
    <t>https://www.crowncastle.com/</t>
  </si>
  <si>
    <t>cday</t>
  </si>
  <si>
    <t>Ceridian HCM Holding Inc</t>
  </si>
  <si>
    <t>https://static.finnhub.io/logo/3da179a75ee0a0b5064738cfdc79ace212dc770b203df04d3ffbfe92274e0663.png</t>
  </si>
  <si>
    <t>https://investors.ceridian.com/overview/default.aspx</t>
  </si>
  <si>
    <t>cma</t>
  </si>
  <si>
    <t>Comerica Inc</t>
  </si>
  <si>
    <t>https://static.finnhub.io/logo/9e86587471234fdad18123d132d5b66e368edaf5a527a6618c12a7f5cc1279bd.png</t>
  </si>
  <si>
    <t>https://www.comerica.com/</t>
  </si>
  <si>
    <t>dhi</t>
  </si>
  <si>
    <t>D R Horton Inc</t>
  </si>
  <si>
    <t>https://static.finnhub.io/logo/397ce09a79a25513f426bce1f02302bbe45178c074100dbe1c09d74d3fcaaa80.png</t>
  </si>
  <si>
    <t>https://www.drhorton.com/</t>
  </si>
  <si>
    <t>dov</t>
  </si>
  <si>
    <t>Dover Corp</t>
  </si>
  <si>
    <t>https://static.finnhub.io/logo/c1b83b1a-80eb-11ea-957d-00000000092a.png</t>
  </si>
  <si>
    <t>https://www.dovercorporation.com/</t>
  </si>
  <si>
    <t>dri</t>
  </si>
  <si>
    <t>Darden Restaurants Inc</t>
  </si>
  <si>
    <t>https://static.finnhub.io/logo/c375d95c-80eb-11ea-817c-00000000092a.png</t>
  </si>
  <si>
    <t>https://www.darden.com</t>
  </si>
  <si>
    <t>ce</t>
  </si>
  <si>
    <t>Celanese Corp</t>
  </si>
  <si>
    <t>https://static.finnhub.io/logo/9a354dde-80eb-11ea-9454-00000000092a.png</t>
  </si>
  <si>
    <t>https://www.celanese.com/</t>
  </si>
  <si>
    <t>dg</t>
  </si>
  <si>
    <t>Dollar General Corp</t>
  </si>
  <si>
    <t>https://static.finnhub.io/logo/f9e89aa6-82a3-11ea-bcf8-00000000092a.png</t>
  </si>
  <si>
    <t>https://www.dollargeneral.com/</t>
  </si>
  <si>
    <t>cmg</t>
  </si>
  <si>
    <t>Chipotle Mexican Grill Inc</t>
  </si>
  <si>
    <t>https://static.finnhub.io/logo/a551a6c2-80eb-11ea-a89e-00000000092a.png</t>
  </si>
  <si>
    <t>https://www.chipotle.com/</t>
  </si>
  <si>
    <t>dgx</t>
  </si>
  <si>
    <t>Quest Diagnostics Inc</t>
  </si>
  <si>
    <t>https://static.finnhub.io/logo/bcfcc2be-80eb-11ea-b2d4-00000000092a.png</t>
  </si>
  <si>
    <t>https://www.questdiagnostics.com/</t>
  </si>
  <si>
    <t>ccl</t>
  </si>
  <si>
    <t>Carnival Corp</t>
  </si>
  <si>
    <t>https://static.finnhub.io/logo/9994e2b0-80eb-11ea-a0cb-00000000092a.png</t>
  </si>
  <si>
    <t>https://www.carnivalcorp.com/</t>
  </si>
  <si>
    <t>chd</t>
  </si>
  <si>
    <t>Church &amp; Dwight Co Inc</t>
  </si>
  <si>
    <t>https://static.finnhub.io/logo/80497981115775795530c2304913f6f51722baec9f0cd47eb4115e3d16f2ff4b.png</t>
  </si>
  <si>
    <t>https://churchdwight.com/</t>
  </si>
  <si>
    <t>dow</t>
  </si>
  <si>
    <t>Dow Inc</t>
  </si>
  <si>
    <t>https://static.finnhub.io/logo/d809bb30e681dc3abf1fa05dc6154f5ce1ca51b61eadafdf15369c1c4d37f99b.png</t>
  </si>
  <si>
    <t>https://investors.dow.com/</t>
  </si>
  <si>
    <t>dfs</t>
  </si>
  <si>
    <t>Discover Financial Services</t>
  </si>
  <si>
    <t>https://static.finnhub.io/logo/bcb852c0-80eb-11ea-b6e7-00000000092a.png</t>
  </si>
  <si>
    <t>https://www.discover.com/</t>
  </si>
  <si>
    <t>duk</t>
  </si>
  <si>
    <t>Duke Energy Corp</t>
  </si>
  <si>
    <t>https://static.finnhub.io/logo/c6386312-80eb-11ea-a9c6-00000000092a.png</t>
  </si>
  <si>
    <t>https://www.duke-energy.com/</t>
  </si>
  <si>
    <t>dre</t>
  </si>
  <si>
    <t>Duke Realty Corp</t>
  </si>
  <si>
    <t>https://static.finnhub.io/logo/c2b783b4-80eb-11ea-9a9a-00000000092a.png</t>
  </si>
  <si>
    <t>https://www.dukerealty.com/</t>
  </si>
  <si>
    <t>cf</t>
  </si>
  <si>
    <t>CF Industries Holdings Inc</t>
  </si>
  <si>
    <t>https://static.finnhub.io/logo/9b57a636-80eb-11ea-8738-00000000092a.png</t>
  </si>
  <si>
    <t>https://www.cfindustries.com/</t>
  </si>
  <si>
    <t>dvn</t>
  </si>
  <si>
    <t>Devon Energy Corp</t>
  </si>
  <si>
    <t>https://static.finnhub.io/logo/c6b217be-80eb-11ea-af1d-00000000092a.png</t>
  </si>
  <si>
    <t>https://www.devonenergy.com/</t>
  </si>
  <si>
    <t>ecl</t>
  </si>
  <si>
    <t>Ecolab Inc</t>
  </si>
  <si>
    <t>https://static.finnhub.io/logo/310f9a68901ccb666997c890b733d4af9872166796de8310822ee896fb970a3f.png</t>
  </si>
  <si>
    <t>https://www.ecolab.com/</t>
  </si>
  <si>
    <t>hd</t>
  </si>
  <si>
    <t>Home Depot Inc</t>
  </si>
  <si>
    <t>https://static.finnhub.io/logo/f3d21b34-80eb-11ea-9fb5-00000000092a.png</t>
  </si>
  <si>
    <t>https://www.homedepot.com/</t>
  </si>
  <si>
    <t>dte</t>
  </si>
  <si>
    <t>DTE Energy Co</t>
  </si>
  <si>
    <t>https://static.finnhub.io/logo/c4c6a66c-80eb-11ea-a459-00000000092a.png</t>
  </si>
  <si>
    <t>https://www.newlook.dteenergy.com/</t>
  </si>
  <si>
    <t>eix</t>
  </si>
  <si>
    <t>Edison International</t>
  </si>
  <si>
    <t>https://static.finnhub.io/logo/cbccd574-80eb-11ea-ac7b-00000000092a.png</t>
  </si>
  <si>
    <t>https://www.edison.com/</t>
  </si>
  <si>
    <t>glw</t>
  </si>
  <si>
    <t>Corning Inc</t>
  </si>
  <si>
    <t>https://static.finnhub.io/logo/ec2c31c6-80eb-11ea-946c-00000000092a.png</t>
  </si>
  <si>
    <t>https://www.corning.com/</t>
  </si>
  <si>
    <t>dva</t>
  </si>
  <si>
    <t>DaVita Inc</t>
  </si>
  <si>
    <t>https://static.finnhub.io/logo/c5ccdcdc-80eb-11ea-9165-00000000092a.png</t>
  </si>
  <si>
    <t>https://www.davita.com/</t>
  </si>
  <si>
    <t>wdc</t>
  </si>
  <si>
    <t>Western Digital Corp</t>
  </si>
  <si>
    <t>https://static.finnhub.io/logo/614eaedc2d32b02535d899770c447ff80b1fef23bd17a0f30cec4ea863891044.png</t>
  </si>
  <si>
    <t>https://www.westerndigital.com/</t>
  </si>
  <si>
    <t>gs</t>
  </si>
  <si>
    <t>Goldman Sachs Group Inc</t>
  </si>
  <si>
    <t>https://static.finnhub.io/logo/7ba3bd9e8fc91f97252e3b58f24fe98824e71ab51ac7805cec819dc88f10e7de.png</t>
  </si>
  <si>
    <t>https://www.goldmansachs.com/</t>
  </si>
  <si>
    <t>dxc</t>
  </si>
  <si>
    <t>DXC Technology Co</t>
  </si>
  <si>
    <t>https://static.finnhub.io/logo/12afb9ee-8279-11ea-a94d-00000000092a.png</t>
  </si>
  <si>
    <t>https://dxc.com/us/en</t>
  </si>
  <si>
    <t>etn</t>
  </si>
  <si>
    <t>Eaton Corporation PLC</t>
  </si>
  <si>
    <t>https://static.finnhub.io/logo/d2178ec6-80eb-11ea-a096-00000000092a.png</t>
  </si>
  <si>
    <t>https://www.eaton.com/</t>
  </si>
  <si>
    <t>ed</t>
  </si>
  <si>
    <t>Consolidated Edison Inc</t>
  </si>
  <si>
    <t>https://static.finnhub.io/logo/24f921dc-8279-11ea-9a09-00000000092a.png</t>
  </si>
  <si>
    <t>https://www.conedison.com/</t>
  </si>
  <si>
    <t>hsy</t>
  </si>
  <si>
    <t>Hershey Co</t>
  </si>
  <si>
    <t>https://static.finnhub.io/logo/f2b115ad22f1c30d69a33526154bd236297b2162d2cc21642cd3b508818b4d3b.png</t>
  </si>
  <si>
    <t>https://www.thehersheycompany.com/</t>
  </si>
  <si>
    <t>jnj</t>
  </si>
  <si>
    <t>Johnson &amp; Johnson</t>
  </si>
  <si>
    <t>https://static.finnhub.io/logo/0a900736-80ec-11ea-8224-00000000092a.png</t>
  </si>
  <si>
    <t>https://www.jnj.com/</t>
  </si>
  <si>
    <t>jpm</t>
  </si>
  <si>
    <t>JPMorgan Chase &amp; Co</t>
  </si>
  <si>
    <t>https://static.finnhub.io/logo/0bf9570a-80ec-11ea-9e21-00000000092a.png</t>
  </si>
  <si>
    <t>https://www.jpmorganchase.com/</t>
  </si>
  <si>
    <t>ko</t>
  </si>
  <si>
    <t>Coca-Cola Co</t>
  </si>
  <si>
    <t>https://static.finnhub.io/logo/12f0377a-80ec-11ea-896a-00000000092a.png</t>
  </si>
  <si>
    <t>https://www.coca-colacompany.com/</t>
  </si>
  <si>
    <t>kmx</t>
  </si>
  <si>
    <t>Carmax Inc</t>
  </si>
  <si>
    <t>https://static.finnhub.io/logo/2879f1e14e28ba6a8ddfa0976c76da74189bd418a0c3505ebd333d3c7efb1b85.png</t>
  </si>
  <si>
    <t>https://www.carmax.com/</t>
  </si>
  <si>
    <t>ldos</t>
  </si>
  <si>
    <t>Leidos Holdings Inc</t>
  </si>
  <si>
    <t>https://static.finnhub.io/logo/6a70aab0-80ec-11ea-b140-00000000092a.png</t>
  </si>
  <si>
    <t>https://www.leidos.com/</t>
  </si>
  <si>
    <t>leg</t>
  </si>
  <si>
    <t>Leggett &amp; Platt Inc</t>
  </si>
  <si>
    <t>https://static.finnhub.io/logo/5e2230cc2a5c21f9fa14b3e7606d0fac3df9217b811e3743301fa11c8fc0c684.png</t>
  </si>
  <si>
    <t>https://leggett.com/</t>
  </si>
  <si>
    <t>mcd</t>
  </si>
  <si>
    <t>McDonald's Corp</t>
  </si>
  <si>
    <t>https://static.finnhub.io/logo/1fc48922e8f6853d63649be8c022bc451941771d13aefd69960f6bd1c6e726ed.png</t>
  </si>
  <si>
    <t>https://www.mcdonalds.com/us/en-us.html</t>
  </si>
  <si>
    <t>lin</t>
  </si>
  <si>
    <t>Linde PLC</t>
  </si>
  <si>
    <t>https://static.finnhub.io/logo/b8fe2cdc-81d4-11ea-bd4e-00000000092a.png</t>
  </si>
  <si>
    <t>https://www.linde.com/</t>
  </si>
  <si>
    <t>lumn</t>
  </si>
  <si>
    <t>Lumen Technologies Inc</t>
  </si>
  <si>
    <t>https://static.finnhub.io/logo/b2f04cc0-80eb-11ea-a434-00000000092a.png</t>
  </si>
  <si>
    <t>https://www.centurylink.com/</t>
  </si>
  <si>
    <t>lyb</t>
  </si>
  <si>
    <t>LyondellBasell Industries NV</t>
  </si>
  <si>
    <t>https://static.finnhub.io/logo/d3871fc8-80c9-11ea-8168-00000000092a.png</t>
  </si>
  <si>
    <t>https://www.lyondellbasell.com/</t>
  </si>
  <si>
    <t>mco</t>
  </si>
  <si>
    <t>Moody's Corp</t>
  </si>
  <si>
    <t>https://static.finnhub.io/logo/21b77074-80ec-11ea-a2fe-00000000092a.png</t>
  </si>
  <si>
    <t>https://www.moodys.com/</t>
  </si>
  <si>
    <t>mck</t>
  </si>
  <si>
    <t>Mckesson Corp</t>
  </si>
  <si>
    <t>https://static.finnhub.io/logo/20acef66-80ec-11ea-9004-00000000092a.png</t>
  </si>
  <si>
    <t>https://www.mckesson.com/</t>
  </si>
  <si>
    <t>mas</t>
  </si>
  <si>
    <t>Masco Corp</t>
  </si>
  <si>
    <t>https://static.finnhub.io/logo/f733abfaa82424a088ae7010ead7d371b7f6579b20393e2cf842ecda43a4e1e6.png</t>
  </si>
  <si>
    <t>https://masco.com/</t>
  </si>
  <si>
    <t>low</t>
  </si>
  <si>
    <t>Lowe's Companies Inc</t>
  </si>
  <si>
    <t>https://static.finnhub.io/logo/1a543662-80ec-11ea-962e-00000000092a.png</t>
  </si>
  <si>
    <t>http://media.lowes.com/</t>
  </si>
  <si>
    <t>mdt</t>
  </si>
  <si>
    <t>Medtronic PLC</t>
  </si>
  <si>
    <t>https://static.finnhub.io/logo/23418fdc-80ec-11ea-b2ad-00000000092a.png</t>
  </si>
  <si>
    <t>https://www.medtronic.com/</t>
  </si>
  <si>
    <t>mkc</t>
  </si>
  <si>
    <t>McCormick &amp; Company Inc</t>
  </si>
  <si>
    <t>https://static.finnhub.io/logo/283299b6-80ec-11ea-a748-00000000092a.png</t>
  </si>
  <si>
    <t>https://www.mccormick.com/</t>
  </si>
  <si>
    <t>met</t>
  </si>
  <si>
    <t>MetLife Inc</t>
  </si>
  <si>
    <t>https://static.finnhub.io/logo/23fa7ee8-80ec-11ea-b9be-00000000092a.png</t>
  </si>
  <si>
    <t>https://www.metlife.com/</t>
  </si>
  <si>
    <t>mgm</t>
  </si>
  <si>
    <t>MGM Resorts International</t>
  </si>
  <si>
    <t>https://static.finnhub.io/logo/2545909a-80ec-11ea-ac68-00000000092a.png</t>
  </si>
  <si>
    <t>https://www.mgmresorts.com/</t>
  </si>
  <si>
    <t>mmc</t>
  </si>
  <si>
    <t>Marsh &amp; McLennan Companies Inc</t>
  </si>
  <si>
    <t>https://static.finnhub.io/logo/0dcbb2b38c092b479f704d3951261861da99b7990ad086d13815d96c4a79c5ea.png</t>
  </si>
  <si>
    <t>https://www.marshmclennan.com/</t>
  </si>
  <si>
    <t>mo</t>
  </si>
  <si>
    <t>Altria Group Inc</t>
  </si>
  <si>
    <t>Tobacco</t>
  </si>
  <si>
    <t>https://static.finnhub.io/logo/002a95625a927e5c06c8491f073040b874a1ab4f55d0e779c5e5492ff0e3239d.png</t>
  </si>
  <si>
    <t>https://www.altria.com/</t>
  </si>
  <si>
    <t>bwa</t>
  </si>
  <si>
    <t>Borgwarner Inc</t>
  </si>
  <si>
    <t>https://static.finnhub.io/logo/fcb21b76-8278-11ea-affb-00000000092a.png</t>
  </si>
  <si>
    <t>https://www.borgwarner.com/</t>
  </si>
  <si>
    <t>mrk</t>
  </si>
  <si>
    <t>Merck &amp; Co Inc</t>
  </si>
  <si>
    <t>https://static.finnhub.io/logo/2eedcaa6-80ec-11ea-853f-00000000092a.png</t>
  </si>
  <si>
    <t>https://www.merck.com/</t>
  </si>
  <si>
    <t>mro</t>
  </si>
  <si>
    <t>Marathon Oil Corp</t>
  </si>
  <si>
    <t>https://static.finnhub.io/logo/2f57969a-80ec-11ea-a60d-00000000092a.png</t>
  </si>
  <si>
    <t>https://www.marathonoil.com/</t>
  </si>
  <si>
    <t>mpc</t>
  </si>
  <si>
    <t>Marathon Petroleum Corp</t>
  </si>
  <si>
    <t>https://static.finnhub.io/logo/3fcc7474-80cb-11ea-83e4-00000000092a.png</t>
  </si>
  <si>
    <t>https://www.marathonpetroleum.com/</t>
  </si>
  <si>
    <t>ms</t>
  </si>
  <si>
    <t>Morgan Stanley</t>
  </si>
  <si>
    <t>https://static.finnhub.io/logo/2fa6e0cc-80ec-11ea-9393-00000000092a.png</t>
  </si>
  <si>
    <t>https://www.morganstanley.com/</t>
  </si>
  <si>
    <t>mtb</t>
  </si>
  <si>
    <t>M&amp;T Bank Corp</t>
  </si>
  <si>
    <t>https://static.finnhub.io/logo/30d4609c-80ec-11ea-8ba5-00000000092a.png</t>
  </si>
  <si>
    <t>https://www.mtb.com/</t>
  </si>
  <si>
    <t>mtd</t>
  </si>
  <si>
    <t>Mettler-Toledo International Inc</t>
  </si>
  <si>
    <t>https://static2.finnhub.io/file/publicdatany/finnhubimage/stock_logo/MTD.svg</t>
  </si>
  <si>
    <t>https://www.mt.com/</t>
  </si>
  <si>
    <t>msi</t>
  </si>
  <si>
    <t>Motorola Solutions Inc</t>
  </si>
  <si>
    <t>https://static.finnhub.io/logo/2d51c630-80ec-11ea-be27-00000000092a.png</t>
  </si>
  <si>
    <t>https://www.motorolasolutions.com</t>
  </si>
  <si>
    <t>nee</t>
  </si>
  <si>
    <t>Nextera Energy Inc</t>
  </si>
  <si>
    <t>https://static.finnhub.io/logo/e1c67092-80eb-11ea-b610-00000000092a.png</t>
  </si>
  <si>
    <t>https://www.nexteraenergy.com/</t>
  </si>
  <si>
    <t>msci</t>
  </si>
  <si>
    <t>MSCI Inc</t>
  </si>
  <si>
    <t>https://static.finnhub.io/logo/353f2fa2-80ec-11ea-84d6-00000000092a.png</t>
  </si>
  <si>
    <t>https://www.msci.com/</t>
  </si>
  <si>
    <t>nclh</t>
  </si>
  <si>
    <t>Norwegian Cruise Line Holdings Ltd</t>
  </si>
  <si>
    <t>https://static.finnhub.io/logo/11f658d4f694f9c02c757031862ef93a50badc3344e7193e69183a3b1eb46ff0.png</t>
  </si>
  <si>
    <t>https://www.nclhltd.com/</t>
  </si>
  <si>
    <t>ni</t>
  </si>
  <si>
    <t>NiSource Inc</t>
  </si>
  <si>
    <t>https://static.finnhub.io/logo/3b042364-80ec-11ea-a3c4-00000000092a.png</t>
  </si>
  <si>
    <t>https://www.nisource.com/</t>
  </si>
  <si>
    <t>noc</t>
  </si>
  <si>
    <t>Northrop Grumman Corp</t>
  </si>
  <si>
    <t>https://static.finnhub.io/logo/3e3d9eda-80ec-11ea-810a-00000000092a.png</t>
  </si>
  <si>
    <t>https://www.northropgrumman.com/</t>
  </si>
  <si>
    <t>now</t>
  </si>
  <si>
    <t>ServiceNow Inc</t>
  </si>
  <si>
    <t>https://static.finnhub.io/logo/8023521c-80cc-11ea-9907-00000000092a.png</t>
  </si>
  <si>
    <t>https://www.servicenow.com/</t>
  </si>
  <si>
    <t>nue</t>
  </si>
  <si>
    <t>Nucor Corp</t>
  </si>
  <si>
    <t>Metals and Mining</t>
  </si>
  <si>
    <t>https://static.finnhub.io/logo/61f6fa71dcc06483a3992eb1285beddd4a1d668f622c8a324412e5fc6828d664.png</t>
  </si>
  <si>
    <t>https://nucor.com/</t>
  </si>
  <si>
    <t>nlsn</t>
  </si>
  <si>
    <t>Nielsen Holdings PLC</t>
  </si>
  <si>
    <t>https://static.finnhub.io/logo/56db3b78-80ca-11ea-860e-00000000092a.png</t>
  </si>
  <si>
    <t>https://www.nielsen.com/</t>
  </si>
  <si>
    <t>nsc</t>
  </si>
  <si>
    <t>Norfolk Southern Corp</t>
  </si>
  <si>
    <t>https://static.finnhub.io/logo/40989d8c-80ec-11ea-9189-00000000092a.png</t>
  </si>
  <si>
    <t>http://www.nscorp.com/</t>
  </si>
  <si>
    <t>nvr</t>
  </si>
  <si>
    <t>NVR Inc</t>
  </si>
  <si>
    <t>https://static.finnhub.io/logo/432bfe4c-80ec-11ea-8f50-00000000092a.png</t>
  </si>
  <si>
    <t>https://www.nvrinc.com/</t>
  </si>
  <si>
    <t>pgr</t>
  </si>
  <si>
    <t>Progressive Corp</t>
  </si>
  <si>
    <t>https://static.finnhub.io/logo/5339a36c-80ec-11ea-bfff-00000000092a.png</t>
  </si>
  <si>
    <t>https://www.progressive.com/</t>
  </si>
  <si>
    <t>pfe</t>
  </si>
  <si>
    <t>Pfizer Inc</t>
  </si>
  <si>
    <t>https://static.finnhub.io/logo/5163194a-80ec-11ea-8a20-00000000092a.png</t>
  </si>
  <si>
    <t>https://www.pfizer.com/</t>
  </si>
  <si>
    <t>phm</t>
  </si>
  <si>
    <t>Pultegroup Inc</t>
  </si>
  <si>
    <t>https://static.finnhub.io/logo/538406a4-80ec-11ea-afbb-00000000092a.png</t>
  </si>
  <si>
    <t>https://www.pultegroupinc.com/</t>
  </si>
  <si>
    <t>ph</t>
  </si>
  <si>
    <t>Parker-Hannifin Corp</t>
  </si>
  <si>
    <t>https://static.finnhub.io/logo/52fb881e-80ec-11ea-9c1b-00000000092a.png</t>
  </si>
  <si>
    <t>https://www.parker.com/portal/site/PARKER/menuitem.b90576e27a4d71ae1bfcc510237ad1ca/?vgnextoid=c38888b5bd16e010VgnVCM1000000308a8c0RCRD&amp;vgnextfmt=EN</t>
  </si>
  <si>
    <t>pki</t>
  </si>
  <si>
    <t>PerkinElmer Inc</t>
  </si>
  <si>
    <t>https://static.finnhub.io/logo/560b48b4-80ec-11ea-a26c-00000000092a.png</t>
  </si>
  <si>
    <t>https://www.perkinelmer.com/</t>
  </si>
  <si>
    <t>pld</t>
  </si>
  <si>
    <t>Prologis Inc</t>
  </si>
  <si>
    <t>https://static.finnhub.io/logo/6ff93222-80eb-11ea-8e84-00000000092a.png</t>
  </si>
  <si>
    <t>https://www.prologis.com/</t>
  </si>
  <si>
    <t>ppg</t>
  </si>
  <si>
    <t>PPG Industries Inc</t>
  </si>
  <si>
    <t>https://static.finnhub.io/logo/5a8e2c2e-80ec-11ea-9a08-00000000092a.png</t>
  </si>
  <si>
    <t>https://www.ppg.com/</t>
  </si>
  <si>
    <t>psa</t>
  </si>
  <si>
    <t>Public Storage</t>
  </si>
  <si>
    <t>https://static.finnhub.io/logo/5bb9e9a4-80ec-11ea-b327-00000000092a.png</t>
  </si>
  <si>
    <t>https://www.publicstorage.com/</t>
  </si>
  <si>
    <t>pnc</t>
  </si>
  <si>
    <t>PNC Financial Services Group Inc</t>
  </si>
  <si>
    <t>https://static.finnhub.io/logo/595585fe-80ec-11ea-9ee3-00000000092a.png</t>
  </si>
  <si>
    <t>https://www.pnc.com/</t>
  </si>
  <si>
    <t>pm</t>
  </si>
  <si>
    <t>Philip Morris International Inc</t>
  </si>
  <si>
    <t>https://static.finnhub.io/logo/58416e9a-80ec-11ea-a68c-00000000092a.png</t>
  </si>
  <si>
    <t>https://www.pmi.com/</t>
  </si>
  <si>
    <t>pkg</t>
  </si>
  <si>
    <t>Packaging Corp of America</t>
  </si>
  <si>
    <t>https://static.finnhub.io/logo/55c64d68-80ec-11ea-881b-00000000092a.png</t>
  </si>
  <si>
    <t>https://www.packagingcorp.com/</t>
  </si>
  <si>
    <t>psx</t>
  </si>
  <si>
    <t>Phillips 66</t>
  </si>
  <si>
    <t>https://static.finnhub.io/logo/861c8692-80cc-11ea-8e76-00000000092a.png</t>
  </si>
  <si>
    <t>https://www.phillips66.com/</t>
  </si>
  <si>
    <t>pru</t>
  </si>
  <si>
    <t>Prudential Financial Inc</t>
  </si>
  <si>
    <t>https://static.finnhub.io/logo/5be82d74-80ec-11ea-8776-00000000092a.png</t>
  </si>
  <si>
    <t>https://www.prudential.com/</t>
  </si>
  <si>
    <t>pnr</t>
  </si>
  <si>
    <t>Pentair PLC</t>
  </si>
  <si>
    <t>https://static.finnhub.io/logo/7c350a5284b5364e4cbc3ebcdd8e5340212483e8b43f627494bb2fe66925d7be.png</t>
  </si>
  <si>
    <t>https://www.pentair.com/</t>
  </si>
  <si>
    <t>pnw</t>
  </si>
  <si>
    <t>Pinnacle West Capital Corp</t>
  </si>
  <si>
    <t>https://static.finnhub.io/logo/58db7dc2-80ec-11ea-a1d4-00000000092a.png</t>
  </si>
  <si>
    <t>https://www.pinnaclewest.com/</t>
  </si>
  <si>
    <t>ppl</t>
  </si>
  <si>
    <t>PPL Corp</t>
  </si>
  <si>
    <t>https://static.finnhub.io/logo/5ad1b27e-80ec-11ea-91fc-00000000092a.png</t>
  </si>
  <si>
    <t>https://www.pplweb.com/</t>
  </si>
  <si>
    <t>pwr</t>
  </si>
  <si>
    <t>Quanta Services Inc</t>
  </si>
  <si>
    <t>Construction</t>
  </si>
  <si>
    <t>https://static.finnhub.io/logo/5cd40824-80ec-11ea-8cdc-00000000092a.png</t>
  </si>
  <si>
    <t>https://www.quantaservices.com/</t>
  </si>
  <si>
    <t>rjf</t>
  </si>
  <si>
    <t>Raymond James Financial Inc</t>
  </si>
  <si>
    <t>https://static.finnhub.io/logo/61f3d4a2-80ec-11ea-bc21-00000000092a.png</t>
  </si>
  <si>
    <t>https://www.raymondjames.com/</t>
  </si>
  <si>
    <t>rf</t>
  </si>
  <si>
    <t>Regions Financial Corp</t>
  </si>
  <si>
    <t>https://static.finnhub.io/logo/6078f774-80ec-11ea-a4f9-00000000092a.png</t>
  </si>
  <si>
    <t>https://www.regions.com/</t>
  </si>
  <si>
    <t>rcl</t>
  </si>
  <si>
    <t>Royal Caribbean Cruises Ltd</t>
  </si>
  <si>
    <t>https://static.finnhub.io/logo/fa7e26aaa52b5bf30455b809ea0e58a231ef2155d3060c9c25907fe65ac56333.png</t>
  </si>
  <si>
    <t>https://www.royalcaribbeangroup.com/</t>
  </si>
  <si>
    <t>rl</t>
  </si>
  <si>
    <t>Ralph Lauren Corp</t>
  </si>
  <si>
    <t>Textiles Apparel and Luxury Goods</t>
  </si>
  <si>
    <t>https://static.finnhub.io/logo/627d9592-80ec-11ea-8d78-00000000092a.png</t>
  </si>
  <si>
    <t>https://investor.ralphlauren.com/</t>
  </si>
  <si>
    <t>pvh</t>
  </si>
  <si>
    <t>PVH Corp</t>
  </si>
  <si>
    <t>https://static.finnhub.io/logo/5c877bb6-80ec-11ea-aa40-00000000092a.png</t>
  </si>
  <si>
    <t>https://www.pvh.com/</t>
  </si>
  <si>
    <t>rhi</t>
  </si>
  <si>
    <t>Robert Half International Inc</t>
  </si>
  <si>
    <t>https://static.finnhub.io/logo/611b69c8-80ec-11ea-97f0-00000000092a.png</t>
  </si>
  <si>
    <t>https://www.roberthalf.com/</t>
  </si>
  <si>
    <t>pxd</t>
  </si>
  <si>
    <t>Pioneer Natural Resources Co</t>
  </si>
  <si>
    <t>https://static.finnhub.io/logo/5d0d741c-80ec-11ea-a494-00000000092a.png</t>
  </si>
  <si>
    <t>https://www.pxd.com/</t>
  </si>
  <si>
    <t>rol</t>
  </si>
  <si>
    <t>Rollins Inc</t>
  </si>
  <si>
    <t>https://static.finnhub.io/logo/65f77576-80ec-11ea-b637-00000000092a.png</t>
  </si>
  <si>
    <t>https://www.rollins.com/</t>
  </si>
  <si>
    <t>rmd</t>
  </si>
  <si>
    <t>Resmed Inc</t>
  </si>
  <si>
    <t>https://static.finnhub.io/logo/6392da88-80ec-11ea-998e-00000000092a.png</t>
  </si>
  <si>
    <t>https://www.resmed.com/</t>
  </si>
  <si>
    <t>schw</t>
  </si>
  <si>
    <t>Charles Schwab Corp</t>
  </si>
  <si>
    <t>https://static.finnhub.io/logo/867fa080-80e0-11ea-9be1-00000000092a.png</t>
  </si>
  <si>
    <t>https://www.schwab.com/</t>
  </si>
  <si>
    <t>rok</t>
  </si>
  <si>
    <t>Rockwell Automation Inc</t>
  </si>
  <si>
    <t>https://static.finnhub.io/logo/65a84b78-80ec-11ea-a534-00000000092a.png</t>
  </si>
  <si>
    <t>https://www.rockwellautomation.com/</t>
  </si>
  <si>
    <t>tdg</t>
  </si>
  <si>
    <t>TransDigm Group Inc</t>
  </si>
  <si>
    <t>https://static.finnhub.io/logo/80ac1b50-80ec-11ea-a061-00000000092a.png</t>
  </si>
  <si>
    <t>https://www.transdigm.com/</t>
  </si>
  <si>
    <t>see</t>
  </si>
  <si>
    <t>Sealed Air Corp</t>
  </si>
  <si>
    <t>https://static.finnhub.io/logo/6c39a694-80ec-11ea-9601-00000000092a.png</t>
  </si>
  <si>
    <t>https://sealedair.com/</t>
  </si>
  <si>
    <t>rop</t>
  </si>
  <si>
    <t>Roper Technologies Inc</t>
  </si>
  <si>
    <t>https://static.finnhub.io/logo/6649ef38-80ec-11ea-a694-00000000092a.png</t>
  </si>
  <si>
    <t>https://www.ropertech.com/</t>
  </si>
  <si>
    <t>swk</t>
  </si>
  <si>
    <t>Stanley Black &amp; Decker Inc</t>
  </si>
  <si>
    <t>https://static.finnhub.io/logo/5acc625a815c258fc2f37a7ee1e02489374a3c1b896b8919dff795cfd7f2002d.png</t>
  </si>
  <si>
    <t>https://www.stanleyblackanddecker.com/</t>
  </si>
  <si>
    <t>stz</t>
  </si>
  <si>
    <t>Constellation Brands Inc</t>
  </si>
  <si>
    <t>https://static.finnhub.io/logo/79274efe-80ec-11ea-a002-00000000092a.png</t>
  </si>
  <si>
    <t>https://www.cbrands.com/</t>
  </si>
  <si>
    <t>syk</t>
  </si>
  <si>
    <t>Stryker Corp</t>
  </si>
  <si>
    <t>https://static.finnhub.io/logo/7b69d1b8-80ec-11ea-8adc-00000000092a.png</t>
  </si>
  <si>
    <t>https://www.stryker.com/</t>
  </si>
  <si>
    <t>syy</t>
  </si>
  <si>
    <t>Sysco Corp</t>
  </si>
  <si>
    <t>https://static.finnhub.io/logo/7d98fe90-80ec-11ea-8efe-00000000092a.png</t>
  </si>
  <si>
    <t>https://www.sysco.com/</t>
  </si>
  <si>
    <t>shw</t>
  </si>
  <si>
    <t>Sherwin-Williams Co</t>
  </si>
  <si>
    <t>https://static.finnhub.io/logo/6f293378-80ec-11ea-a6d1-00000000092a.png</t>
  </si>
  <si>
    <t>https://www.sherwin-williams.com/</t>
  </si>
  <si>
    <t>spgi</t>
  </si>
  <si>
    <t>S&amp;P Global Inc</t>
  </si>
  <si>
    <t>https://static.finnhub.io/logo/2746fe14-80ec-11ea-98af-00000000092a.png</t>
  </si>
  <si>
    <t>https://www.spglobal.com/</t>
  </si>
  <si>
    <t>ste</t>
  </si>
  <si>
    <t>STERIS plc</t>
  </si>
  <si>
    <t>https://static.finnhub.io/logo/7994efac322b7ad341facfee5c9fcf15f66bed805484134ee74b573f56fb60c1.png</t>
  </si>
  <si>
    <t>https://www.steris.com/</t>
  </si>
  <si>
    <t>syf</t>
  </si>
  <si>
    <t>Synchrony Financial</t>
  </si>
  <si>
    <t>https://static.finnhub.io/logo/d47e2046-80cf-11ea-9956-00000000092a.png</t>
  </si>
  <si>
    <t>https://www.synchrony.com/</t>
  </si>
  <si>
    <t>spg</t>
  </si>
  <si>
    <t>Simon Property Group Inc</t>
  </si>
  <si>
    <t>https://static.finnhub.io/logo/7457aade-80ec-11ea-9de4-00000000092a.png</t>
  </si>
  <si>
    <t>http://www.simon.com/</t>
  </si>
  <si>
    <t>sre</t>
  </si>
  <si>
    <t>Sempra Energy</t>
  </si>
  <si>
    <t>https://static.finnhub.io/logo/761f51b8-80ec-11ea-8baf-00000000092a.png</t>
  </si>
  <si>
    <t>https://www.sempra.com/</t>
  </si>
  <si>
    <t>so</t>
  </si>
  <si>
    <t>Southern Co</t>
  </si>
  <si>
    <t>https://static.finnhub.io/logo/7372a876-80ec-11ea-85f4-00000000092a.png</t>
  </si>
  <si>
    <t>https://www.southerncompany.com/</t>
  </si>
  <si>
    <t>stt</t>
  </si>
  <si>
    <t>State Street Corp</t>
  </si>
  <si>
    <t>https://static.finnhub.io/logo/79719626-80ec-11ea-aeff-00000000092a.png</t>
  </si>
  <si>
    <t>https://www.statestreet.com/home.html</t>
  </si>
  <si>
    <t>sna</t>
  </si>
  <si>
    <t>Snap-On Inc</t>
  </si>
  <si>
    <t>https://static.finnhub.io/logo/7270adb0-80ec-11ea-9ce1-00000000092a.png</t>
  </si>
  <si>
    <t>https://www.snapon.com/</t>
  </si>
  <si>
    <t>rtx</t>
  </si>
  <si>
    <t>Raytheon Technologies Corp</t>
  </si>
  <si>
    <t>https://static.finnhub.io/logo/cbc931066795111b6f985e16035ce417298b00557a4ce7585eb53595ebda66e1.png</t>
  </si>
  <si>
    <t>https://www.rtx.com/</t>
  </si>
  <si>
    <t>hig</t>
  </si>
  <si>
    <t>Hartford Financial Services Group Inc</t>
  </si>
  <si>
    <t>https://static.finnhub.io/logo/f5c0966c-80eb-11ea-aa55-00000000092a.png</t>
  </si>
  <si>
    <t>https://www.thehartford.com/</t>
  </si>
  <si>
    <t>tel</t>
  </si>
  <si>
    <t>TE Connectivity Ltd</t>
  </si>
  <si>
    <t>https://static.finnhub.io/logo/81c63b2c-80ec-11ea-baa4-00000000092a.png</t>
  </si>
  <si>
    <t>https://www.te.com/</t>
  </si>
  <si>
    <t>tfx</t>
  </si>
  <si>
    <t>Teleflex Inc</t>
  </si>
  <si>
    <t>https://static4.finnhub.io/file/publicdatany2/stock_logo/TFX_4295905048.jpg</t>
  </si>
  <si>
    <t>https://www.teleflex.com/</t>
  </si>
  <si>
    <t>tfc</t>
  </si>
  <si>
    <t>Truist Financial Corp</t>
  </si>
  <si>
    <t>https://static.finnhub.io/logo/50ba697e87554ae92fd2decca59d04a9c03acaac4a994a4902eafed0531f0a4d.png</t>
  </si>
  <si>
    <t>https://www.truist.com/</t>
  </si>
  <si>
    <t>tdy</t>
  </si>
  <si>
    <t>Teledyne Technologies Inc</t>
  </si>
  <si>
    <t>https://static.finnhub.io/logo/800bfc1a-80ec-11ea-bbca-00000000092a.png</t>
  </si>
  <si>
    <t>https://www.teledyne.com/</t>
  </si>
  <si>
    <t>tgt</t>
  </si>
  <si>
    <t>Target Corp</t>
  </si>
  <si>
    <t>https://static.finnhub.io/logo/83bbf858-80ec-11ea-9454-00000000092a.png</t>
  </si>
  <si>
    <t>https://corporate.target.com/</t>
  </si>
  <si>
    <t>tjx</t>
  </si>
  <si>
    <t>TJX Companies Inc</t>
  </si>
  <si>
    <t>https://static.finnhub.io/logo/867767c8-80ec-11ea-84cc-00000000092a.png</t>
  </si>
  <si>
    <t>https://www.tjx.com/index.html</t>
  </si>
  <si>
    <t>tpr</t>
  </si>
  <si>
    <t>Tapestry Inc</t>
  </si>
  <si>
    <t>https://static.finnhub.io/logo/58ad34560d8e182ad9f36cef6e62734c155a4efcfb882243789cbe3a0b2edf4a.png</t>
  </si>
  <si>
    <t>https://www.tapestry.com/</t>
  </si>
  <si>
    <t>trv</t>
  </si>
  <si>
    <t>Travelers Companies Inc</t>
  </si>
  <si>
    <t>https://static.finnhub.io/logo/8a5ea176-80ec-11ea-bcad-00000000092a.png</t>
  </si>
  <si>
    <t>https://www.travelers.com/</t>
  </si>
  <si>
    <t>tmo</t>
  </si>
  <si>
    <t>Thermo Fisher Scientific Inc</t>
  </si>
  <si>
    <t>https://static.finnhub.io/logo/87f0bdac-80ec-11ea-b741-00000000092a.png</t>
  </si>
  <si>
    <t>https://www.thermofisher.com/</t>
  </si>
  <si>
    <t>tt</t>
  </si>
  <si>
    <t>Trane Technologies PLC</t>
  </si>
  <si>
    <t>https://static.finnhub.io/logo/a16640a1e06f4119b9995c996f11dc6ea7d1953abc843cced84c4755aa3a7497.png</t>
  </si>
  <si>
    <t>https://www.tranetechnologies.com/</t>
  </si>
  <si>
    <t>tsn</t>
  </si>
  <si>
    <t>Tyson Foods Inc</t>
  </si>
  <si>
    <t>https://static.finnhub.io/logo/8b141262-80ec-11ea-805e-00000000092a.png</t>
  </si>
  <si>
    <t>https://www.tysonfoods.com/</t>
  </si>
  <si>
    <t>tyl</t>
  </si>
  <si>
    <t>Tyler Technologies Inc</t>
  </si>
  <si>
    <t>https://static.finnhub.io/logo/8f0155d4-80ec-11ea-a06e-00000000092a.png</t>
  </si>
  <si>
    <t>https://www.tylertech.com/</t>
  </si>
  <si>
    <t>txt</t>
  </si>
  <si>
    <t>Textron Inc</t>
  </si>
  <si>
    <t>https://static.finnhub.io/logo/8d40143a-80ec-11ea-a456-00000000092a.png</t>
  </si>
  <si>
    <t>https://www.textron.com/</t>
  </si>
  <si>
    <t>unh</t>
  </si>
  <si>
    <t>UnitedHealth Group Inc</t>
  </si>
  <si>
    <t>https://static.finnhub.io/logo/91f38836-80ec-11ea-a5be-00000000092a.png</t>
  </si>
  <si>
    <t>https://www.unitedhealthgroup.com/</t>
  </si>
  <si>
    <t>ups</t>
  </si>
  <si>
    <t>United Parcel Service Inc</t>
  </si>
  <si>
    <t>https://static.finnhub.io/logo/938d3558-80ec-11ea-b87d-00000000092a.png</t>
  </si>
  <si>
    <t>https://www.ups.com/</t>
  </si>
  <si>
    <t>udr</t>
  </si>
  <si>
    <t>UDR Inc</t>
  </si>
  <si>
    <t>https://static.finnhub.io/logo/900c0f4a-80ec-11ea-8d9b-00000000092a.png</t>
  </si>
  <si>
    <t>https://www.udr.com/</t>
  </si>
  <si>
    <t>uhs</t>
  </si>
  <si>
    <t>Universal Health Services Inc</t>
  </si>
  <si>
    <t>https://static.finnhub.io/logo/91358978-80ec-11ea-9330-00000000092a.png</t>
  </si>
  <si>
    <t>https://uhs.com/</t>
  </si>
  <si>
    <t>mos</t>
  </si>
  <si>
    <t>Mosaic Co</t>
  </si>
  <si>
    <t>https://static.finnhub.io/logo/2d0284ee-80ec-11ea-9f28-00000000092a.png</t>
  </si>
  <si>
    <t>https://www.mosaicco.com/</t>
  </si>
  <si>
    <t>usb</t>
  </si>
  <si>
    <t>US Bancorp</t>
  </si>
  <si>
    <t>https://static.finnhub.io/logo/9490028a-80ec-11ea-bee6-00000000092a.png</t>
  </si>
  <si>
    <t>https://www.usbank.com/</t>
  </si>
  <si>
    <t>uri</t>
  </si>
  <si>
    <t>United Rentals Inc</t>
  </si>
  <si>
    <t>https://static.finnhub.io/logo/93d2840c-80ec-11ea-af66-00000000092a.png</t>
  </si>
  <si>
    <t>https://www.unitedrentals.com/</t>
  </si>
  <si>
    <t>vno</t>
  </si>
  <si>
    <t>Vornado Realty Trust</t>
  </si>
  <si>
    <t>https://static.finnhub.io/logo/9a0bc3a8-80ec-11ea-b356-00000000092a.png</t>
  </si>
  <si>
    <t>https://www.vno.com/</t>
  </si>
  <si>
    <t>vlo</t>
  </si>
  <si>
    <t>Valero Energy Corp</t>
  </si>
  <si>
    <t>https://static.finnhub.io/logo/9895287e-80ec-11ea-9005-00000000092a.png</t>
  </si>
  <si>
    <t>https://www.valero.com/</t>
  </si>
  <si>
    <t>vfc</t>
  </si>
  <si>
    <t>VF Corp</t>
  </si>
  <si>
    <t>https://static.finnhub.io/logo/9740951a-80ec-11ea-ae98-00000000092a.png</t>
  </si>
  <si>
    <t>https://www.vfc.com/</t>
  </si>
  <si>
    <t>v</t>
  </si>
  <si>
    <t>Visa Inc</t>
  </si>
  <si>
    <t>https://static.finnhub.io/logo/96a1dba6-80ec-11ea-8ab6-00000000092a.png</t>
  </si>
  <si>
    <t>https://usa.visa.com/</t>
  </si>
  <si>
    <t>vtr</t>
  </si>
  <si>
    <t>Ventas Inc</t>
  </si>
  <si>
    <t>https://static.finnhub.io/logo/e63599b4-8279-11ea-a58d-00000000092a.png</t>
  </si>
  <si>
    <t>https://www.ventasreit.com/</t>
  </si>
  <si>
    <t>vmc</t>
  </si>
  <si>
    <t>Vulcan Materials Co</t>
  </si>
  <si>
    <t>https://static.finnhub.io/logo/98e82364-80ec-11ea-91db-00000000092a.png</t>
  </si>
  <si>
    <t>https://www.vulcanmaterials.com/</t>
  </si>
  <si>
    <t>wec</t>
  </si>
  <si>
    <t>WEC Energy Group Inc</t>
  </si>
  <si>
    <t>https://static.finnhub.io/logo/9ed91c64-80ec-11ea-a88a-00000000092a.png</t>
  </si>
  <si>
    <t>https://www.wecenergygroup.com/</t>
  </si>
  <si>
    <t>well</t>
  </si>
  <si>
    <t>Welltower OP LLC</t>
  </si>
  <si>
    <t>https://static.finnhub.io/logo/f36a2b02-80eb-11ea-bd6a-00000000092a.png</t>
  </si>
  <si>
    <t>https://welltower.com/</t>
  </si>
  <si>
    <t>wat</t>
  </si>
  <si>
    <t>Waters Corp</t>
  </si>
  <si>
    <t>https://static.finnhub.io/logo/0a5c3417481b22f5acd53469adf5c18e0c8d5a99e49bd245766818352728169f.png</t>
  </si>
  <si>
    <t>https://www.waters.com/nextgen/us/en.html</t>
  </si>
  <si>
    <t>wm</t>
  </si>
  <si>
    <t>Waste Management Inc</t>
  </si>
  <si>
    <t>https://static.finnhub.io/logo/a3d670b8-80ec-11ea-bd29-00000000092a.png</t>
  </si>
  <si>
    <t>https://www.wm.com/</t>
  </si>
  <si>
    <t>wab</t>
  </si>
  <si>
    <t>Westinghouse Air Brake Technologies Corp</t>
  </si>
  <si>
    <t>https://static.finnhub.io/logo/9c29d5da-80ec-11ea-a77b-00000000092a.png</t>
  </si>
  <si>
    <t>https://www.wabteccorp.com/</t>
  </si>
  <si>
    <t>wmb</t>
  </si>
  <si>
    <t>Williams Companies Inc</t>
  </si>
  <si>
    <t>https://static.finnhub.io/logo/9c7840c7a4d838e2d8eb3e1244b180fbd5d2c11bdfe84ff0591b407ac5c4272c.png</t>
  </si>
  <si>
    <t>https://www.williams.com/</t>
  </si>
  <si>
    <t>wfc</t>
  </si>
  <si>
    <t>Wells Fargo &amp; Co</t>
  </si>
  <si>
    <t>https://static.finnhub.io/logo/a108f354-80ec-11ea-a9e8-00000000092a.png</t>
  </si>
  <si>
    <t>https://www.wellsfargo.com/</t>
  </si>
  <si>
    <t>whr</t>
  </si>
  <si>
    <t>Whirlpool Corp</t>
  </si>
  <si>
    <t>https://static.finnhub.io/logo/144dfbd3d1545da3e390c36dbaecce8bef72e443a4cfd828c95c9fddc25dbee2.png</t>
  </si>
  <si>
    <t>https://www.whirlpoolcorp.com/</t>
  </si>
  <si>
    <t>wst</t>
  </si>
  <si>
    <t>West Pharmaceutical Services Inc</t>
  </si>
  <si>
    <t>https://static.finnhub.io/logo/a8401906-80ec-11ea-b1a2-00000000092a.png</t>
  </si>
  <si>
    <t>https://www.westpharma.com/</t>
  </si>
  <si>
    <t>wrb</t>
  </si>
  <si>
    <t>W R Berkley Corp</t>
  </si>
  <si>
    <t>https://static.finnhub.io/logo/740dcb527b61009b015033853e9bfbf73290277f9b9ea340f649eed255598acf.png</t>
  </si>
  <si>
    <t>https://www.berkley.com</t>
  </si>
  <si>
    <t>wmt</t>
  </si>
  <si>
    <t>Walmart Inc</t>
  </si>
  <si>
    <t>https://static.finnhub.io/logo/52057505dd05a752d364065fcddf7772a700b31c47c39e9dcb41e393f6693d52.png</t>
  </si>
  <si>
    <t>https://corporate.walmart.com</t>
  </si>
  <si>
    <t>wu</t>
  </si>
  <si>
    <t>Western Union Co</t>
  </si>
  <si>
    <t>https://static.finnhub.io/logo/a9014bda-80ec-11ea-8ebd-00000000092a.png</t>
  </si>
  <si>
    <t>https://corporate.westernunion.com/</t>
  </si>
  <si>
    <t>yum</t>
  </si>
  <si>
    <t>Yum! Brands Inc</t>
  </si>
  <si>
    <t>https://static2.finnhub.io/file/publicdatany/finnhubimage/stock_logo/YUM_4295905127.png</t>
  </si>
  <si>
    <t>https://www.yum.com/wps/portal/yumbrands/Yumbrands</t>
  </si>
  <si>
    <t>xyl</t>
  </si>
  <si>
    <t>Xylem Inc</t>
  </si>
  <si>
    <t>https://static.finnhub.io/logo/b7806a5bdc1a1644d60a225492aab173dfd95635750d7b9b45b8c0b294de1c6b.png</t>
  </si>
  <si>
    <t>https://www.xylem.com/</t>
  </si>
  <si>
    <t>wy</t>
  </si>
  <si>
    <t>Weyerhaeuser Co</t>
  </si>
  <si>
    <t>https://static.finnhub.io/logo/ac1dd6b8-80ec-11ea-997a-00000000092a.png</t>
  </si>
  <si>
    <t>https://www.weyerhaeuser.com/</t>
  </si>
  <si>
    <t>wrk</t>
  </si>
  <si>
    <t>Westrock Co</t>
  </si>
  <si>
    <t>https://static.finnhub.io/logo/3f3f2482-80d2-11ea-a5a1-00000000092a.png</t>
  </si>
  <si>
    <t>https://www.westrock.com/</t>
  </si>
  <si>
    <t>xom</t>
  </si>
  <si>
    <t>Exxon Mobil Corp</t>
  </si>
  <si>
    <t>https://static.finnhub.io/logo/ae11c718-80ec-11ea-906c-00000000092a.png</t>
  </si>
  <si>
    <t>https://corporate.exxonmobil.com/</t>
  </si>
  <si>
    <t>zbh</t>
  </si>
  <si>
    <t>Zimmer Biomet Holdings Inc</t>
  </si>
  <si>
    <t>https://static.finnhub.io/logo/af918252-80ec-11ea-8921-00000000092a.png</t>
  </si>
  <si>
    <t>https://www.zimmerbiomet.com/en</t>
  </si>
  <si>
    <t>zts</t>
  </si>
  <si>
    <t>Zoetis Inc</t>
  </si>
  <si>
    <t>https://static.finnhub.io/logo/aae505a6-80cd-11ea-ae5f-00000000092a.png</t>
  </si>
  <si>
    <t>https://www.zoetis.com/</t>
  </si>
  <si>
    <t>de</t>
  </si>
  <si>
    <t>Deere &amp; Co</t>
  </si>
  <si>
    <t>https://static.finnhub.io/logo/bc1c82ca-80eb-11ea-9dab-00000000092a.png</t>
  </si>
  <si>
    <t>https://www.deere.com/</t>
  </si>
  <si>
    <t>dd</t>
  </si>
  <si>
    <t>Dupont De Nemours Inc</t>
  </si>
  <si>
    <t>https://static.finnhub.io/logo/05ee38d2b79516f1f0e05cd3272ed2cc3d26a720403d97cd98489b65a8534c0b.png</t>
  </si>
  <si>
    <t>https://www.dupont.com/</t>
  </si>
  <si>
    <t>d</t>
  </si>
  <si>
    <t>Dominion Energy Inc</t>
  </si>
  <si>
    <t>https://static.finnhub.io/logo/b8c87ccc-80eb-11ea-8353-00000000092a.png</t>
  </si>
  <si>
    <t>https://www.dominionenergy.com/</t>
  </si>
  <si>
    <t>cvs</t>
  </si>
  <si>
    <t>CVS Health Corp</t>
  </si>
  <si>
    <t>https://static.finnhub.io/logo/967b7ec60c44b54789e6c3e49f85ba1dd1ced58138b383c35a17f1da367c3c20.png</t>
  </si>
  <si>
    <t>https://cvshealth.com/</t>
  </si>
  <si>
    <t>dal</t>
  </si>
  <si>
    <t>Delta Air Lines Inc</t>
  </si>
  <si>
    <t>https://static2.finnhub.io/file/publicdatany/finnhubimage/stock_logo/DAL_4295903853.png</t>
  </si>
  <si>
    <t>https://www.delta.com/</t>
  </si>
  <si>
    <t>crm</t>
  </si>
  <si>
    <t>Salesforce Inc</t>
  </si>
  <si>
    <t>https://static.finnhub.io/logo/5a800a68f67c85e1158caac04d7571fd645fadb4db02255a64f72805ff5c7e2a.png</t>
  </si>
  <si>
    <t>https://www.salesforce.com/</t>
  </si>
  <si>
    <t>cvx</t>
  </si>
  <si>
    <t>Chevron Corp</t>
  </si>
  <si>
    <t>https://static.finnhub.io/logo/b5214c2e-80eb-11ea-b823-00000000092a.png</t>
  </si>
  <si>
    <t>https://www.chevron.com/</t>
  </si>
  <si>
    <t>ctva</t>
  </si>
  <si>
    <t>Corteva Inc</t>
  </si>
  <si>
    <t>https://static.finnhub.io/logo/5e5e239c-80da-11ea-9057-00000000092a.png</t>
  </si>
  <si>
    <t>https://www.corteva.com</t>
  </si>
  <si>
    <t>ctra</t>
  </si>
  <si>
    <t>Coterra Energy Inc</t>
  </si>
  <si>
    <t>https://static.finnhub.io/logo/aa49afec-80eb-11ea-b224-00000000092a.png</t>
  </si>
  <si>
    <t>https://coterra.com/</t>
  </si>
  <si>
    <t>ctlt</t>
  </si>
  <si>
    <t>Catalent Inc</t>
  </si>
  <si>
    <t>https://static.finnhub.io/logo/c00dc57e-80cf-11ea-ae8f-00000000092a.png</t>
  </si>
  <si>
    <t>https://www.catalent.com/</t>
  </si>
  <si>
    <t>cpb</t>
  </si>
  <si>
    <t>Campbell Soup Co</t>
  </si>
  <si>
    <t>https://static.finnhub.io/logo/9d62e2c93777bb01219c94ccf5be76cac7e2963a98b4f91ad9f8af9a6d12c75c.png</t>
  </si>
  <si>
    <t>https://www.campbellsoupcompany.com/</t>
  </si>
  <si>
    <t>crl</t>
  </si>
  <si>
    <t>Charles River Laboratories International Inc</t>
  </si>
  <si>
    <t>https://static.finnhub.io/logo/57255b65e8211290fea2a682499fcdb7655d9ae4fc6161e5286c0993044e6d57.png</t>
  </si>
  <si>
    <t>https://www.criver.com/</t>
  </si>
  <si>
    <t>cop</t>
  </si>
  <si>
    <t>Conocophillips</t>
  </si>
  <si>
    <t>https://static.finnhub.io/logo/aacfcb5e-80eb-11ea-8e60-00000000092a.png</t>
  </si>
  <si>
    <t>http://www.conocophillips.com/</t>
  </si>
  <si>
    <t>coo</t>
  </si>
  <si>
    <t>Cooper Companies Inc</t>
  </si>
  <si>
    <t>https://static.finnhub.io/logo/aa10fd64-80eb-11ea-8aad-00000000092a.png</t>
  </si>
  <si>
    <t>https://www.coopercos.com/</t>
  </si>
  <si>
    <t>cof</t>
  </si>
  <si>
    <t>Capital One Financial Corp</t>
  </si>
  <si>
    <t>https://static.finnhub.io/logo/aa81d530-80eb-11ea-aeeb-00000000092a.png</t>
  </si>
  <si>
    <t>https://www.capitalone.com/</t>
  </si>
  <si>
    <t>cnc</t>
  </si>
  <si>
    <t>Centene Corp</t>
  </si>
  <si>
    <t>https://static.finnhub.io/logo/a829c2c2-80eb-11ea-a52a-00000000092a.png</t>
  </si>
  <si>
    <t>https://www.centene.com/</t>
  </si>
  <si>
    <t>cnp</t>
  </si>
  <si>
    <t>CenterPoint Energy Inc</t>
  </si>
  <si>
    <t>https://static.finnhub.io/logo/a983bcb0-80eb-11ea-96df-00000000092a.png</t>
  </si>
  <si>
    <t>https://www.centerpointenergy.com/</t>
  </si>
  <si>
    <t>cms</t>
  </si>
  <si>
    <t>CMS Energy Corp</t>
  </si>
  <si>
    <t>https://static.finnhub.io/logo/a772ceae-80eb-11ea-ae8d-00000000092a.png</t>
  </si>
  <si>
    <t>https://www.cmsenergy.com/</t>
  </si>
  <si>
    <t>C</t>
  </si>
  <si>
    <t>cmi</t>
  </si>
  <si>
    <t>Cummins Inc</t>
  </si>
  <si>
    <t>https://static.finnhub.io/logo/a612de46-80eb-11ea-b7ef-00000000092a.png</t>
  </si>
  <si>
    <t>https://www.cummins.com/</t>
  </si>
  <si>
    <t>cl</t>
  </si>
  <si>
    <t>Colgate-Palmolive Co</t>
  </si>
  <si>
    <t>https://static.finnhub.io/logo/a1933f1c-80eb-11ea-b4c0-00000000092a.png</t>
  </si>
  <si>
    <t>https://www.colgate.com/</t>
  </si>
  <si>
    <t>mmm</t>
  </si>
  <si>
    <t>3M Co</t>
  </si>
  <si>
    <t>Industrial Conglomerates</t>
  </si>
  <si>
    <t>https://static.finnhub.io/logo/2a1802fa-80ec-11ea-a0f5-00000000092a.png</t>
  </si>
  <si>
    <t>https://www.3m.com/</t>
  </si>
  <si>
    <t>cfg</t>
  </si>
  <si>
    <t>Citizens Financial Group Inc</t>
  </si>
  <si>
    <t>https://static.finnhub.io/logo/7aa22fa8-80d0-11ea-b627-00000000092a.png</t>
  </si>
  <si>
    <t>https://www.citizensbank.com/</t>
  </si>
  <si>
    <t>cag</t>
  </si>
  <si>
    <t>Conagra Brands Inc</t>
  </si>
  <si>
    <t>https://static.finnhub.io/logo/83636bb3e8284a86d2322a428a31f7eaed97d3effb350e6ebd5f39dfcd32f0e9.png</t>
  </si>
  <si>
    <t>https://www.conagrabrands.com/</t>
  </si>
  <si>
    <t>ci</t>
  </si>
  <si>
    <t>Cigna Corp</t>
  </si>
  <si>
    <t>https://static.finnhub.io/logo/9eb85cf0-80eb-11ea-a6ed-00000000092a.png</t>
  </si>
  <si>
    <t>https://www.cigna.com/</t>
  </si>
  <si>
    <t>cah</t>
  </si>
  <si>
    <t>Cardinal Health Inc</t>
  </si>
  <si>
    <t>https://static.finnhub.io/logo/88511edda41b785295d9b638075a69a79c69e9ff3a1a46b0347f656c32cfb820.png</t>
  </si>
  <si>
    <t>https://www.cardinalhealth.com/en.html</t>
  </si>
  <si>
    <t>ma</t>
  </si>
  <si>
    <t>Mastercard Inc</t>
  </si>
  <si>
    <t>https://static.finnhub.io/logo/96406588fb76d52e50bf7c2bc0f730206a19c4f08371ead195e22ca07da3f66f.png</t>
  </si>
  <si>
    <t>https://investor.mastercard.com/investor-relations/default.aspx</t>
  </si>
  <si>
    <t>lw</t>
  </si>
  <si>
    <t>Lamb Weston Holdings Inc</t>
  </si>
  <si>
    <t>https://static.finnhub.io/logo/7dd3316b07aaae0476f1aef88bc624d4c5c5182ca5aa592de10fd909d55f9d1c.png</t>
  </si>
  <si>
    <t>https://www.lambweston.com/</t>
  </si>
  <si>
    <t>maa</t>
  </si>
  <si>
    <t>Mid-America Apartment Communities Inc</t>
  </si>
  <si>
    <t>https://static.finnhub.io/logo/1e4096dc-80ec-11ea-b0aa-00000000092a.png</t>
  </si>
  <si>
    <t>https://www.maac.com/</t>
  </si>
  <si>
    <t>mlm</t>
  </si>
  <si>
    <t>Martin Marietta Materials Inc</t>
  </si>
  <si>
    <t>https://static.finnhub.io/logo/287fe388-80ec-11ea-9de9-00000000092a.png</t>
  </si>
  <si>
    <t>https://www.martinmarietta.com/</t>
  </si>
  <si>
    <t>luv</t>
  </si>
  <si>
    <t>Southwest Airlines Co</t>
  </si>
  <si>
    <t>https://static.finnhub.io/logo/b3772d81283effbcbc60d9f05a9d7e383119b5240c6c4d4cb4b5089d53e03cce.png</t>
  </si>
  <si>
    <t>https://www.southwest.com/</t>
  </si>
  <si>
    <t>lnc</t>
  </si>
  <si>
    <t>Lincoln National Corp</t>
  </si>
  <si>
    <t>https://static.finnhub.io/logo/dea884d14549b34942f2a496ada88909d57dc5b723b77034599ff80aba0c22a4.png</t>
  </si>
  <si>
    <t>https://www.lfg.com/</t>
  </si>
  <si>
    <t>len</t>
  </si>
  <si>
    <t>Lennar Corp</t>
  </si>
  <si>
    <t>https://static.finnhub.io/logo/16c7bb94-80ec-11ea-b498-00000000092a.png</t>
  </si>
  <si>
    <t>https://www.lennar.com/</t>
  </si>
  <si>
    <t>pg</t>
  </si>
  <si>
    <t>Procter &amp; Gamble Co</t>
  </si>
  <si>
    <t>https://static.finnhub.io/logo/3670fb2ffd852345681a233e48444f3dcf2001b5471cdc3eba3b486b02a42653.png</t>
  </si>
  <si>
    <t>https://us.pg.com/</t>
  </si>
  <si>
    <t>ogn</t>
  </si>
  <si>
    <t>Organon &amp; Co</t>
  </si>
  <si>
    <t>https://static.finnhub.io/logo/647f8cc15494b0d5abe80b9c8d9b0cb033acf0961848639843b7538812029e0b.png</t>
  </si>
  <si>
    <t>https://www.organon.com/</t>
  </si>
  <si>
    <t>oxy</t>
  </si>
  <si>
    <t>Occidental Petroleum Corp</t>
  </si>
  <si>
    <t>https://static.finnhub.io/logo/4bd186a6-80ec-11ea-a3b4-00000000092a.png</t>
  </si>
  <si>
    <t>https://www.oxy.com/</t>
  </si>
  <si>
    <t>dell</t>
  </si>
  <si>
    <t>Dell Technologies Inc</t>
  </si>
  <si>
    <t>https://static.finnhub.io/logo/970d18b8-80d4-11ea-8dc6-00000000092a.png</t>
  </si>
  <si>
    <t>https://www.delltechnologies.com/</t>
  </si>
  <si>
    <t>payc</t>
  </si>
  <si>
    <t>Paycom Software Inc</t>
  </si>
  <si>
    <t>https://static.finnhub.io/logo/b628d340-80cf-11ea-98d8-00000000092a.png</t>
  </si>
  <si>
    <t>https://www.paycom.com/</t>
  </si>
  <si>
    <t>peg</t>
  </si>
  <si>
    <t>Public Service Enterprise Group Inc</t>
  </si>
  <si>
    <t>https://static.finnhub.io/logo/bd3fa8b3e81d439c73c3b9a41a0245b2f6290a78ba714a357aaad6b2d8bb6329.png</t>
  </si>
  <si>
    <t>https://corporate.pseg.com/</t>
  </si>
  <si>
    <t>oke</t>
  </si>
  <si>
    <t>ONEOK Inc</t>
  </si>
  <si>
    <t>https://static.finnhub.io/logo/bcc2fea52eb4ed3c09480c39a0f866f1ff14ceebca9b32d8e364cbc3a63d217b.png</t>
  </si>
  <si>
    <t>https://www.oneok.com/</t>
  </si>
  <si>
    <t>nrg</t>
  </si>
  <si>
    <t>NRG Energy Inc</t>
  </si>
  <si>
    <t>https://static.finnhub.io/logo/3ffb315a-80ec-11ea-bff8-00000000092a.png</t>
  </si>
  <si>
    <t>https://www.nrg.com/</t>
  </si>
  <si>
    <t>l</t>
  </si>
  <si>
    <t>Loews Corp</t>
  </si>
  <si>
    <t>https://static.finnhub.io/logo/497e1c10-80fc-11ea-a007-00000000092a.png</t>
  </si>
  <si>
    <t>https://www.loews.com/</t>
  </si>
  <si>
    <t>omc</t>
  </si>
  <si>
    <t>Omnicom Group Inc</t>
  </si>
  <si>
    <t>https://static.finnhub.io/logo/4a76e650-80ec-11ea-8407-00000000092a.png</t>
  </si>
  <si>
    <t>https://www.omnicomgroup.com/</t>
  </si>
  <si>
    <t>orcl</t>
  </si>
  <si>
    <t>Oracle Corp</t>
  </si>
  <si>
    <t>https://static.finnhub.io/logo/1f119542-80e1-11ea-8adf-00000000092a.png</t>
  </si>
  <si>
    <t>https://www.oracle.com/</t>
  </si>
  <si>
    <t>o</t>
  </si>
  <si>
    <t>Realty Income Corp</t>
  </si>
  <si>
    <t>https://static2.finnhub.io/file/publicdatany/finnhubimage/stock_logo/4295903058.jpeg</t>
  </si>
  <si>
    <t>https://www.realtyincome.com/Home/default.aspx</t>
  </si>
  <si>
    <t>dpz</t>
  </si>
  <si>
    <t>Domino's Pizza Inc</t>
  </si>
  <si>
    <t>https://static.finnhub.io/logo/c30c7d98-80eb-11ea-ac1e-00000000092a.png</t>
  </si>
  <si>
    <t>https://www.dominos.com/</t>
  </si>
  <si>
    <t>t</t>
  </si>
  <si>
    <t>AT&amp;T Inc</t>
  </si>
  <si>
    <t>https://static.finnhub.io/logo/7d20269e-80ec-11ea-9277-00000000092a.png</t>
  </si>
  <si>
    <t>https://www.att.com/</t>
  </si>
  <si>
    <t>unp</t>
  </si>
  <si>
    <t>Union Pacific Corp</t>
  </si>
  <si>
    <t>https://static.finnhub.io/logo/92d19634-80ec-11ea-b0ea-00000000092a.png</t>
  </si>
  <si>
    <t>https://www.up.com/index.htm</t>
  </si>
  <si>
    <t>nem</t>
  </si>
  <si>
    <t>Newmont Corporation</t>
  </si>
  <si>
    <t>https://static.finnhub.io/logo/39e32600-80ec-11ea-976b-00000000092a.png</t>
  </si>
  <si>
    <t>https://newmont.com/</t>
  </si>
  <si>
    <t>fdx</t>
  </si>
  <si>
    <t>FedEx Corp</t>
  </si>
  <si>
    <t>https://static.finnhub.io/logo/db346594-80eb-11ea-a0d5-00000000092a.png</t>
  </si>
  <si>
    <t>https://www.fedex.com/</t>
  </si>
  <si>
    <t>nke</t>
  </si>
  <si>
    <t>Nike Inc</t>
  </si>
  <si>
    <t>https://static.finnhub.io/logo/570aa3f1982c6fd2b7f22fab7a3cdb509c2b07a4ac0ccdcd293e4bbe9ab9089c.png</t>
  </si>
  <si>
    <t>https://about.nike.com/</t>
  </si>
  <si>
    <t>f</t>
  </si>
  <si>
    <t>Ford Motor Co</t>
  </si>
  <si>
    <t>https://static.finnhub.io/logo/d7154282-80eb-11ea-bbcd-00000000092a.png</t>
  </si>
  <si>
    <t>https://www.ford.com/</t>
  </si>
  <si>
    <t>lmt</t>
  </si>
  <si>
    <t>Lockheed Martin Corp</t>
  </si>
  <si>
    <t>https://static.finnhub.io/logo/18803aba-80ec-11ea-b8be-00000000092a.png</t>
  </si>
  <si>
    <t>https://www.lockheedmartin.com/</t>
  </si>
  <si>
    <t>rsg</t>
  </si>
  <si>
    <t>Republic Services Inc</t>
  </si>
  <si>
    <t>https://static.finnhub.io/logo/67eb5792-80ec-11ea-933b-00000000092a.png</t>
  </si>
  <si>
    <t>https://www.republicservices.com/</t>
  </si>
  <si>
    <t>enph</t>
  </si>
  <si>
    <t>Enphase Energy Inc</t>
  </si>
  <si>
    <t>https://static.finnhub.io/logo/3972ef64-80cb-11ea-b600-00000000092a.png</t>
  </si>
  <si>
    <t>https://enphase.com/</t>
  </si>
  <si>
    <t>exc</t>
  </si>
  <si>
    <t>Exelon Corp</t>
  </si>
  <si>
    <t>https://static.finnhub.io/logo/d63a05d0-80eb-11ea-817d-00000000092a.png</t>
  </si>
  <si>
    <t>https://www.exeloncorp.com/</t>
  </si>
  <si>
    <t>expd</t>
  </si>
  <si>
    <t>Expeditors International of Washington Inc</t>
  </si>
  <si>
    <t>https://static.finnhub.io/logo/d6e89bca-80df-11ea-bc5e-00000000092a.png</t>
  </si>
  <si>
    <t>https://www.expeditors.com/</t>
  </si>
  <si>
    <t>expe</t>
  </si>
  <si>
    <t>Expedia Group Inc</t>
  </si>
  <si>
    <t>https://static.finnhub.io/logo/d539d658-80df-11ea-b0d2-00000000092a.png</t>
  </si>
  <si>
    <t>https://www.expediagroup.com/home/default.aspx</t>
  </si>
  <si>
    <t>fast</t>
  </si>
  <si>
    <t>Fastenal Co</t>
  </si>
  <si>
    <t>https://static.finnhub.io/logo/d8a85892-80df-11ea-aa2a-00000000092a.png</t>
  </si>
  <si>
    <t>https://www.fastenal.com/</t>
  </si>
  <si>
    <t>ffiv</t>
  </si>
  <si>
    <t>F5 Inc</t>
  </si>
  <si>
    <t>https://static.finnhub.io/logo/013605e8-80e0-11ea-81f3-00000000092a.png</t>
  </si>
  <si>
    <t>https://www.f5.com/</t>
  </si>
  <si>
    <t>fisv</t>
  </si>
  <si>
    <t>Fiserv Inc</t>
  </si>
  <si>
    <t>https://static.finnhub.io/logo/00c11766-80e0-11ea-af10-00000000092a.png</t>
  </si>
  <si>
    <t>https://www.fiserv.com/</t>
  </si>
  <si>
    <t>eqix</t>
  </si>
  <si>
    <t>Equinix Inc</t>
  </si>
  <si>
    <t>https://static.finnhub.io/logo/2905ab26-80e0-11ea-9683-00000000092a.png</t>
  </si>
  <si>
    <t>https://www.equinix.com/</t>
  </si>
  <si>
    <t>ftnt</t>
  </si>
  <si>
    <t>Fortinet Inc</t>
  </si>
  <si>
    <t>https://static.finnhub.io/logo/4a69c7b4-80ff-11ea-8df0-00000000092a.png</t>
  </si>
  <si>
    <t>https://www.fortinet.com/</t>
  </si>
  <si>
    <t>etsy</t>
  </si>
  <si>
    <t>ETSY Inc</t>
  </si>
  <si>
    <t>https://static.finnhub.io/logo/94ad4538-80d1-11ea-9286-00000000092a.png</t>
  </si>
  <si>
    <t>https://www.etsy.com/</t>
  </si>
  <si>
    <t>ben</t>
  </si>
  <si>
    <t>Franklin Resources Inc</t>
  </si>
  <si>
    <t>https://static.finnhub.io/logo/8333d8a2-80eb-11ea-befe-00000000092a.png</t>
  </si>
  <si>
    <t>https://www.franklinresources.com/</t>
  </si>
  <si>
    <t>dlr</t>
  </si>
  <si>
    <t>Digital Realty Trust Inc</t>
  </si>
  <si>
    <t>https://static.finnhub.io/logo/c066b1b0-80eb-11ea-a98e-00000000092a.png</t>
  </si>
  <si>
    <t>https://www.digitalrealty.com</t>
  </si>
  <si>
    <t>dhr</t>
  </si>
  <si>
    <t>Danaher Corp</t>
  </si>
  <si>
    <t>https://static.finnhub.io/logo/f8702c9d5aa6591ddc26b5a9df478463a2f5d9bf3a81971882c4118325ae5792.png</t>
  </si>
  <si>
    <t>https://www.danaher.com/</t>
  </si>
  <si>
    <t>efx</t>
  </si>
  <si>
    <t>Equifax Inc</t>
  </si>
  <si>
    <t>https://static.finnhub.io/logo/ca2b7d6c-80eb-11ea-8e3d-00000000092a.png</t>
  </si>
  <si>
    <t>https://www.equifax.com/</t>
  </si>
  <si>
    <t>el</t>
  </si>
  <si>
    <t>Estee Lauder Companies Inc</t>
  </si>
  <si>
    <t>https://static2.finnhub.io/file/publicdatany/finnhubimage/stock_logo/EL_4295903171.png</t>
  </si>
  <si>
    <t>https://www.elcompanies.com/</t>
  </si>
  <si>
    <t>emn</t>
  </si>
  <si>
    <t>Eastman Chemical Co</t>
  </si>
  <si>
    <t>https://static.finnhub.io/logo/cca36ffe-80eb-11ea-969e-00000000092a.png</t>
  </si>
  <si>
    <t>https://www.eastman.com/</t>
  </si>
  <si>
    <t>emr</t>
  </si>
  <si>
    <t>Emerson Electric Co</t>
  </si>
  <si>
    <t>https://static.finnhub.io/logo/3da53d6ce1faa9df36b6bf625f6167c9423423748fa11799b010bc2a1dae4c7b.png</t>
  </si>
  <si>
    <t>https://www.emerson.com/en-us</t>
  </si>
  <si>
    <t>eog</t>
  </si>
  <si>
    <t>EOG Resources Inc</t>
  </si>
  <si>
    <t>https://static.finnhub.io/logo/ce6d8518-80eb-11ea-a7f0-00000000092a.png</t>
  </si>
  <si>
    <t>https://www.eogresources.com/</t>
  </si>
  <si>
    <t>eqr</t>
  </si>
  <si>
    <t>Equity Residential</t>
  </si>
  <si>
    <t>https://static.finnhub.io/logo/cf2f5fcc-80eb-11ea-b4c6-00000000092a.png</t>
  </si>
  <si>
    <t>https://www.equityapartments.com/</t>
  </si>
  <si>
    <t>es</t>
  </si>
  <si>
    <t>Eversource Energy</t>
  </si>
  <si>
    <t>https://static.finnhub.io/logo/41cde1b6-80ec-11ea-af1f-00000000092a.png</t>
  </si>
  <si>
    <t>https://www.eversource.com/</t>
  </si>
  <si>
    <t>ess</t>
  </si>
  <si>
    <t>Essex Property Trust Inc</t>
  </si>
  <si>
    <t>https://static.finnhub.io/logo/7d5e1cd06ed4171ad22780035054460da22bb8f81e75da91849ee24188876730.png</t>
  </si>
  <si>
    <t>https://www.essexapartmenthomes.com/</t>
  </si>
  <si>
    <t>fitb</t>
  </si>
  <si>
    <t>Fifth Third Bancorp</t>
  </si>
  <si>
    <t>https://static.finnhub.io/logo/e692c8b6-80df-11ea-8ea1-00000000092a.png</t>
  </si>
  <si>
    <t>https://www.53.com/</t>
  </si>
  <si>
    <t>etr</t>
  </si>
  <si>
    <t>Entergy Corp</t>
  </si>
  <si>
    <t>https://static.finnhub.io/logo/d3a911b0-80eb-11ea-b66b-00000000092a.png</t>
  </si>
  <si>
    <t>https://www.entergy.com/</t>
  </si>
  <si>
    <t>exr</t>
  </si>
  <si>
    <t>Extra Space Storage Inc</t>
  </si>
  <si>
    <t>https://static.finnhub.io/logo/1c8d6d4d94bfda82d7f366c837fa91927dc004010c6994936e6a93d0aa3f63f7.png</t>
  </si>
  <si>
    <t>https://www.extraspace.com/</t>
  </si>
  <si>
    <t>ew</t>
  </si>
  <si>
    <t>Edwards Lifesciences Corp</t>
  </si>
  <si>
    <t>https://static.finnhub.io/logo/d54ba950-80eb-11ea-b652-00000000092a.png</t>
  </si>
  <si>
    <t>https://www.edwards.com</t>
  </si>
  <si>
    <t>foxa</t>
  </si>
  <si>
    <t>Fox Corp</t>
  </si>
  <si>
    <t>https://static.finnhub.io/logo/7cf20648-80da-11ea-983c-00000000092a.png</t>
  </si>
  <si>
    <t>https://www.foxcorporation.com/</t>
  </si>
  <si>
    <t>fcx</t>
  </si>
  <si>
    <t>Freeport-McMoRan Inc</t>
  </si>
  <si>
    <t>https://static.finnhub.io/logo/da60fbba-80eb-11ea-ad3e-00000000092a.png</t>
  </si>
  <si>
    <t>https://www.fcx.com/</t>
  </si>
  <si>
    <t>fe</t>
  </si>
  <si>
    <t>FirstEnergy Corp</t>
  </si>
  <si>
    <t>https://static.finnhub.io/logo/db937e3a-80eb-11ea-a947-00000000092a.png</t>
  </si>
  <si>
    <t>https://www.firstenergycorp.com/</t>
  </si>
  <si>
    <t>flt</t>
  </si>
  <si>
    <t>Fleetcor Technologies Inc</t>
  </si>
  <si>
    <t>https://static.finnhub.io/logo/e8878f02-81a2-11ea-9883-00000000092a.png</t>
  </si>
  <si>
    <t>https://www.fleetcor.com/</t>
  </si>
  <si>
    <t>fis</t>
  </si>
  <si>
    <t>Fidelity National Information Services Inc</t>
  </si>
  <si>
    <t>https://static.finnhub.io/logo/3858d65e-8279-11ea-a7a4-00000000092a.png</t>
  </si>
  <si>
    <t>https://www.fisglobal.com/</t>
  </si>
  <si>
    <t>frc</t>
  </si>
  <si>
    <t>First Republic Bank</t>
  </si>
  <si>
    <t>https://static.finnhub.io/logo/251ca7c8-80ca-11ea-81b8-00000000092a.png</t>
  </si>
  <si>
    <t>https://www.firstrepublic.com/</t>
  </si>
  <si>
    <t>fmc</t>
  </si>
  <si>
    <t>FMC Corp</t>
  </si>
  <si>
    <t>https://static.finnhub.io/logo/e072fb1c-80eb-11ea-8825-00000000092a.png</t>
  </si>
  <si>
    <t>https://www.fmc.com/en</t>
  </si>
  <si>
    <t>frt</t>
  </si>
  <si>
    <t>Federal Realty Investment Trust</t>
  </si>
  <si>
    <t>https://static.finnhub.io/logo/c7740aaa7f4c67e7100b4c655ddd47f7c7993a579a808c7290169dcc9f9217e2.png</t>
  </si>
  <si>
    <t>http://www.federalrealty.com/</t>
  </si>
  <si>
    <t>ftv</t>
  </si>
  <si>
    <t>Fortive Corp</t>
  </si>
  <si>
    <t>https://static.finnhub.io/logo/2a546f12-80d4-11ea-84b6-00000000092a.png</t>
  </si>
  <si>
    <t>https://www.fortive.com/</t>
  </si>
  <si>
    <t>gps</t>
  </si>
  <si>
    <t>Gap Inc</t>
  </si>
  <si>
    <t>https://static.finnhub.io/logo/369ce8f03ef2001ecf93ade3d70bf2c3019709a17446a106811fb59087e3a3c6.png</t>
  </si>
  <si>
    <t>https://www.gapinc.com/</t>
  </si>
  <si>
    <t>grmn</t>
  </si>
  <si>
    <t>Garmin Ltd</t>
  </si>
  <si>
    <t>https://static.finnhub.io/logo/99414768-80e0-11ea-9385-00000000092a.png</t>
  </si>
  <si>
    <t>https://www.garmin.com/</t>
  </si>
  <si>
    <t>it</t>
  </si>
  <si>
    <t>Gartner Inc</t>
  </si>
  <si>
    <t>https://static.finnhub.io/logo/5262a1a6-8279-11ea-8550-00000000092a.png</t>
  </si>
  <si>
    <t>https://www.gartner.com/en</t>
  </si>
  <si>
    <t>lly</t>
  </si>
  <si>
    <t>Eli Lilly and Co</t>
  </si>
  <si>
    <t>https://static.finnhub.io/logo/184cd942-80ec-11ea-91ce-00000000092a.png</t>
  </si>
  <si>
    <t>https://www.lilly.com/</t>
  </si>
  <si>
    <t>re</t>
  </si>
  <si>
    <t>Everest Re Group Ltd</t>
  </si>
  <si>
    <t>https://static.finnhub.io/logo/5e8651fa-80ec-11ea-9759-00000000092a.png</t>
  </si>
  <si>
    <t>https://www.everestre.com/</t>
  </si>
  <si>
    <t>evrg</t>
  </si>
  <si>
    <t>Evergy Inc</t>
  </si>
  <si>
    <t>https://static.finnhub.io/logo/a5c31cb4-80ec-11ea-9d72-00000000092a.png</t>
  </si>
  <si>
    <t>https://investors.evergy.com/</t>
  </si>
  <si>
    <t>fbhs</t>
  </si>
  <si>
    <t>Fortune Brands Home &amp; Security Inc</t>
  </si>
  <si>
    <t>https://static.finnhub.io/logo/af502fc10da13efe152a8bab38ab27cb783098c050c8e612696741585879a659.png</t>
  </si>
  <si>
    <t>https://www.fbhs.com/</t>
  </si>
  <si>
    <t>gild</t>
  </si>
  <si>
    <t>Gilead Sciences Inc</t>
  </si>
  <si>
    <t>https://static.finnhub.io/logo/14041828-80e0-11ea-b2c0-00000000092a.png</t>
  </si>
  <si>
    <t>https://www.gilead.com/</t>
  </si>
  <si>
    <t>holx</t>
  </si>
  <si>
    <t>Hologic Inc</t>
  </si>
  <si>
    <t>https://static.finnhub.io/logo/dea14800-80e0-11ea-8f94-00000000092a.png</t>
  </si>
  <si>
    <t>https://www.hologic.com/</t>
  </si>
  <si>
    <t>hsic</t>
  </si>
  <si>
    <t>Henry Schein Inc</t>
  </si>
  <si>
    <t>https://static.finnhub.io/logo/e9c35f3a-80e0-11ea-be1a-00000000092a.png</t>
  </si>
  <si>
    <t>https://www.henryschein.com/</t>
  </si>
  <si>
    <t>hon</t>
  </si>
  <si>
    <t>Honeywell International Inc</t>
  </si>
  <si>
    <t>https://static.finnhub.io/logo/a9d0ab3dbb5cf97602536917732a79a73f10fca63631d75fb2db78695cd5b0bc.png</t>
  </si>
  <si>
    <t>https://www.honeywell.com/</t>
  </si>
  <si>
    <t>hst</t>
  </si>
  <si>
    <t>Host Hotels &amp; Resorts Inc</t>
  </si>
  <si>
    <t>https://static.finnhub.io/logo/ccad0eb06bed075abb06446bc4f61bea5d97856681e3ab98dccda30c6f7ecefc.png</t>
  </si>
  <si>
    <t>https://www.hosthotels.com/</t>
  </si>
  <si>
    <t>gd</t>
  </si>
  <si>
    <t>General Dynamics Corp</t>
  </si>
  <si>
    <t>https://static.finnhub.io/logo/22537545fad508a082f7c587450fabc47e56b2aeb4a94319c5279539d60097a6.png</t>
  </si>
  <si>
    <t>https://www.gd.com</t>
  </si>
  <si>
    <t>has</t>
  </si>
  <si>
    <t>Hasbro Inc</t>
  </si>
  <si>
    <t>Leisure Products</t>
  </si>
  <si>
    <t>https://static.finnhub.io/logo/31ee88a5dc3f7a0f21bdfc2be90eb7ac405af6cab1f4c2641cb4d368bd7828f6.png</t>
  </si>
  <si>
    <t>https://shop.hasbro.com/en-in</t>
  </si>
  <si>
    <t>hban</t>
  </si>
  <si>
    <t>Huntington Bancshares Inc</t>
  </si>
  <si>
    <t>https://static.finnhub.io/logo/9a3ea734-80e0-11ea-be3c-00000000092a.png</t>
  </si>
  <si>
    <t>https://www.huntington.com/</t>
  </si>
  <si>
    <t>gl</t>
  </si>
  <si>
    <t>Globe Life Inc</t>
  </si>
  <si>
    <t>https://static.finnhub.io/logo/87ab9652-80ec-11ea-833e-00000000092a.png</t>
  </si>
  <si>
    <t>https://www.torchmarkcorp.com/</t>
  </si>
  <si>
    <t>gpc</t>
  </si>
  <si>
    <t>Genuine Parts Co</t>
  </si>
  <si>
    <t>https://static.finnhub.io/logo/ed6a18e2-80eb-11ea-b245-00000000092a.png</t>
  </si>
  <si>
    <t>https://www.genpt.com/</t>
  </si>
  <si>
    <t>gnrc</t>
  </si>
  <si>
    <t>Generac Holdings Inc</t>
  </si>
  <si>
    <t>https://static.finnhub.io/logo/3007769e-8100-11ea-8961-00000000092a.png</t>
  </si>
  <si>
    <t>http://investors.generac.com/</t>
  </si>
  <si>
    <t>gpn</t>
  </si>
  <si>
    <t>Global Payments Inc</t>
  </si>
  <si>
    <t>https://static.finnhub.io/logo/ee7044c8-80eb-11ea-8f9a-00000000092a.png</t>
  </si>
  <si>
    <t>https://www.globalpayments.com/</t>
  </si>
  <si>
    <t>hca</t>
  </si>
  <si>
    <t>HCA Healthcare Inc</t>
  </si>
  <si>
    <t>https://static.finnhub.io/logo/5528ed98-80ca-11ea-902b-00000000092a.png</t>
  </si>
  <si>
    <t>https://hcahealthcare.com/</t>
  </si>
  <si>
    <t>hbi</t>
  </si>
  <si>
    <t>HanesBrands Inc</t>
  </si>
  <si>
    <t>https://static.finnhub.io/logo/36b2329a94acf5319eb2b32c6f727e89e5345a5e9afcc46eefeabb19c84e23ab.png</t>
  </si>
  <si>
    <t>https://www.hanes.com/corporate</t>
  </si>
  <si>
    <t>hii</t>
  </si>
  <si>
    <t>Huntington Ingalls Industries Inc</t>
  </si>
  <si>
    <t>https://static.finnhub.io/logo/cd372f19d46a38088bc5547b3dc2a91dd4bedbc5609b6221b4f95fc42cfcaab9.png</t>
  </si>
  <si>
    <t>https://www.huntingtoningalls.com/</t>
  </si>
  <si>
    <t>hpe</t>
  </si>
  <si>
    <t>Hewlett Packard Enterprise Co</t>
  </si>
  <si>
    <t>https://static.finnhub.io/logo/fb96e13e-80d2-11ea-8716-00000000092a.png</t>
  </si>
  <si>
    <t>https://investors.hpe.com/</t>
  </si>
  <si>
    <t>hes</t>
  </si>
  <si>
    <t>Hess Corp</t>
  </si>
  <si>
    <t>https://static.finnhub.io/logo/532319c946c543025c26e36b019db12175bad56db7accce3e96ee76032c7cc2e.png</t>
  </si>
  <si>
    <t>https://www.hess.com/</t>
  </si>
  <si>
    <t>hlt</t>
  </si>
  <si>
    <t>Hilton Worldwide Holdings Inc</t>
  </si>
  <si>
    <t>https://static.finnhub.io/logo/1ca8321a-80cf-11ea-bccb-00000000092a.png</t>
  </si>
  <si>
    <t>https://www.hilton.com</t>
  </si>
  <si>
    <t>hrl</t>
  </si>
  <si>
    <t>Hormel Foods Corp</t>
  </si>
  <si>
    <t>https://static.finnhub.io/logo/fc88924a-80eb-11ea-8c60-00000000092a.png</t>
  </si>
  <si>
    <t>https://www.hormelfoods.com/</t>
  </si>
  <si>
    <t>hpq</t>
  </si>
  <si>
    <t>HP Inc</t>
  </si>
  <si>
    <t>https://static2.finnhub.io/file/publicdatany/finnhubimage/stock_logo/4295904170.png</t>
  </si>
  <si>
    <t>https://investor.hp.com/</t>
  </si>
  <si>
    <t>hum</t>
  </si>
  <si>
    <t>Humana Inc</t>
  </si>
  <si>
    <t>https://static.finnhub.io/logo/feb04fd2-80eb-11ea-b264-00000000092a.png</t>
  </si>
  <si>
    <t>https://www.humana.com/</t>
  </si>
  <si>
    <t>hwm</t>
  </si>
  <si>
    <t>Howmet Aerospace Inc</t>
  </si>
  <si>
    <t>https://static.finnhub.io/logo/a2081e1a9a1a03ebd504b5dd1bbd1630d116c5d274535b006710232b14114847.png</t>
  </si>
  <si>
    <t>https://www.howmet.com/</t>
  </si>
  <si>
    <t>peak</t>
  </si>
  <si>
    <t>Healthpeak Properties Inc</t>
  </si>
  <si>
    <t>https://static.finnhub.io/logo/9ff758898d5fdf747e70dc0d68e588f7ca07566f438ffea2c7b847202270d33d.png</t>
  </si>
  <si>
    <t>https://www.healthpeak.com/</t>
  </si>
  <si>
    <t>gis</t>
  </si>
  <si>
    <t>General Mills Inc</t>
  </si>
  <si>
    <t>https://static.finnhub.io/logo/eb28ff70-80eb-11ea-81fb-00000000092a.png</t>
  </si>
  <si>
    <t>https://www.generalmills.com/</t>
  </si>
  <si>
    <t>ge</t>
  </si>
  <si>
    <t>General Electric Co</t>
  </si>
  <si>
    <t>https://static.finnhub.io/logo/e8784888-80eb-11ea-95e2-00000000092a.png</t>
  </si>
  <si>
    <t>https://www.ge.com</t>
  </si>
  <si>
    <t>spot</t>
  </si>
  <si>
    <t>Spotify Technology SA</t>
  </si>
  <si>
    <t>https://static.finnhub.io/logo/cffd855af5f80fb905fa2a364945ef2e7130d3d60952eb91d9ba1ebb54c10a81.png</t>
  </si>
  <si>
    <t>https://www.spotify.com</t>
  </si>
  <si>
    <t>trtn</t>
  </si>
  <si>
    <t>Triton International Ltd</t>
  </si>
  <si>
    <t>https://static.finnhub.io/logo/d8f8c765099e25410d77d6e97db44ba0c15fb106e0b4fcd0f4add7d583ca6e2d.png</t>
  </si>
  <si>
    <t>https://www.tritoninternational.com/</t>
  </si>
  <si>
    <t>trtx</t>
  </si>
  <si>
    <t>TPG RE Finance Trust Inc</t>
  </si>
  <si>
    <t>https://static.finnhub.io/logo/b65451e4-80db-11ea-8f3c-00000000092a.png</t>
  </si>
  <si>
    <t>https://www.tpgrefinance.com/</t>
  </si>
  <si>
    <t>tru</t>
  </si>
  <si>
    <t>TransUnion</t>
  </si>
  <si>
    <t>https://static.finnhub.io/logo/3b251312-80d2-11ea-bca1-00000000092a.png</t>
  </si>
  <si>
    <t>yeti</t>
  </si>
  <si>
    <t>Yeti Holdings Inc</t>
  </si>
  <si>
    <t>https://static.finnhub.io/logo/0aebcc9d893922905d4dfe5df11876799ebe829ec6f95211b7ad13b40ef8e950.png</t>
  </si>
  <si>
    <t>https://www.yeti.com</t>
  </si>
  <si>
    <t>yelp</t>
  </si>
  <si>
    <t>Yelp Inc</t>
  </si>
  <si>
    <t>https://static.finnhub.io/logo/51ef2134-80cc-11ea-9e31-00000000092a.png</t>
  </si>
  <si>
    <t>https://www.yelp.com/</t>
  </si>
  <si>
    <t>yext</t>
  </si>
  <si>
    <t>Yext Inc</t>
  </si>
  <si>
    <t>https://static.finnhub.io/logo/c2fec934-80db-11ea-bf15-00000000092a.png</t>
  </si>
  <si>
    <t>https://www.yext.com/</t>
  </si>
  <si>
    <t>spr</t>
  </si>
  <si>
    <t>Spirit AeroSystems Holdings Inc</t>
  </si>
  <si>
    <t>https://static.finnhub.io/logo/74abb718-80ec-11ea-9f1c-00000000092a.png</t>
  </si>
  <si>
    <t>https://www.spiritaero.com/</t>
  </si>
  <si>
    <t>ysg</t>
  </si>
  <si>
    <t>Yatsen Holding Ltd</t>
  </si>
  <si>
    <t>http://ir.yatsenglobal.com/</t>
  </si>
  <si>
    <t>yrd</t>
  </si>
  <si>
    <t>Yiren Digital Ltd</t>
  </si>
  <si>
    <t>https://static.finnhub.io/logo/58187a7e-80d3-11ea-ad3d-00000000092a.png</t>
  </si>
  <si>
    <t>https://www.yirendai.com/</t>
  </si>
  <si>
    <t>yumc</t>
  </si>
  <si>
    <t>Yum China Holdings Inc</t>
  </si>
  <si>
    <t>https://static.finnhub.io/logo/5273b318-81c3-11ea-a69e-00000000092a.png</t>
  </si>
  <si>
    <t>http://www.yumchina.com</t>
  </si>
  <si>
    <t>trox</t>
  </si>
  <si>
    <t>Tronox Holdings PLC</t>
  </si>
  <si>
    <t>https://static.finnhub.io/logo/cae7770c-80cc-11ea-b95f-00000000092a.png</t>
  </si>
  <si>
    <t>https://www.tronox.com/</t>
  </si>
  <si>
    <t>zepp</t>
  </si>
  <si>
    <t>Zepp Health Corp</t>
  </si>
  <si>
    <t>https://static.finnhub.io/logo/76bf855dbc6faa67fab51387ffafd3120d58e1bb6a8c9a59e6d6a992d3e7b8be.png</t>
  </si>
  <si>
    <t>http://www.huami.com</t>
  </si>
  <si>
    <t>zev</t>
  </si>
  <si>
    <t>Lightning eMotors Inc</t>
  </si>
  <si>
    <t>https://static.finnhub.io/logo/35ad49c91c00e7e5492b59000199a0ef966c447d105e5ad26ba84e1f5f00fe23.png</t>
  </si>
  <si>
    <t>https://lightningemotors.com/</t>
  </si>
  <si>
    <t>zuo</t>
  </si>
  <si>
    <t>Zuora Inc</t>
  </si>
  <si>
    <t>https://static.finnhub.io/logo/181c3c26-80db-11ea-901d-00000000092a.png</t>
  </si>
  <si>
    <t>https://www.zuora.com/</t>
  </si>
  <si>
    <t>zim</t>
  </si>
  <si>
    <t>ZIM Integrated Shipping Services Ltd</t>
  </si>
  <si>
    <t>Marine</t>
  </si>
  <si>
    <t>https://static.finnhub.io/logo/d067c52d242ed7ab58d82a81df7769e0e538d507b68b153fb1c9a18eb67ecd2b.png</t>
  </si>
  <si>
    <t>https://www.zim.com</t>
  </si>
  <si>
    <t>zyme</t>
  </si>
  <si>
    <t>Zymeworks Inc</t>
  </si>
  <si>
    <t>https://static.finnhub.io/logo/d5054e357d522c9adb02dc0fb5076d2c88ce7defd56e0d136dafed54f38fd964.png</t>
  </si>
  <si>
    <t>https://www.zymeworks.com/</t>
  </si>
  <si>
    <t>zws</t>
  </si>
  <si>
    <t>Zurn Elkay Water Solutions Corp</t>
  </si>
  <si>
    <t>https://static.finnhub.io/logo/166822dc-80c9-11ea-b523-00000000092a.png</t>
  </si>
  <si>
    <t>https://zurnwatersolutions.com/</t>
  </si>
  <si>
    <t>you</t>
  </si>
  <si>
    <t>Clear Secure Inc</t>
  </si>
  <si>
    <t>https://static.finnhub.io/logo/54e1fcbc5be1e30e25364dc60f26bb7ff35678bc4bd277c164593937d62718b2.png</t>
  </si>
  <si>
    <t>https://www.clearme.com</t>
  </si>
  <si>
    <t>zen</t>
  </si>
  <si>
    <t>Zendesk Inc</t>
  </si>
  <si>
    <t>https://static.finnhub.io/logo/bf9c78c0-80cf-11ea-aefc-00000000092a.png</t>
  </si>
  <si>
    <t>http://www.zendesk.com/</t>
  </si>
  <si>
    <t>plxs</t>
  </si>
  <si>
    <t>Plexus Corp</t>
  </si>
  <si>
    <t>https://static.finnhub.io/logo/4786a932a20c2a53d2721dc74a687b047183c4a86ca554dbf0aa010120abeaa4.png</t>
  </si>
  <si>
    <t>https://www.plexus.com/en-us/</t>
  </si>
  <si>
    <t>ship</t>
  </si>
  <si>
    <t>Seanergy Maritime Holdings Corp</t>
  </si>
  <si>
    <t>https://static.finnhub.io/logo/799d248c-80df-11ea-baa5-00000000092a.png</t>
  </si>
  <si>
    <t>http://www.seanergymaritime.com/</t>
  </si>
  <si>
    <t>shls</t>
  </si>
  <si>
    <t>Shoals Technologies Group Inc</t>
  </si>
  <si>
    <t>https://static.finnhub.io/logo/3261c706cc0abbd34b8264351bbbf49ecc401561c39af9c3e0c1f0bf92b4833b.png</t>
  </si>
  <si>
    <t>https://www.shoals.com/</t>
  </si>
  <si>
    <t>shoo</t>
  </si>
  <si>
    <t>Steven Madden Ltd</t>
  </si>
  <si>
    <t>https://static.finnhub.io/logo/96d214d4-80e0-11ea-a2f8-00000000092a.png</t>
  </si>
  <si>
    <t>https://www.stevemadden.com/</t>
  </si>
  <si>
    <t>shyf</t>
  </si>
  <si>
    <t>Shyft Group Inc</t>
  </si>
  <si>
    <t>https://static.finnhub.io/logo/11778ef179dac4928d23461b3133c371a91f9d677da3fd90f72f07f7f34a8dc5.png</t>
  </si>
  <si>
    <t>https://theshyftgroup.com/</t>
  </si>
  <si>
    <t>sibn</t>
  </si>
  <si>
    <t>SI-BONE Inc</t>
  </si>
  <si>
    <t>https://static.finnhub.io/logo/06d1023edd1a769478b8f9546405855f3ef7a8b662f130c336cd801d4e17618a.png</t>
  </si>
  <si>
    <t>https://si-bone.com/</t>
  </si>
  <si>
    <t>sieb</t>
  </si>
  <si>
    <t>Siebert Financial Corp</t>
  </si>
  <si>
    <t>https://static.finnhub.io/logo/95a8686e-80e0-11ea-aad2-00000000092a.png</t>
  </si>
  <si>
    <t>https://www.siebert.com/</t>
  </si>
  <si>
    <t>plya</t>
  </si>
  <si>
    <t>Playa Hotels &amp; Resorts NV</t>
  </si>
  <si>
    <t>https://static.finnhub.io/logo/c97cc0f6-80db-11ea-811d-00000000092a.png</t>
  </si>
  <si>
    <t>https://www.playaresorts.com/</t>
  </si>
  <si>
    <t>wwe</t>
  </si>
  <si>
    <t>World Wrestling Entertainment Inc</t>
  </si>
  <si>
    <t>https://static.finnhub.io/logo/c85897976e6d121d3414864347aca8c1fa620453a2727bb30f6b89b8fdfc1098.png</t>
  </si>
  <si>
    <t>https://corporate.wwe.com/</t>
  </si>
  <si>
    <t>pmcb</t>
  </si>
  <si>
    <t>PharmaCyte Biotech Inc</t>
  </si>
  <si>
    <t>https://static.finnhub.io/logo/6be6c540-80f3-11ea-8213-00000000092a.png</t>
  </si>
  <si>
    <t>http://pharmacyte.com/</t>
  </si>
  <si>
    <t>www</t>
  </si>
  <si>
    <t>Wolverine World Wide Inc</t>
  </si>
  <si>
    <t>https://static.finnhub.io/logo/2a65cdf0f3735b8dbbeeeec6f7c7d02cfe8ac7237d3f9c2eda2e6d035b8835e5.png</t>
  </si>
  <si>
    <t>https://www.wolverineworldwide.com/</t>
  </si>
  <si>
    <t>xhr</t>
  </si>
  <si>
    <t>Xenia Hotels &amp; Resorts Inc</t>
  </si>
  <si>
    <t>https://static.finnhub.io/logo/8de05614cc27f3a2ac51dce15cd2ddff7af1f25fdbf8568e132ec4baa5049b8e.png</t>
  </si>
  <si>
    <t>https://xeniareit.com/</t>
  </si>
  <si>
    <t>x</t>
  </si>
  <si>
    <t>United States Steel Corp</t>
  </si>
  <si>
    <t>https://static.finnhub.io/logo/ac65e7a8-80ec-11ea-ae7c-00000000092a.png</t>
  </si>
  <si>
    <t>https://www.ussteel.com/</t>
  </si>
  <si>
    <t>xpev</t>
  </si>
  <si>
    <t>Xpeng Inc</t>
  </si>
  <si>
    <t>https://static.finnhub.io/logo/a051163b4bc9dd4531cecd3b4563cb4fbae4dfcca2a14cc34ad546c2b38c5389.png</t>
  </si>
  <si>
    <t>https://www.xpeng.no</t>
  </si>
  <si>
    <t>xpo</t>
  </si>
  <si>
    <t>XPO Logistics Inc</t>
  </si>
  <si>
    <t>https://static.finnhub.io/logo/67e2a608-826a-11ea-949d-00000000092a.png</t>
  </si>
  <si>
    <t>https://www.xpo.com/</t>
  </si>
  <si>
    <t>xin</t>
  </si>
  <si>
    <t>Xinyuan Real Estate Co Ltd</t>
  </si>
  <si>
    <t>https://static.finnhub.io/logo/adc7e60a-80ec-11ea-a045-00000000092a.png</t>
  </si>
  <si>
    <t>http://ir.xyre.com/</t>
  </si>
  <si>
    <t>xl</t>
  </si>
  <si>
    <t>XL Fleet Corp</t>
  </si>
  <si>
    <t>https://static.finnhub.io/logo/c558526758aff6a234567f3ff1de8e2a1b357086485584308144a5592644ce0e.png</t>
  </si>
  <si>
    <t>https://xlfleet.com/</t>
  </si>
  <si>
    <t>xyf</t>
  </si>
  <si>
    <t>X Financial</t>
  </si>
  <si>
    <t>https://static.finnhub.io/logo/d39b1610-81ce-11ea-a434-00000000092a.png</t>
  </si>
  <si>
    <t>https://www.xiaoyinggroup.com/</t>
  </si>
  <si>
    <t>y</t>
  </si>
  <si>
    <t>Alleghany Corp</t>
  </si>
  <si>
    <t>https://static.finnhub.io/logo/87524d2a27c268d431041ce0a4d5e2f774512dddcaf1aa1629a2b711ec0cdea7.png</t>
  </si>
  <si>
    <t>https://www.alleghany.com/</t>
  </si>
  <si>
    <t>yala</t>
  </si>
  <si>
    <t>Yalla Group Ltd</t>
  </si>
  <si>
    <t>https://static.finnhub.io/logo/94c350149330c8859cdb82394848c771d0569361dc8e2688e1bad4c22c7629d6.png</t>
  </si>
  <si>
    <t>https://www.yallagroup.com/#/home</t>
  </si>
  <si>
    <t>wts</t>
  </si>
  <si>
    <t>Watts Water Technologies Inc</t>
  </si>
  <si>
    <t>https://static.finnhub.io/logo/aa2f1922-80ec-11ea-b91b-00000000092a.png</t>
  </si>
  <si>
    <t>https://www.watts.com/</t>
  </si>
  <si>
    <t>sien</t>
  </si>
  <si>
    <t>Sientra Inc</t>
  </si>
  <si>
    <t>https://static.finnhub.io/logo/9ee55218-80d0-11ea-9a00-00000000092a.png</t>
  </si>
  <si>
    <t>http://sientra.com/</t>
  </si>
  <si>
    <t>hain</t>
  </si>
  <si>
    <t>Hain Celestial Group Inc</t>
  </si>
  <si>
    <t>https://static.finnhub.io/logo/1b3dedc6-80e0-11ea-ae2a-00000000092a.png</t>
  </si>
  <si>
    <t>https://www.hain.com/</t>
  </si>
  <si>
    <t>mtc</t>
  </si>
  <si>
    <t>MMTEC Inc</t>
  </si>
  <si>
    <t>https://static.finnhub.io/logo/12f9059e-81d4-11ea-9b70-00000000092a.png</t>
  </si>
  <si>
    <t>https://www.51mm.com/</t>
  </si>
  <si>
    <t>mtcr</t>
  </si>
  <si>
    <t>Metacrine Inc</t>
  </si>
  <si>
    <t>https://static.finnhub.io/logo/b99ae0480d35baa3abd44cf7f3a58ee33cec963d4a16d93450e4df52683c5a32.png</t>
  </si>
  <si>
    <t>https://www.metacrine.com</t>
  </si>
  <si>
    <t>mtem</t>
  </si>
  <si>
    <t>Molecular Templates Inc</t>
  </si>
  <si>
    <t>https://static.finnhub.io/logo/b628a328-80e0-11ea-ae1f-00000000092a.png</t>
  </si>
  <si>
    <t>https://mtem.com/</t>
  </si>
  <si>
    <t>mtls</t>
  </si>
  <si>
    <t>Materialise NV</t>
  </si>
  <si>
    <t>https://static.finnhub.io/logo/d0dfa200-80cf-11ea-90b4-00000000092a.png</t>
  </si>
  <si>
    <t>http://www.materialise.com</t>
  </si>
  <si>
    <t>mtex</t>
  </si>
  <si>
    <t>Mannatech Inc</t>
  </si>
  <si>
    <t>https://static.finnhub.io/logo/8ac4ebd9873103f5885f174ae8773f5fe25e1cd18d4baf369f1928961c202d62.png</t>
  </si>
  <si>
    <t>https://us.mannatech.com/</t>
  </si>
  <si>
    <t>mtrx</t>
  </si>
  <si>
    <t>Matrix Service Co</t>
  </si>
  <si>
    <t>https://static.finnhub.io/logo/13c284070f5d7107a345b370190b26682734effb47965ee5534d78a58f48bcce.png</t>
  </si>
  <si>
    <t>https://www.matrixservicecompany.com/</t>
  </si>
  <si>
    <t>halo</t>
  </si>
  <si>
    <t>Halozyme Therapeutics Inc</t>
  </si>
  <si>
    <t>https://static.finnhub.io/logo/ecd60c64-80df-11ea-9c85-00000000092a.png</t>
  </si>
  <si>
    <t>https://www.halozyme.com/</t>
  </si>
  <si>
    <t>hall</t>
  </si>
  <si>
    <t>Hallmark Financial Services Inc</t>
  </si>
  <si>
    <t>https://static.finnhub.io/logo/fd68ca2c-80df-11ea-b8c2-00000000092a.png</t>
  </si>
  <si>
    <t>http://www.hallmarkgrp.com/</t>
  </si>
  <si>
    <t>mvbf</t>
  </si>
  <si>
    <t>MVB Financial Corp</t>
  </si>
  <si>
    <t>https://static.finnhub.io/logo/45ba96829f0302c20d3455c565aba295243a3c565cb9a67c24d80d4b8dde4ae1.png</t>
  </si>
  <si>
    <t>https://ir.mvbbanking.com/CorporateProfile/</t>
  </si>
  <si>
    <t>mvst</t>
  </si>
  <si>
    <t>Microvast Holdings Inc</t>
  </si>
  <si>
    <t>https://static.finnhub.io/logo/56accc4323ac6010d7cab3618df10f204a7b8350b68e8e17bbcf2a9f80600386.png</t>
  </si>
  <si>
    <t>https://microvast.com/</t>
  </si>
  <si>
    <t>mvis</t>
  </si>
  <si>
    <t>MicroVision Inc</t>
  </si>
  <si>
    <t>https://static.finnhub.io/logo/4ef2e4ae-80e1-11ea-a26e-00000000092a.png</t>
  </si>
  <si>
    <t>https://www.microvision.com/</t>
  </si>
  <si>
    <t>mxct</t>
  </si>
  <si>
    <t>MaxCyte Inc</t>
  </si>
  <si>
    <t>https://static.finnhub.io/logo/c6e6e9be-80d3-11ea-8ffb-00000000092a.png</t>
  </si>
  <si>
    <t>https://www.maxcyte.com/</t>
  </si>
  <si>
    <t>mygn</t>
  </si>
  <si>
    <t>Myriad Genetics Inc</t>
  </si>
  <si>
    <t>https://static.finnhub.io/logo/4e7a8ca2-80e1-11ea-a073-00000000092a.png</t>
  </si>
  <si>
    <t>https://myriad.com/</t>
  </si>
  <si>
    <t>myfw</t>
  </si>
  <si>
    <t>First Western Financial Inc</t>
  </si>
  <si>
    <t>https://static.finnhub.io/logo/d63d720da2c1ce27b4068a766f28f8af83b975b495e048f59d59b3f6e363a5e4.png</t>
  </si>
  <si>
    <t>https://myfw.gcs-web.com/</t>
  </si>
  <si>
    <t>mxl</t>
  </si>
  <si>
    <t>Maxlinear Inc</t>
  </si>
  <si>
    <t>https://static.finnhub.io/logo/698085653aaaf77ffaf721bb1fc5a549ca4e9fc91bbb6b823d6e4a689c939334.png</t>
  </si>
  <si>
    <t>https://www.maxlinear.com/</t>
  </si>
  <si>
    <t>mymd</t>
  </si>
  <si>
    <t>MyMD Pharmaceuticals Inc</t>
  </si>
  <si>
    <t>https://static.finnhub.io/logo/5db2dee6-80cf-11ea-a23b-00000000092a.png</t>
  </si>
  <si>
    <t>https://ir.mymd.com/</t>
  </si>
  <si>
    <t>myps</t>
  </si>
  <si>
    <t>Playstudios Inc</t>
  </si>
  <si>
    <t>https://static.finnhub.io/logo/5295b962ca5b082296591d3bf503c720c413df08af470dca3bde1a037ec9f783.png</t>
  </si>
  <si>
    <t>https://aciesacq.com/</t>
  </si>
  <si>
    <t>mttr</t>
  </si>
  <si>
    <t>Matterport Inc</t>
  </si>
  <si>
    <t>https://static4.finnhub.io/file/publicdatany2/stock_logo/MTTR_5077893451.png</t>
  </si>
  <si>
    <t>https://matterport.com/</t>
  </si>
  <si>
    <t>mtsi</t>
  </si>
  <si>
    <t>MACOM Technology Solutions Holdings Inc</t>
  </si>
  <si>
    <t>https://static.finnhub.io/logo/d6dcdae6-80cb-11ea-b59b-00000000092a.png</t>
  </si>
  <si>
    <t>https://www.macom.com/</t>
  </si>
  <si>
    <t>clro</t>
  </si>
  <si>
    <t>Clearone Inc</t>
  </si>
  <si>
    <t>https://static.finnhub.io/logo/2eb1181c-80e0-11ea-866e-00000000092a.png</t>
  </si>
  <si>
    <t>http://www.clearone.com/</t>
  </si>
  <si>
    <t>clsn</t>
  </si>
  <si>
    <t>Celsion Corp</t>
  </si>
  <si>
    <t>https://static.finnhub.io/logo/62e5ff86-80fc-11ea-974e-00000000092a.png</t>
  </si>
  <si>
    <t>http://celsion.com/</t>
  </si>
  <si>
    <t>gure</t>
  </si>
  <si>
    <t>Gulf Resources Inc</t>
  </si>
  <si>
    <t>https://static.finnhub.io/logo/f43b6b8a-828d-11ea-be9e-00000000092a.png</t>
  </si>
  <si>
    <t>http://www.gulfresourcesinc.com/</t>
  </si>
  <si>
    <t>gvp</t>
  </si>
  <si>
    <t>GSE Systems Inc</t>
  </si>
  <si>
    <t>https://static.finnhub.io/logo/57b65608-80df-11ea-bafd-00000000092a.png</t>
  </si>
  <si>
    <t>http://www.gses.com/</t>
  </si>
  <si>
    <t>gyro</t>
  </si>
  <si>
    <t>Gyrodyne LLC</t>
  </si>
  <si>
    <t>http://www.gyrodyne.com/</t>
  </si>
  <si>
    <t>gwrs</t>
  </si>
  <si>
    <t>Global Water Resources Inc</t>
  </si>
  <si>
    <t>https://static.finnhub.io/logo/073b07d78f30190099a57fb66df825b0afbbccb6bb3d3b3389564acaabce4942.png</t>
  </si>
  <si>
    <t>https://www.gwresources.com</t>
  </si>
  <si>
    <t>ha</t>
  </si>
  <si>
    <t>Hawaiian Holdings Inc</t>
  </si>
  <si>
    <t>https://static.finnhub.io/logo/e1f8d338-80e0-11ea-9ce9-00000000092a.png</t>
  </si>
  <si>
    <t>https://www.hawaiianairlines.com/</t>
  </si>
  <si>
    <t>clsk</t>
  </si>
  <si>
    <t>CleanSpark Inc</t>
  </si>
  <si>
    <t>https://static.finnhub.io/logo/e76a9728-80d9-11ea-9ab3-00000000092a.png</t>
  </si>
  <si>
    <t>https://cleanspark.com/</t>
  </si>
  <si>
    <t>clsd</t>
  </si>
  <si>
    <t>Clearside Biomedical Inc</t>
  </si>
  <si>
    <t>https://static.finnhub.io/logo/11294928-80d4-11ea-bfe2-00000000092a.png</t>
  </si>
  <si>
    <t>http://clearsidebio.com/</t>
  </si>
  <si>
    <t>haac</t>
  </si>
  <si>
    <t>Health Assurance Acquisition Corp</t>
  </si>
  <si>
    <t>https://static.finnhub.io/logo/10782d05345d090968318541e01749311cc3c39a659e56b85eb2b4b525417568.png</t>
  </si>
  <si>
    <t>https://www.healthassuranceacqcorp.com/</t>
  </si>
  <si>
    <t>hafc</t>
  </si>
  <si>
    <t>Hanmi Financial Corp</t>
  </si>
  <si>
    <t>https://static.finnhub.io/logo/a38560a59c08d9820f0441540b932c2852bdac825c5ec9809f6272a278da20d4.png</t>
  </si>
  <si>
    <t>https://investors.hanmi.com/</t>
  </si>
  <si>
    <t>clst</t>
  </si>
  <si>
    <t>Catalyst Bancorp Inc</t>
  </si>
  <si>
    <t>clwt</t>
  </si>
  <si>
    <t>Euro Tech Holdings Company Ltd</t>
  </si>
  <si>
    <t>clxt</t>
  </si>
  <si>
    <t>Calyxt Inc</t>
  </si>
  <si>
    <t>https://static.finnhub.io/logo/97c944fe-80db-11ea-b039-00000000092a.png</t>
  </si>
  <si>
    <t>http://www.calyxt.com/</t>
  </si>
  <si>
    <t>cmbm</t>
  </si>
  <si>
    <t>Cambium Networks Corp</t>
  </si>
  <si>
    <t>https://static2.finnhub.io/file/publicdatany/finnhubimage/stock_logo/CMBM.svg</t>
  </si>
  <si>
    <t>cmco</t>
  </si>
  <si>
    <t>Columbus McKinnon Corp</t>
  </si>
  <si>
    <t>https://static.finnhub.io/logo/18ae4a40-80e0-11ea-a0be-00000000092a.png</t>
  </si>
  <si>
    <t>https://www.columbusmckinnon.com/</t>
  </si>
  <si>
    <t>evk</t>
  </si>
  <si>
    <t>Ever-Glory International Group Inc</t>
  </si>
  <si>
    <t>https://static2.finnhub.io/file/publicdatany/finnhubimage/stock_logo/EVK.svg</t>
  </si>
  <si>
    <t>http://www.everglorygroup.com</t>
  </si>
  <si>
    <t>clvs</t>
  </si>
  <si>
    <t>Clovis Oncology Inc</t>
  </si>
  <si>
    <t>https://static.finnhub.io/logo/4a95bb1a-80cb-11ea-a08d-00000000092a.png</t>
  </si>
  <si>
    <t>https://clovisoncology.com/</t>
  </si>
  <si>
    <t>clvr</t>
  </si>
  <si>
    <t>Clever Leaves Holdings Inc</t>
  </si>
  <si>
    <t>happ</t>
  </si>
  <si>
    <t>Happiness Development Group Ltd</t>
  </si>
  <si>
    <t>https://static2.finnhub.io/file/publicdatany/finnhubimage/stock_logo/HAPP.svg</t>
  </si>
  <si>
    <t>http://www.happ.org.cn/</t>
  </si>
  <si>
    <t>hbcp</t>
  </si>
  <si>
    <t>Home Bancorp Inc</t>
  </si>
  <si>
    <t>https://static.finnhub.io/logo/3a00ecdbf3696314778776f1cf99feac118b8f15cae98dc6bd3c65e519783a19.png</t>
  </si>
  <si>
    <t>https://www.home24bank.com/</t>
  </si>
  <si>
    <t>hbio</t>
  </si>
  <si>
    <t>Harvard Bioscience Inc</t>
  </si>
  <si>
    <t>https://static.finnhub.io/logo/2afc8d68-80e0-11ea-a78b-00000000092a.png</t>
  </si>
  <si>
    <t>https://www.harvardbioscience.com/</t>
  </si>
  <si>
    <t>hbnc</t>
  </si>
  <si>
    <t>Horizon Bancorp Inc</t>
  </si>
  <si>
    <t>https://static.finnhub.io/logo/b81a60c122a2a1d66ce8a8259aa0c3035ddeeab3ba5202e8ece90978b4b25260.png</t>
  </si>
  <si>
    <t>https://www.horizonbank.com/</t>
  </si>
  <si>
    <t>hbt</t>
  </si>
  <si>
    <t>HBT Financial Inc</t>
  </si>
  <si>
    <t>https://static.finnhub.io/logo/ce6355c1d526b568214a46222e9a9152cbca3d0ff2a56c6abd8e43a7e9099103.png</t>
  </si>
  <si>
    <t>https://ir.hbtfinancial.com/investor-relations</t>
  </si>
  <si>
    <t>hcat</t>
  </si>
  <si>
    <t>Health Catalyst Inc</t>
  </si>
  <si>
    <t>https://static.finnhub.io/logo/3674581a-80da-11ea-8625-00000000092a.png</t>
  </si>
  <si>
    <t>https://www.healthcatalyst.com/</t>
  </si>
  <si>
    <t>hcar</t>
  </si>
  <si>
    <t>Healthcare Services Acquisition Corp</t>
  </si>
  <si>
    <t>https://static.finnhub.io/logo/5de446295c78d793f321802ddf19b35eb0b0dcad6fd702aea8f76cdb18ba2bea.png</t>
  </si>
  <si>
    <t>https://www.healthcarespac.com/</t>
  </si>
  <si>
    <t>harp</t>
  </si>
  <si>
    <t>Harpoon Therapeutics Inc</t>
  </si>
  <si>
    <t>https://static.finnhub.io/logo/d8161c70-81d3-11ea-bb1a-00000000092a.png</t>
  </si>
  <si>
    <t>https://www.harpoontx.com/</t>
  </si>
  <si>
    <t>hayn</t>
  </si>
  <si>
    <t>Haynes International Inc</t>
  </si>
  <si>
    <t>https://static.finnhub.io/logo/99f0a598-80e0-11ea-b586-00000000092a.png</t>
  </si>
  <si>
    <t>https://www.haynesintl.com/</t>
  </si>
  <si>
    <t>pnbk</t>
  </si>
  <si>
    <t>Patriot National Bancorp Inc</t>
  </si>
  <si>
    <t>https://static.finnhub.io/logo/2d926042-80e1-11ea-bae6-00000000092a.png</t>
  </si>
  <si>
    <t>https://bankpatriot.com/</t>
  </si>
  <si>
    <t>hcdi</t>
  </si>
  <si>
    <t>Harbor Custom Development Inc</t>
  </si>
  <si>
    <t>https://static.finnhub.io/logo/5411ca1c162326159abc51913794bd21176437876133e6cc2c36fcccd2df0e57.png</t>
  </si>
  <si>
    <t>https://harborcustomhomes.com/</t>
  </si>
  <si>
    <t>hcci</t>
  </si>
  <si>
    <t>Heritage-Crystal Clean Inc</t>
  </si>
  <si>
    <t>https://static.finnhub.io/logo/55073054-80e0-11ea-adcc-00000000092a.png</t>
  </si>
  <si>
    <t>https://www.crystal-clean.com/</t>
  </si>
  <si>
    <t>pnfp</t>
  </si>
  <si>
    <t>Pinnacle Financial Partners Inc</t>
  </si>
  <si>
    <t>https://static.finnhub.io/logo/2afb0138-80e1-11ea-821c-00000000092a.png</t>
  </si>
  <si>
    <t>https://www.pnfp.com/</t>
  </si>
  <si>
    <t>pnt</t>
  </si>
  <si>
    <t>POINT Biopharma Global Inc</t>
  </si>
  <si>
    <t>https://www.pointbiopharma.com/</t>
  </si>
  <si>
    <t>poai</t>
  </si>
  <si>
    <t>Predictive Oncology Inc</t>
  </si>
  <si>
    <t>https://static.finnhub.io/logo/ac0ee7f0-80d2-11ea-bd34-00000000092a.png</t>
  </si>
  <si>
    <t>https://predictive-oncology.com/</t>
  </si>
  <si>
    <t>pola</t>
  </si>
  <si>
    <t>Polar Power Inc</t>
  </si>
  <si>
    <t>https://static.finnhub.io/logo/09caf854-81d9-11ea-8a6b-00000000092a.png</t>
  </si>
  <si>
    <t>https://polarpower.com/</t>
  </si>
  <si>
    <t>podd</t>
  </si>
  <si>
    <t>Insulet Corp</t>
  </si>
  <si>
    <t>https://static.finnhub.io/logo/bd79a7d8-826a-11ea-ba18-00000000092a.png</t>
  </si>
  <si>
    <t>https://www.omnipod.com</t>
  </si>
  <si>
    <t>powi</t>
  </si>
  <si>
    <t>Power Integrations Inc</t>
  </si>
  <si>
    <t>https://static.finnhub.io/logo/3a69d1d8-80e0-11ea-bdda-00000000092a.png</t>
  </si>
  <si>
    <t>https://www.power.com/</t>
  </si>
  <si>
    <t>poww</t>
  </si>
  <si>
    <t>Ammo Inc</t>
  </si>
  <si>
    <t>https://static.finnhub.io/logo/8decc6ca0564a89b50b985b73c3a3e17a402a1bec36567fa2649259eb21478db.png</t>
  </si>
  <si>
    <t>https://ammoinc.com/</t>
  </si>
  <si>
    <t>pnrg</t>
  </si>
  <si>
    <t>Primeenergy Resources Corp</t>
  </si>
  <si>
    <t>http://www.primeenergy.com/</t>
  </si>
  <si>
    <t>pntg</t>
  </si>
  <si>
    <t>Pennant Group Inc</t>
  </si>
  <si>
    <t>https://static.finnhub.io/logo/a5056f5c-81d2-11ea-80af-00000000092a.png</t>
  </si>
  <si>
    <t>https://www.pennantgroup.com/</t>
  </si>
  <si>
    <t>ppbi</t>
  </si>
  <si>
    <t>Pacific Premier Bancorp Inc</t>
  </si>
  <si>
    <t>https://static.finnhub.io/logo/39fe4f30-80e0-11ea-942b-00000000092a.png</t>
  </si>
  <si>
    <t>https://investors.ppbi.com/</t>
  </si>
  <si>
    <t>ppih</t>
  </si>
  <si>
    <t>Perma-Pipe International Holdings Inc</t>
  </si>
  <si>
    <t>https://static.finnhub.io/logo/e963d356e0f2d994c438d84f1178d410188d07abe007ec02a410fc231e59af43.png</t>
  </si>
  <si>
    <t>https://www.permapipe.com/</t>
  </si>
  <si>
    <t>ppc</t>
  </si>
  <si>
    <t>Pilgrims Pride Corp</t>
  </si>
  <si>
    <t>https://static.finnhub.io/logo/eff7902c-80ff-11ea-83c9-00000000092a.png</t>
  </si>
  <si>
    <t>https://www.pilgrims.com/</t>
  </si>
  <si>
    <t>praa</t>
  </si>
  <si>
    <t>PRA Group Inc</t>
  </si>
  <si>
    <t>https://static.finnhub.io/logo/3adb3168-80e0-11ea-8a1f-00000000092a.png</t>
  </si>
  <si>
    <t>https://www.pragroup.com/</t>
  </si>
  <si>
    <t>ppsi</t>
  </si>
  <si>
    <t>Pioneer Power Solutions Inc</t>
  </si>
  <si>
    <t>https://static.finnhub.io/logo/96fb7918-80ce-11ea-bf9d-00000000092a.png</t>
  </si>
  <si>
    <t>https://www.pioneerpowersolutions.com/</t>
  </si>
  <si>
    <t>prax</t>
  </si>
  <si>
    <t>Praxis Precision Medicines Inc</t>
  </si>
  <si>
    <t>https://static.finnhub.io/logo/a4601b625da8200ca8351310241f144dd64941f2597d80dd864a111467156e56.png</t>
  </si>
  <si>
    <t>https://praxismedicines.com/</t>
  </si>
  <si>
    <t>prct</t>
  </si>
  <si>
    <t>Procept Biorobotics Corp</t>
  </si>
  <si>
    <t>https://static.finnhub.io/logo/b5c9e927973c66ebc5614e0c603b51b26632de3cff0d96898826fa18547d0791.png</t>
  </si>
  <si>
    <t>https://www.procept-biorobotics.com/</t>
  </si>
  <si>
    <t>prch</t>
  </si>
  <si>
    <t>Porch Group Inc</t>
  </si>
  <si>
    <t>https://static.finnhub.io/logo/df7a9ba3225a11dffbd7593d22a4135a4f10e3c0b361032e1893411b0c310abc.png</t>
  </si>
  <si>
    <t>https://porchgroup.com/</t>
  </si>
  <si>
    <t>pre</t>
  </si>
  <si>
    <t>Artisan Acquisition Corp</t>
  </si>
  <si>
    <t>prdo</t>
  </si>
  <si>
    <t>Perdoceo Education Corp</t>
  </si>
  <si>
    <t>https://static2.finnhub.io/file/publicdatany/finnhubimage/stock_logo/PRDO.svg</t>
  </si>
  <si>
    <t>https://www.perdoceoed.com/</t>
  </si>
  <si>
    <t>sisi</t>
  </si>
  <si>
    <t>Shineco Inc</t>
  </si>
  <si>
    <t>http://www.tenetjove.com/</t>
  </si>
  <si>
    <t>sitm</t>
  </si>
  <si>
    <t>SiTime Corp</t>
  </si>
  <si>
    <t>https://static.finnhub.io/logo/fd3ab08a-80d9-11ea-baf4-00000000092a.png</t>
  </si>
  <si>
    <t>https://www.sitime.com/</t>
  </si>
  <si>
    <t>siri</t>
  </si>
  <si>
    <t>Sirius XM Holdings Inc</t>
  </si>
  <si>
    <t>https://static.finnhub.io/logo/8cbaf00cdf99a60a70367447a9b4aa8ffa3730892ebfeefc69f0df956c461770.png</t>
  </si>
  <si>
    <t>https://www.siriusxm.com/corporate</t>
  </si>
  <si>
    <t>sj</t>
  </si>
  <si>
    <t>Scienjoy Holding Corp</t>
  </si>
  <si>
    <t>pow</t>
  </si>
  <si>
    <t>Powered Brands</t>
  </si>
  <si>
    <t>powl</t>
  </si>
  <si>
    <t>Powell Industries Inc</t>
  </si>
  <si>
    <t>https://static.finnhub.io/logo/b847e6cec1cca2ab7a7efa1c72c329bd241481b5ba6c9cfec167a8ad98550779.png</t>
  </si>
  <si>
    <t>https://www.powellind.com/</t>
  </si>
  <si>
    <t>upwk</t>
  </si>
  <si>
    <t>Upwork Inc</t>
  </si>
  <si>
    <t>https://static.finnhub.io/logo/04e63e39dfa2f0949f018d4f77b107a9bc8f105998ca37e338d26e0ba04e229a.png</t>
  </si>
  <si>
    <t>https://www.upwork.com/</t>
  </si>
  <si>
    <t>usak</t>
  </si>
  <si>
    <t>USA Truck Inc</t>
  </si>
  <si>
    <t>https://static.finnhub.io/logo/d2ce5822-80e0-11ea-b2c6-00000000092a.png</t>
  </si>
  <si>
    <t>https://www.usa-truck.com/</t>
  </si>
  <si>
    <t>usau</t>
  </si>
  <si>
    <t>US Gold Corp</t>
  </si>
  <si>
    <t>https://static.finnhub.io/logo/1557f6d0-80e0-11ea-8635-00000000092a.png</t>
  </si>
  <si>
    <t>https://www.usgoldcorp.gold/</t>
  </si>
  <si>
    <t>usap</t>
  </si>
  <si>
    <t>Universal Stainless &amp; Alloy Products Inc</t>
  </si>
  <si>
    <t>https://static.finnhub.io/logo/6b133fbff9c5149d0ce77bd6e80075686db2446fed3d60ca37cecf755c9d042e.png</t>
  </si>
  <si>
    <t>http://www.univstainless.com/</t>
  </si>
  <si>
    <t>useg</t>
  </si>
  <si>
    <t>US Energy Corp</t>
  </si>
  <si>
    <t>https://static.finnhub.io/logo/8a2928da3ce3c736d5ef6e38edcc15d961dd3bd9bf61d6cf6a7675e9619e5ce3.png</t>
  </si>
  <si>
    <t>http://www.usnrg.com/</t>
  </si>
  <si>
    <t>usio</t>
  </si>
  <si>
    <t>Usio Inc</t>
  </si>
  <si>
    <t>https://static.finnhub.io/logo/90f27168-80d2-11ea-a811-00000000092a.png</t>
  </si>
  <si>
    <t>https://usio.com/</t>
  </si>
  <si>
    <t>uthr</t>
  </si>
  <si>
    <t>United Therapeutics Corp</t>
  </si>
  <si>
    <t>https://static.finnhub.io/logo/06244134-826b-11ea-9be7-00000000092a.png</t>
  </si>
  <si>
    <t>https://www.unither.com/</t>
  </si>
  <si>
    <t>urgn</t>
  </si>
  <si>
    <t>Urogen Pharma Ltd</t>
  </si>
  <si>
    <t>https://static.finnhub.io/logo/34ed2f05d06c4b4e38d817c2be35da0eb637d3ddf7a9cea83cec8a3c75a6b04c.png</t>
  </si>
  <si>
    <t>https://www.urogen.com/</t>
  </si>
  <si>
    <t>urbn</t>
  </si>
  <si>
    <t>Urban Outfitters Inc</t>
  </si>
  <si>
    <t>https://static.finnhub.io/logo/1fafa21c-80e1-11ea-bd8f-00000000092a.png</t>
  </si>
  <si>
    <t>https://www.urbn.com/</t>
  </si>
  <si>
    <t>utme</t>
  </si>
  <si>
    <t>Utime Ltd</t>
  </si>
  <si>
    <t>https://static2.finnhub.io/file/publicdatany/finnhubimage/stock_logo/950736446156.svg</t>
  </si>
  <si>
    <t>http://www.utimemobile.com/</t>
  </si>
  <si>
    <t>utrs</t>
  </si>
  <si>
    <t>Minerva Surgical Inc</t>
  </si>
  <si>
    <t>https://static.finnhub.io/logo/9ae26777350f9737497378ac417156f925648c223798be24150f41242013d415.png</t>
  </si>
  <si>
    <t>https://minervasurgical.com/</t>
  </si>
  <si>
    <t>utsi</t>
  </si>
  <si>
    <t>UTStarcom Holdings Corp</t>
  </si>
  <si>
    <t>https://static.finnhub.io/logo/04f8be36-826b-11ea-a446-00000000092a.png</t>
  </si>
  <si>
    <t>http://www.utstar.com</t>
  </si>
  <si>
    <t>uxin</t>
  </si>
  <si>
    <t>Uxin Ltd</t>
  </si>
  <si>
    <t>https://static.finnhub.io/logo/9b01f9fe-81d5-11ea-b8c8-00000000092a.png</t>
  </si>
  <si>
    <t>https://www.xin.com/</t>
  </si>
  <si>
    <t>uvsp</t>
  </si>
  <si>
    <t>Univest Financial Corp</t>
  </si>
  <si>
    <t>https://static.finnhub.io/logo/20020ad0-80e1-11ea-bc7f-00000000092a.png</t>
  </si>
  <si>
    <t>https://www.univest.net</t>
  </si>
  <si>
    <t>cmcm</t>
  </si>
  <si>
    <t>Cheetah Mobile Inc</t>
  </si>
  <si>
    <t>https://static.finnhub.io/logo/d08f9310-80cf-11ea-a202-00000000092a.png</t>
  </si>
  <si>
    <t>https://www.cmcm.com</t>
  </si>
  <si>
    <t>cmc</t>
  </si>
  <si>
    <t>Commercial Metals Co</t>
  </si>
  <si>
    <t>https://static.finnhub.io/logo/a22fd99e-80eb-11ea-aca7-00000000092a.png</t>
  </si>
  <si>
    <t>https://www.cmc.com</t>
  </si>
  <si>
    <t>uslm</t>
  </si>
  <si>
    <t>United States Lime &amp; Minerals Inc</t>
  </si>
  <si>
    <t>https://static.finnhub.io/logo/fb391438-826a-11ea-93e6-00000000092a.png</t>
  </si>
  <si>
    <t>http://www.uslm.com/</t>
  </si>
  <si>
    <t>utmd</t>
  </si>
  <si>
    <t>Utah Medical Products Inc</t>
  </si>
  <si>
    <t>https://static.finnhub.io/logo/ebfeafbe-80e0-11ea-a1fd-00000000092a.png</t>
  </si>
  <si>
    <t>http://www.utahmed.com</t>
  </si>
  <si>
    <t>cmp</t>
  </si>
  <si>
    <t>Compass Minerals International Inc</t>
  </si>
  <si>
    <t>https://static.finnhub.io/logo/a5b1f724-80eb-11ea-8678-00000000092a.png</t>
  </si>
  <si>
    <t>https://www.compassminerals.com/</t>
  </si>
  <si>
    <t>cnd</t>
  </si>
  <si>
    <t>Concord Acquisition Corp</t>
  </si>
  <si>
    <t>https://static2.finnhub.io/file/publicdatany/finnhubimage/stock_logo/CND.svg</t>
  </si>
  <si>
    <t>cnf</t>
  </si>
  <si>
    <t>CNFinance Holdings Ltd</t>
  </si>
  <si>
    <t>http://ir.cashchina.cn/</t>
  </si>
  <si>
    <t>cnmd</t>
  </si>
  <si>
    <t>Conmed Corp</t>
  </si>
  <si>
    <t>https://static.finnhub.io/logo/a4313e98075e7806fcfe430a4486dac21d6c4387ef886ad34ec082477aa32de0.png</t>
  </si>
  <si>
    <t>https://www.conmed.com/</t>
  </si>
  <si>
    <t>cnk</t>
  </si>
  <si>
    <t>Cinemark Holdings Inc</t>
  </si>
  <si>
    <t>https://static.finnhub.io/logo/a875eee6-80eb-11ea-896d-00000000092a.png</t>
  </si>
  <si>
    <t>https://www.cinemark.com/</t>
  </si>
  <si>
    <t>cnne</t>
  </si>
  <si>
    <t>Cannae Holdings Inc</t>
  </si>
  <si>
    <t>https://static.finnhub.io/logo/228af830-81d7-11ea-85e8-00000000092a.png</t>
  </si>
  <si>
    <t>https://www.cannaeholdings.com/</t>
  </si>
  <si>
    <t>cno</t>
  </si>
  <si>
    <t>CNO Financial Group Inc</t>
  </si>
  <si>
    <t>https://static.finnhub.io/logo/a8e41f10-80eb-11ea-b750-00000000092a.png</t>
  </si>
  <si>
    <t>https://www.cnoinc.com/</t>
  </si>
  <si>
    <t>cna</t>
  </si>
  <si>
    <t>CNA Financial Corp</t>
  </si>
  <si>
    <t>https://static.finnhub.io/logo/a7e1209a-80eb-11ea-a594-00000000092a.png</t>
  </si>
  <si>
    <t>https://www.cna.com/</t>
  </si>
  <si>
    <t>cmre</t>
  </si>
  <si>
    <t>Costamare Inc</t>
  </si>
  <si>
    <t>https://static.finnhub.io/logo/811544ec-81a2-11ea-b11f-00000000092a.png</t>
  </si>
  <si>
    <t>https://www.costamare.com/</t>
  </si>
  <si>
    <t>gva</t>
  </si>
  <si>
    <t>Granite Construction Inc</t>
  </si>
  <si>
    <t>https://static.finnhub.io/logo/f0d5c3ba-80eb-11ea-b752-00000000092a.png</t>
  </si>
  <si>
    <t>https://www.graniteconstruction.com/</t>
  </si>
  <si>
    <t>fn</t>
  </si>
  <si>
    <t>Fabrinet</t>
  </si>
  <si>
    <t>https://static.finnhub.io/logo/e34b0be1a98befac76ad28cec81a1da747b9af72f2670c97b30b991474d7f9ab.png</t>
  </si>
  <si>
    <t>https://fabrinet.com/</t>
  </si>
  <si>
    <t>h</t>
  </si>
  <si>
    <t>Hyatt Hotels Corp</t>
  </si>
  <si>
    <t>Hotels, Restaurants &amp; Leisure</t>
  </si>
  <si>
    <t>https://static.finnhub.io/logo/304ce992-80ff-11ea-b93c-00000000092a.png</t>
  </si>
  <si>
    <t>https://www.hyatt.com/</t>
  </si>
  <si>
    <t>hasi</t>
  </si>
  <si>
    <t>Hannon Armstrong Sustainable Infrastructure Capital Inc</t>
  </si>
  <si>
    <t>https://static.finnhub.io/logo/e8712528-80cd-11ea-aef2-00000000092a.png</t>
  </si>
  <si>
    <t>https://www.hannonarmstrong.com/</t>
  </si>
  <si>
    <t>hayw</t>
  </si>
  <si>
    <t>Hayward Holdings Inc</t>
  </si>
  <si>
    <t>https://static.finnhub.io/logo/f4c4442bcb167b30d5d20aa9f9deac9a9ee9f88681bcfb402c394287a0805e6c.png</t>
  </si>
  <si>
    <t>https://www.hayward-pool.com/shop/en/pools</t>
  </si>
  <si>
    <t>hbb</t>
  </si>
  <si>
    <t>Hamilton Beach Brands Holding Co</t>
  </si>
  <si>
    <t>https://static.finnhub.io/logo/8bd0236fbb75a62079aa6816e350637fb15ef687ca75d498ebb1069edf371df3.png</t>
  </si>
  <si>
    <t>https://www.hamiltonbeachbrands.com/</t>
  </si>
  <si>
    <t>hcc</t>
  </si>
  <si>
    <t>Warrior Met Coal Inc</t>
  </si>
  <si>
    <t>Metals &amp; Mining</t>
  </si>
  <si>
    <t>https://static.finnhub.io/logo/bfcf747a-80db-11ea-bca2-00000000092a.png</t>
  </si>
  <si>
    <t>https://warriormetcoal.com/</t>
  </si>
  <si>
    <t>hci</t>
  </si>
  <si>
    <t>Hci Group Inc</t>
  </si>
  <si>
    <t>https://static.finnhub.io/logo/f148e28e3880660f21e4bfa5e63c7e5de49b14abbf29520cecd447fd6cc23204.png</t>
  </si>
  <si>
    <t>https://hcigroup.com/</t>
  </si>
  <si>
    <t>he</t>
  </si>
  <si>
    <t>Hawaiian Electric Industries Inc</t>
  </si>
  <si>
    <t>https://static.finnhub.io/logo/f41ed734-80eb-11ea-b165-00000000092a.png</t>
  </si>
  <si>
    <t>https://www.hei.com/</t>
  </si>
  <si>
    <t>gwre</t>
  </si>
  <si>
    <t>Guidewire Software Inc</t>
  </si>
  <si>
    <t>https://static.finnhub.io/logo/f210ffa6-80cb-11ea-abd4-00000000092a.png</t>
  </si>
  <si>
    <t>https://www.guidewire.com/</t>
  </si>
  <si>
    <t>hae</t>
  </si>
  <si>
    <t>Haemonetics Corp</t>
  </si>
  <si>
    <t>https://static.finnhub.io/logo/f25c246e-80eb-11ea-984f-00000000092a.png</t>
  </si>
  <si>
    <t>https://www.haemonetics.com</t>
  </si>
  <si>
    <t>hep</t>
  </si>
  <si>
    <t>Holly Energy Partners LP</t>
  </si>
  <si>
    <t xml:space="preserve">Energy </t>
  </si>
  <si>
    <t>https://static2.finnhub.io/file/publicdatany/finnhubimage/stock_logo/HEP_4295900027.png</t>
  </si>
  <si>
    <t>http://www.hollyenergy.com/</t>
  </si>
  <si>
    <t>hgv</t>
  </si>
  <si>
    <t>Hilton Grand Vacations Inc</t>
  </si>
  <si>
    <t>https://static.finnhub.io/logo/e51af146-80db-11ea-8e19-00000000092a.png</t>
  </si>
  <si>
    <t>https://www.hiltongrandvacations.com/</t>
  </si>
  <si>
    <t>hi</t>
  </si>
  <si>
    <t>Hillenbrand Inc</t>
  </si>
  <si>
    <t>https://static.finnhub.io/logo/f56bfd2c-80eb-11ea-ab9f-00000000092a.png</t>
  </si>
  <si>
    <t>https://www.hillenbrand.com/</t>
  </si>
  <si>
    <t>hhc</t>
  </si>
  <si>
    <t>Howard Hughes Corp</t>
  </si>
  <si>
    <t>https://static.finnhub.io/logo/6445e7f28561553b3938ebf0561b5c1b03bb8379d8ace28e7cae8dd7d5a2c878.png</t>
  </si>
  <si>
    <t>https://www.howardhughes.com/</t>
  </si>
  <si>
    <t>hubs</t>
  </si>
  <si>
    <t>HubSpot Inc</t>
  </si>
  <si>
    <t>https://static.finnhub.io/logo/62f8c2fa-80d0-11ea-aeb3-00000000092a.png</t>
  </si>
  <si>
    <t>https://www.hubspot.com/</t>
  </si>
  <si>
    <t>hesm</t>
  </si>
  <si>
    <t>Hess Midstream LP</t>
  </si>
  <si>
    <t>https://static.finnhub.io/logo/3a3f1306ad581fe2e596eaf3a480a1e683d9c562deaa753633f2d3f680150569.png</t>
  </si>
  <si>
    <t>https://www.hessmidstream.com/</t>
  </si>
  <si>
    <t>hei</t>
  </si>
  <si>
    <t>HEICO Corp</t>
  </si>
  <si>
    <t>Aerospace &amp; Defense</t>
  </si>
  <si>
    <t>https://static.finnhub.io/logo/f461d852-80eb-11ea-89b1-00000000092a.png</t>
  </si>
  <si>
    <t>https://www.heico.com/</t>
  </si>
  <si>
    <t>ESG COMPANY BENCHMARKING</t>
  </si>
  <si>
    <t>Company-level scores vs. dynamically calculated industry benchmarks  |  Source: Raw Data (722 companies)  |  Positive = above industry average, Negative = below</t>
  </si>
  <si>
    <t>Company</t>
  </si>
  <si>
    <t>Ticker</t>
  </si>
  <si>
    <t>Industry</t>
  </si>
  <si>
    <t>Environmental
Score</t>
  </si>
  <si>
    <t>Social
Score</t>
  </si>
  <si>
    <t>Governance
Score</t>
  </si>
  <si>
    <t>Total ESG
Score</t>
  </si>
  <si>
    <t>Industry Avg
ESG</t>
  </si>
  <si>
    <t>ESG vs
Industry</t>
  </si>
  <si>
    <t>ESG vs
Industry %</t>
  </si>
  <si>
    <t>Industry Avg
Environmental</t>
  </si>
  <si>
    <t>Environmental
vs Industry</t>
  </si>
  <si>
    <t>Industry Avg
Social</t>
  </si>
  <si>
    <t>Social vs
Industry</t>
  </si>
  <si>
    <t>Industry Avg
Governance</t>
  </si>
  <si>
    <t>Governance
vs Industry</t>
  </si>
  <si>
    <t>PILLAR ANALYSIS (E / S / G)</t>
  </si>
  <si>
    <t>Moves beyond the aggregate ESG score to examine balance and imbalance across Environmental, Social and Governance pillars. "Pillar Range", "percentile" and "Investigation Flag" are project-created analytical measures for this workbook only — they are NOT an official ESG risk rating, methodology, or third-party score of any kind.</t>
  </si>
  <si>
    <t>Strongest
Pillar</t>
  </si>
  <si>
    <t>Weakest
Pillar</t>
  </si>
  <si>
    <t>E - S
Gap</t>
  </si>
  <si>
    <t>S - G
Gap</t>
  </si>
  <si>
    <t>E - G
Gap</t>
  </si>
  <si>
    <t>Pillar Range
(Max-Min)</t>
  </si>
  <si>
    <t>Total ESG
Percentile</t>
  </si>
  <si>
    <t>Weakest Pillar
Percentile</t>
  </si>
  <si>
    <t>Pillar Imbalance
Gap</t>
  </si>
  <si>
    <t>Investigation Flag
(Project-Created Analytical
Flag, Not an Official
ESG Rating)</t>
  </si>
  <si>
    <t>RANKINGS &amp; OUTLIERS</t>
  </si>
  <si>
    <t>All rankings below are fully formula-driven (LARGE / INDEX / MATCH against the Benchmarking and Pillar Analysis sheets) and will recalculate automatically if the underlying data changes. Ties are broken by original row order.</t>
  </si>
  <si>
    <t>TOP 15 — OVERALL ESG RANKING</t>
  </si>
  <si>
    <t>Rank</t>
  </si>
  <si>
    <t>Total ESG Score</t>
  </si>
  <si>
    <t>TOP 15 — ENVIRONMENTAL RANKING</t>
  </si>
  <si>
    <t>Environmental Score</t>
  </si>
  <si>
    <t>TOP 15 — SOCIAL RANKING</t>
  </si>
  <si>
    <t>Social Score</t>
  </si>
  <si>
    <t>TOP 15 — GOVERNANCE RANKING</t>
  </si>
  <si>
    <t>Governance Score</t>
  </si>
  <si>
    <t>INDUSTRY RANKING — ALL 48 GROUPS, BY AVERAGE TOTAL ESG SCORE</t>
  </si>
  <si>
    <t>Company Count</t>
  </si>
  <si>
    <t>Avg Total ESG</t>
  </si>
  <si>
    <t>Sample Size</t>
  </si>
  <si>
    <t>OUTLIERS &amp; INTERESTING PROFILES</t>
  </si>
  <si>
    <t>Methodology: rankings below are transparent, threshold-based sorts on project-created analytical measures defined in the Pillar Analysis and Benchmarking sheets — they are NOT official ESG risk ratings or third-party scores. "High ESG / weak pillar" = companies in the top 30% of Total ESG (percentile ≥ 0.70) where the weakest pillar's own percentile trails the total score's percentile by ≥ 0.40. Dispersion and vs-industry outliers are simple top/bottom-15 sorts on their respective columns.</t>
  </si>
  <si>
    <t>High ESG but Weak Pillar  (Top 15 by Pillar Imbalance Gap)</t>
  </si>
  <si>
    <t>Total ESG</t>
  </si>
  <si>
    <t>Weakest Pillar</t>
  </si>
  <si>
    <t>Imbalance Gap</t>
  </si>
  <si>
    <t>Large E/S/G Dispersion  (Top 15 by Pillar Range, Max-Min)</t>
  </si>
  <si>
    <t>Pillar Range</t>
  </si>
  <si>
    <t>Strongest Pillar</t>
  </si>
  <si>
    <t>Strong Performers vs Industry  (Top 15 by ESG vs Industry)</t>
  </si>
  <si>
    <t>Industry Avg ESG</t>
  </si>
  <si>
    <t>ESG vs Industry</t>
  </si>
  <si>
    <t>Weak Performers vs Industry  (Bottom 15 by ESG vs Industry)</t>
  </si>
  <si>
    <t>ESG BENCHMARKING DASHBOARD</t>
  </si>
  <si>
    <t>722 companies across 47 industries  |  Ratings data, processed circa April–September 2022  |  Every chart below answers a specific benchmarking question</t>
  </si>
  <si>
    <t>KEY METRICS</t>
  </si>
  <si>
    <t>Companies
Analysed</t>
  </si>
  <si>
    <t>Industries
Analysed</t>
  </si>
  <si>
    <t>Avg ESG
Score</t>
  </si>
  <si>
    <t>Avg
Environmental</t>
  </si>
  <si>
    <t>Avg
Social</t>
  </si>
  <si>
    <t>Avg
Governance</t>
  </si>
  <si>
    <t>Highest ESG
Company</t>
  </si>
  <si>
    <t>Highest ESG
Industry</t>
  </si>
  <si>
    <t>Largest Pillar
Imbalance (Company)</t>
  </si>
  <si>
    <t>Companies Below
Industry ESG Avg</t>
  </si>
  <si>
    <t>Flagged (Analytical
Flag, Not Official
Rating)</t>
  </si>
  <si>
    <t>Median Total
ESG Score</t>
  </si>
  <si>
    <t>KPI notes: "Companies Below Industry ESG Avg" counts companies whose Total ESG Score is below their own industry's average (Benchmarking sheet). "Flagged for Investigation" counts companies meeting the High-ESG/weak-pillar test defined in Pillar Analysis (not an official risk rating).</t>
  </si>
  <si>
    <t>1. Which industries have the strongest ESG performance? (Top 15 by average Total ESG score)</t>
  </si>
  <si>
    <t>2. How do the three ESG pillars compare on average across the dataset?</t>
  </si>
  <si>
    <t>3. Which individual companies have the strongest overall ESG scores? (Top 10)</t>
  </si>
  <si>
    <t>4. How are Total ESG scores distributed across the 722 companies?</t>
  </si>
  <si>
    <t>5. How do standout companies compare with their own industry benchmark? (Top 10 above vs. bottom 10 below)</t>
  </si>
  <si>
    <t>6. Which companies show the largest imbalance between E, S and G? (Top 10 by pillar range)</t>
  </si>
  <si>
    <t>SUPPORTING DATA FOR CHARTS (do not delete — charts reference these cells)</t>
  </si>
  <si>
    <t>Pillar</t>
  </si>
  <si>
    <t>Average Score</t>
  </si>
  <si>
    <t>Environmental</t>
  </si>
  <si>
    <t>Social</t>
  </si>
  <si>
    <t>Governance</t>
  </si>
  <si>
    <t>Total ESG Score Range</t>
  </si>
  <si>
    <t>Number of Companies</t>
  </si>
  <si>
    <t>600-700</t>
  </si>
  <si>
    <t>700-800</t>
  </si>
  <si>
    <t>800-900</t>
  </si>
  <si>
    <t>900-1000</t>
  </si>
  <si>
    <t>1000-1100</t>
  </si>
  <si>
    <t>1100-1200</t>
  </si>
  <si>
    <t>1200-1300</t>
  </si>
  <si>
    <t>1300-1400</t>
  </si>
  <si>
    <t>1400-1500</t>
  </si>
  <si>
    <t>1500-1600</t>
  </si>
  <si>
    <t>Company vs Industry staging (Top 10 strong outperformers + Bottom 10 underperformers)</t>
  </si>
  <si>
    <t>EXECUTIVE SUMMARY</t>
  </si>
  <si>
    <t>ESG Company Benchmarking Model  |  722 companies, 45 standardized industry groups  |  Prepared as a practical ESG analytics deliverable  |  Readable in 2-3 minutes</t>
  </si>
  <si>
    <t>EXECUTIVE OVERVIEW</t>
  </si>
  <si>
    <t>This model benchmarks 722 publicly listed companies across 47 raw industry labels (standardized down to 45 analytical industry groups — see Methodology) using a third-party ESG ratings dataset (Environmental, Social and Governance scores and sub-grades, processed by the ratings provider between April and September 2022). It converts raw company-level ratings into industry benchmarks, pillar-level diagnostics, rankings, and a small set of outlier and business-insight findings — the kind of first-pass analytical view an ESG analyst or investor would want before requesting underlying disclosures.</t>
  </si>
  <si>
    <t>KEY FINDINGS</t>
  </si>
  <si>
    <t>•  Industry performance varies widely: average Total ESG scores across the 45 standardized industry groups range from about 709 (Unclassified — no industry tag in the source data) up to about 1,191 for Utilities (n=30) — a gap of over 480 points on the 600-1,536 scale.</t>
  </si>
  <si>
    <t>•  A high aggregate ESG score can hide a materially weak individual pillar. CMS Energy Corp scores 1,192 overall (87th percentile) while its Governance score of 75 sits in the bottom 0.1% of all companies — the starkest case identified in the dataset.</t>
  </si>
  <si>
    <t>•  45.6% of companies (329 of 722) score below their own standardized industry's average Total ESG score, confirming that "above/below industry benchmark" is a meaningfully different question from "high/low in absolute terms."</t>
  </si>
  <si>
    <t>•  43 companies (about 6% of the dataset) meet this project's High-ESG/weak-pillar analytical test — a project-created flag, not an official ESG rating — and are marked for further review on the Pillar Analysis sheet.</t>
  </si>
  <si>
    <t>•  Governance scores are the most tightly clustered pillar (mean 279, std. dev. 47) versus Environmental (mean 405, std. dev. 145), meaning Environmental performance is the primary driver of separation between high- and low-scoring companies.</t>
  </si>
  <si>
    <t>•  Several of the highest-scoring industry groups by average (Tobacco n=2, Industrial Conglomerates n=3, Packaging n=4) rely on very small samples, so their rankings should be read as indicative, not statistically robust.</t>
  </si>
  <si>
    <t>•  Governance appears as the weakest pillar in a disproportionate share of the flagged high-ESG/weak-pillar cases, warranting closer review of governance sub-indicators specifically.</t>
  </si>
  <si>
    <t>BUSINESS INSIGHTS — DETAILED FINDINGS</t>
  </si>
  <si>
    <t>Format: Finding -&gt; Evidence -&gt; Interpretation -&gt; Implication. Calculated directly from the dataset; causal language is avoided where the data cannot support it.</t>
  </si>
  <si>
    <t>1. Finding: Aggregate ESG scores can conceal a severely underperforming pillar.</t>
  </si>
  <si>
    <t xml:space="preserve">    Evidence: CMS Energy Corp: Environmental 450, Social 667, Governance 75, Total 1,192 (87th total-score percentile; Governance in the bottom 0.1%). Tesla Inc shows a similar pattern: Environmental 555, Social 160, Governance 278, Total 993.</t>
  </si>
  <si>
    <t xml:space="preserve">    Interpretation: A single total score may not indicate a genuinely well-rounded ESG profile; it may mask a large imbalance between pillars.</t>
  </si>
  <si>
    <t xml:space="preserve">    Implication: An analyst should decompose any headline ESG score into its three pillars before drawing conclusions, and treat large pillar gaps as a prompt to request the underlying governance/social disclosures — not as evidence of a specific cause.</t>
  </si>
  <si>
    <t>2. Finding: Industry benchmarks differ substantially, and sample size materially affects how much weight a ranking deserves.</t>
  </si>
  <si>
    <t xml:space="preserve">    Evidence: Utilities (n=30, avg 1,191) is the largest well-sampled industry group with a top-tier average; Tobacco (n=2, avg 1,165) and Industrial Conglomerates (n=3, avg 1,157) rank close behind on tiny samples.</t>
  </si>
  <si>
    <t xml:space="preserve">    Interpretation: A 2-3 company average can be pulled up or down by a single outlier, so it is not directly comparable in reliability to a 30-company average even when the numeric result looks similar.</t>
  </si>
  <si>
    <t xml:space="preserve">    Implication: Any industry-level claim in this workbook should be presented alongside its sample size, and small-sample industry groups should be flagged as indicative rather than conclusive.</t>
  </si>
  <si>
    <t>3. Finding: Nearly half of companies underperform their own standardized industry despite the dataset's overall scores skewing high.</t>
  </si>
  <si>
    <t xml:space="preserve">    Evidence: 329 of 722 companies (45.6%) score below their industry group's average Total ESG score; the Benchmarking sheet's "ESG vs Industry" column ranges from roughly -560 to +330 points.</t>
  </si>
  <si>
    <t xml:space="preserve">    Interpretation: Company-vs-industry comparison surfaces relative laggards that a simple absolute ranking would not — a company can be "good" in absolute terms while still being a relative underperformer among direct peers.</t>
  </si>
  <si>
    <t xml:space="preserve">    Implication: Relative (vs-industry) benchmarking should be used alongside absolute rankings whenever comparing companies that operate in different sectors with different structural ESG baselines.</t>
  </si>
  <si>
    <t>4. Finding: Governance is the most compressed pillar in this dataset, which affects how differentiating it is.</t>
  </si>
  <si>
    <t xml:space="preserve">    Evidence: Governance: mean 279, std. dev. 47, range 75-475. Environmental: mean 405, std. dev. 145, range 200-719.</t>
  </si>
  <si>
    <t xml:space="preserve">    Interpretation: Because most companies cluster closely on Governance, a below-average Governance score (like CMS Energy's 75) stands out more starkly in percentile terms than the same-sized gap would on Environmental.</t>
  </si>
  <si>
    <t xml:space="preserve">    Implication: Governance outliers deserve a closer look precisely because they are statistically unusual within this dataset, but the underlying governance sub-indicators (board structure, disclosure practices, etc.) would need to be reviewed before drawing any conclusion about why.</t>
  </si>
  <si>
    <t>INDUSTRY INSIGHTS</t>
  </si>
  <si>
    <t>•  Utilities is the strongest large, reliably-sampled industry group (n=30, avg Total ESG ~1,191) — see Rankings sheet, Industry Ranking table.</t>
  </si>
  <si>
    <t>•  Industry-label normalization: the raw source data contains 47 distinct industry text values, three of which are near-duplicates caused by inconsistent data entry ("Energy" vs. "Energy " with a trailing space; "Aerospace and Defense" vs. "Aerospace &amp; Defense"; "Metals and Mining" vs. "Metals &amp; Mining"). This workbook's analytical layer (Benchmarking sheet) standardizes these into a single consistent label per group — trimming whitespace and unifying "and" / "&amp;" — so that, for example, all 11 Aerospace &amp; Defense companies are benchmarked against one correct industry average rather than being split across two fragments. The Raw Data sheet itself is left completely unchanged; standardization happens only in the formulas.</t>
  </si>
  <si>
    <t>•  One remaining near-duplicate could not be safely merged by this rule: "Hotels Restaurants &amp; Leisure" (22 companies) vs. "Hotels, Restaurants &amp; Leisure" (2 companies) differ by punctuation (a comma) rather than "and"/"&amp;" wording, so they remain two separate groups in this workbook — flagged here rather than merged unilaterally.</t>
  </si>
  <si>
    <t>•  13 companies carry no industry classification in the source data (labelled "Unclassified" throughout this workbook) and have the lowest group average Total ESG score (~709) — plausibly a reflection of that group being dominated by newly-listed or thinly-covered issuers rather than a genuine sector effect.</t>
  </si>
  <si>
    <t>COMPANY INSIGHTS</t>
  </si>
  <si>
    <t>•  Highest Total ESG scores: Conocophillips (1,536), Microsoft Corp (1,533), Edison International (1,528), Airbnb Inc (1,475), Air Products and Chemicals Inc (1,442).</t>
  </si>
  <si>
    <t>•  Three companies sit at the dataset's observed floor (Total ESG = 600): Allied Esports Entertainment Inc, AF Acquisition Corp, and Zions Bancorporation NA — all driven by minimum-level scores across all three pillars rather than one weak pillar.</t>
  </si>
  <si>
    <t>•  CMS Energy Corp is the clearest case of a strong aggregate score obscuring pillar imbalance in the entire dataset (see Business Insights #1) and is the top-ranked entry on the Pillar Analysis Investigation Flag.</t>
  </si>
  <si>
    <t>E / S / G PILLAR INSIGHTS</t>
  </si>
  <si>
    <t>•  Average scores: Environmental 404.8, Social 292.2, Governance 278.8 — Environmental has both the highest average and by far the widest spread (std. dev. ~145 vs. ~57 for Social and ~47 for Governance).</t>
  </si>
  <si>
    <t>•  Because Environmental scores vary the most, they contribute disproportionately to differences in Total ESG scores across companies — two companies with identical Social and Governance scores can diverge by 500+ total points purely on Environmental.</t>
  </si>
  <si>
    <t>•  Governance is Environmental's mirror image: the least differentiated pillar, which is why a genuine Governance outlier (e.g., a score near 75-100) is so percentile-extreme.</t>
  </si>
  <si>
    <t>KEY OUTLIERS</t>
  </si>
  <si>
    <t>•  High ESG, weak pillar (Investigation Flag — a project-created analytical flag, not an official ESG rating): CMS Energy Corp, Waste Management Inc, Lincoln National Corp, Air Products and Chemicals Inc, Pioneer Natural Resources Co — full list of 43 flagged companies on the Pillar Analysis sheet and Rankings sheet.</t>
  </si>
  <si>
    <t>•  Largest E/S/G dispersion (Pillar Range, Max-Min): CMS Energy Corp (592 points) is a clear outlier; the next cluster (Air Products and Chemicals, Consolidated Edison, Pioneer Natural Resources, Weyerhaeuser, Lincoln National) all sit around 400 points.</t>
  </si>
  <si>
    <t>•  Largest positive and negative gaps vs. industry benchmark are ranked in full on the Rankings sheet ("Strong Performers vs Industry" / "Weak Performers vs Industry").</t>
  </si>
  <si>
    <t>LIMITATIONS</t>
  </si>
  <si>
    <t>•  This is a ratings dataset, not raw ESG performance data. It reflects one provider's scoring methodology, not audited company disclosures, Scope 1/2/3 emissions, water/waste data, or employee-level metrics.</t>
  </si>
  <si>
    <t>•  Processing dates cluster around April-September 2022; the scores are historical and should not be presented or interpreted as current ESG performance.</t>
  </si>
  <si>
    <t>•  The rating methodology itself (how sub-indicators roll up into E, S and G scores) is external to this analysis and was not re-derived or audited here.</t>
  </si>
  <si>
    <t>•  Industry comparisons depend heavily on sample size; several standardized industry groups have fewer than 5 constituent companies and their averages should be treated as indicative only (flagged as "Small sample" throughout).</t>
  </si>
  <si>
    <t>•  Aggregate ESG, and even individual pillar scores, are not complete descriptions of a company's ESG performance and should not be used as sole inputs to an investment or hiring decision.</t>
  </si>
  <si>
    <t>•  13 companies (1.8%) have no industry classification in the source data and are grouped as "Unclassified." Three near-duplicate industry labels caused by data-entry inconsistencies (whitespace, "and" vs. "&amp;") were standardized in the analytical layer only — the Raw Data sheet is unchanged. One further near-duplicate pair ("Hotels Restaurants &amp; Leisure" vs. "Hotels, Restaurants &amp; Leisure", differing by a comma) was intentionally left unmerged rather than resolved by an ad hoc rule.</t>
  </si>
  <si>
    <t>•  The "Investigation Flag", "Pillar Range" and related measures in this workbook are project-created analytical flags for this exercise only — they are not official ESG risk ratings, third-party scores, or methodology endorsed by the ratings provider.</t>
  </si>
  <si>
    <t>RECOMMENDED FURTHER INVESTIGATION</t>
  </si>
  <si>
    <t>To move from this benchmarking exercise to an investment- or advisory-grade view of any flagged company or industry, an analyst would next want to review:</t>
  </si>
  <si>
    <t>•  Company sustainability / ESG reports and annual disclosures (for context behind any flagged pillar)</t>
  </si>
  <si>
    <t>•  Regulatory filings and governance disclosures (board composition, audit and remuneration structures, controversies)</t>
  </si>
  <si>
    <t>•  Underlying E/S/G sub-metrics beneath the aggregate scores used here (e.g., emissions intensity, safety incidents, board independence) rather than the rolled-up grade alone</t>
  </si>
  <si>
    <t>•  Climate-related disclosures (e.g., TCFD-aligned reporting) where Environmental performance is a focus</t>
  </si>
  <si>
    <t>•  Materiality assessments specific to the company's industry, since ESG relevance varies by sector</t>
  </si>
  <si>
    <t>•  The ratings provider's published methodology document, to understand exactly how sub-indicators are weighted into the E, S, G and Total scores used throughout this workbook</t>
  </si>
  <si>
    <t>METHODOLOGY &amp; TRANSPARENCY NOTE</t>
  </si>
  <si>
    <t>Companies analysed:</t>
  </si>
  <si>
    <t>Raw industry text values in source data:</t>
  </si>
  <si>
    <t>Standardized analytical industry groups used for benchmarking:</t>
  </si>
  <si>
    <t>Dataset vintage (processing dates):</t>
  </si>
  <si>
    <t>•  What the scores represent: environment_score, social_score and governance_score are the ratings provider's component scores; total_score = environment_score + social_score + governance_score (verified exactly on all 722 records; no exceptions).</t>
  </si>
  <si>
    <t>•  Industry-label standardization: the Benchmarking sheet computes a standardized industry label per company (=IF(industry="N/A","Unclassified",TRIM(SUBSTITUTE(industry," and "," &amp; ")))) so that text-formatting variants of the same industry are benchmarked together. This is a formula in the analytical layer only — Raw Data is never modified.</t>
  </si>
  <si>
    <t>•  Industry averages: calculated with AVERAGEIF/COUNTIF against the standardized industry column, and Max/Min Total ESG per group via legacy array-entered MAX(IF())/MIN(IF()) formulas — chosen specifically for broad Excel compatibility (no MAXIFS/MINIFS, no dynamic-array functions like UNIQUE, so the workbook opens and calculates cleanly in older Excel versions with no unsupported-function errors).</t>
  </si>
  <si>
    <t>•  Company-vs-industry differences: Company score minus its standardized industry group's average score on the same measure (Total, Environmental, Social, Governance) — positive means above the industry benchmark, negative means below.</t>
  </si>
  <si>
    <t>•  Outlier / percentile methodology: percentile rank = RANK(value, full column, ascending) / COUNT(full column). The "High ESG / weak pillar" flag requires Total-score percentile ≥ 0.70 AND (Total percentile − weakest-pillar percentile) ≥ 0.40 — both thresholds are explicit and adjustable, not hidden constants. This flag, and the Pillar Range measure, are project-created analytical tools for this workbook and are not official ESG ratings.</t>
  </si>
  <si>
    <t>•  All figures in the Benchmarking, Pillar Analysis, Rankings and Dashboard sheets are live formulas referencing the Raw Data table; adding or editing a company in Raw Data will recalculate the whole model.</t>
  </si>
  <si>
    <t>Industry (standardized)</t>
  </si>
  <si>
    <t>Avg Environmental</t>
  </si>
  <si>
    <t>Avg Social</t>
  </si>
  <si>
    <t>Avg Governance</t>
  </si>
  <si>
    <t>Max Total ESG</t>
  </si>
  <si>
    <t>Min Total ESG</t>
  </si>
  <si>
    <t>Sample Size Flag</t>
  </si>
  <si>
    <t>RankKey (AvgTotal, tie-break)</t>
  </si>
  <si>
    <t>Commercial Services &amp; Supplies</t>
  </si>
  <si>
    <t>Hotels Restaurants &amp; Leisure</t>
  </si>
  <si>
    <t>Life Sciences Tools &amp; Services</t>
  </si>
  <si>
    <t>Logistics &amp; Transportation</t>
  </si>
  <si>
    <t>Road &amp; Rail</t>
  </si>
  <si>
    <t>Textiles Apparel &amp; Luxury Goods</t>
  </si>
  <si>
    <t>Trading Companies &amp; Distributors</t>
  </si>
  <si>
    <t>Unclassified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</si>
</sst>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0.0"/>
    <numFmt numFmtId="166" formatCode="\+#,##0;\-#,##0;0"/>
    <numFmt numFmtId="167" formatCode="\+0.0%;\-0.0%;0.0%"/>
    <numFmt numFmtId="168" formatCode="0.0%"/>
  </numFmts>
  <fonts count="13" x14ac:knownFonts="1">
    <font>
      <sz val="11"/>
      <color theme="1"/>
      <name val="Calibri"/>
      <family val="2"/>
      <charset val="1"/>
    </font>
    <font>
      <b/>
      <sz val="16"/>
      <color rgb="FFFFFFFF"/>
      <name val="Calibri"/>
      <charset val="1"/>
    </font>
    <font>
      <i/>
      <sz val="10"/>
      <color rgb="FF757575"/>
      <name val="Calibri"/>
      <charset val="1"/>
    </font>
    <font>
      <b/>
      <sz val="9"/>
      <color rgb="FFFFFFFF"/>
      <name val="Calibri"/>
      <charset val="1"/>
    </font>
    <font>
      <b/>
      <sz val="11"/>
      <color rgb="FFFFFFFF"/>
      <name val="Calibri"/>
      <charset val="1"/>
    </font>
    <font>
      <sz val="9"/>
      <color rgb="FF404040"/>
      <name val="Calibri"/>
      <charset val="1"/>
    </font>
    <font>
      <i/>
      <sz val="9"/>
      <color rgb="FF757575"/>
      <name val="Calibri"/>
      <charset val="1"/>
    </font>
    <font>
      <b/>
      <sz val="11"/>
      <color rgb="FF1F3864"/>
      <name val="Calibri"/>
      <charset val="1"/>
    </font>
    <font>
      <b/>
      <sz val="16"/>
      <color rgb="FF1F3864"/>
      <name val="Calibri"/>
      <charset val="1"/>
    </font>
    <font>
      <b/>
      <sz val="10"/>
      <color rgb="FF1F3864"/>
      <name val="Calibri"/>
      <charset val="1"/>
    </font>
    <font>
      <sz val="10"/>
      <color rgb="FF404040"/>
      <name val="Calibri"/>
      <charset val="1"/>
    </font>
    <font>
      <b/>
      <sz val="10"/>
      <color rgb="FF404040"/>
      <name val="Calibri"/>
      <charset val="1"/>
    </font>
    <font>
      <sz val="9.5"/>
      <color rgb="FF404040"/>
      <name val="Calibri"/>
      <charset val="1"/>
    </font>
  </fonts>
  <fills count="9">
    <fill>
      <patternFill patternType="none"/>
    </fill>
    <fill>
      <patternFill patternType="gray125"/>
    </fill>
    <fill>
      <patternFill patternType="solid">
        <fgColor rgb="FF1F3864"/>
        <bgColor rgb="FF404040"/>
      </patternFill>
    </fill>
    <fill>
      <patternFill patternType="solid">
        <fgColor rgb="FFF2F2F2"/>
        <bgColor rgb="FFE2EFDA"/>
      </patternFill>
    </fill>
    <fill>
      <patternFill patternType="solid">
        <fgColor rgb="FF0F6B72"/>
        <bgColor rgb="FF1E7145"/>
      </patternFill>
    </fill>
    <fill>
      <patternFill patternType="solid">
        <fgColor rgb="FF2E5090"/>
        <bgColor rgb="FF1F3864"/>
      </patternFill>
    </fill>
    <fill>
      <patternFill patternType="solid">
        <fgColor rgb="FFB08D57"/>
        <bgColor rgb="FF808080"/>
      </patternFill>
    </fill>
    <fill>
      <patternFill patternType="solid">
        <fgColor rgb="FF757575"/>
        <bgColor rgb="FF808080"/>
      </patternFill>
    </fill>
    <fill>
      <patternFill patternType="solid">
        <fgColor rgb="FF9C2A2A"/>
        <bgColor rgb="FF99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3">
    <xf numFmtId="0" fontId="0" fillId="0" borderId="0" xfId="0"/>
    <xf numFmtId="0" fontId="4" fillId="8" borderId="0" xfId="0" applyFont="1" applyFill="1" applyAlignment="1">
      <alignment horizontal="left" vertical="center" indent="1"/>
    </xf>
    <xf numFmtId="0" fontId="12" fillId="0" borderId="0" xfId="0" applyFont="1" applyAlignment="1">
      <alignment horizontal="left" vertical="top" wrapText="1"/>
    </xf>
    <xf numFmtId="0" fontId="11"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xf>
    <xf numFmtId="49" fontId="8" fillId="3" borderId="0" xfId="0" applyNumberFormat="1" applyFont="1" applyFill="1" applyAlignment="1">
      <alignment horizontal="center" vertical="center"/>
    </xf>
    <xf numFmtId="165" fontId="8" fillId="3" borderId="0" xfId="0" applyNumberFormat="1" applyFont="1" applyFill="1" applyAlignment="1">
      <alignment horizontal="center" vertical="center"/>
    </xf>
    <xf numFmtId="3" fontId="8" fillId="3" borderId="0" xfId="0" applyNumberFormat="1" applyFont="1" applyFill="1" applyAlignment="1">
      <alignment horizontal="center" vertical="center"/>
    </xf>
    <xf numFmtId="0" fontId="3" fillId="5" borderId="0" xfId="0" applyFont="1" applyFill="1" applyAlignment="1">
      <alignment horizontal="center" vertical="center" wrapText="1"/>
    </xf>
    <xf numFmtId="0" fontId="6" fillId="0" borderId="0" xfId="0" applyFont="1" applyAlignment="1">
      <alignment horizontal="left" vertical="top" wrapText="1"/>
    </xf>
    <xf numFmtId="0" fontId="4" fillId="6" borderId="0" xfId="0" applyFont="1" applyFill="1" applyAlignment="1">
      <alignment horizontal="left" vertical="center" indent="1"/>
    </xf>
    <xf numFmtId="0" fontId="4" fillId="5" borderId="0" xfId="0" applyFont="1" applyFill="1" applyAlignment="1">
      <alignment horizontal="left" vertical="center"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164" fontId="0" fillId="0" borderId="0" xfId="0" applyNumberFormat="1"/>
    <xf numFmtId="0" fontId="3" fillId="2" borderId="1" xfId="0" applyFont="1" applyFill="1" applyBorder="1" applyAlignment="1">
      <alignment horizontal="center" vertical="center" wrapText="1"/>
    </xf>
    <xf numFmtId="3" fontId="0" fillId="0" borderId="0" xfId="0" applyNumberFormat="1"/>
    <xf numFmtId="165" fontId="0" fillId="0" borderId="0" xfId="0" applyNumberFormat="1"/>
    <xf numFmtId="166" fontId="0" fillId="0" borderId="0" xfId="0" applyNumberFormat="1"/>
    <xf numFmtId="167" fontId="0" fillId="0" borderId="0" xfId="0" applyNumberFormat="1"/>
    <xf numFmtId="0" fontId="3" fillId="4" borderId="1" xfId="0" applyFont="1" applyFill="1" applyBorder="1" applyAlignment="1">
      <alignment horizontal="center" vertical="center" wrapText="1"/>
    </xf>
    <xf numFmtId="168" fontId="0" fillId="0" borderId="0" xfId="0" applyNumberFormat="1"/>
    <xf numFmtId="10" fontId="0" fillId="0" borderId="0" xfId="0" applyNumberFormat="1"/>
    <xf numFmtId="0" fontId="3" fillId="5" borderId="1" xfId="0" applyFont="1" applyFill="1" applyBorder="1" applyAlignment="1">
      <alignment horizontal="center" vertical="center" wrapText="1"/>
    </xf>
    <xf numFmtId="0" fontId="5" fillId="0" borderId="1" xfId="0" applyFont="1" applyBorder="1" applyAlignment="1">
      <alignment horizontal="center"/>
    </xf>
    <xf numFmtId="0" fontId="5" fillId="0" borderId="1" xfId="0" applyFont="1" applyBorder="1"/>
    <xf numFmtId="3" fontId="5" fillId="0" borderId="1" xfId="0" applyNumberFormat="1" applyFont="1" applyBorder="1"/>
    <xf numFmtId="165" fontId="5" fillId="0" borderId="1" xfId="0" applyNumberFormat="1" applyFont="1" applyBorder="1"/>
    <xf numFmtId="0" fontId="5" fillId="0" borderId="0" xfId="0" applyFont="1" applyAlignment="1">
      <alignment horizontal="center"/>
    </xf>
    <xf numFmtId="0" fontId="5" fillId="0" borderId="0" xfId="0" applyFont="1"/>
    <xf numFmtId="165" fontId="5" fillId="0" borderId="0" xfId="0" applyNumberFormat="1" applyFont="1"/>
    <xf numFmtId="0" fontId="3" fillId="7" borderId="1" xfId="0" applyFont="1" applyFill="1" applyBorder="1" applyAlignment="1">
      <alignment horizontal="center" vertical="center" wrapText="1"/>
    </xf>
    <xf numFmtId="49" fontId="5" fillId="0" borderId="1" xfId="0" applyNumberFormat="1" applyFont="1" applyBorder="1"/>
    <xf numFmtId="168" fontId="5" fillId="0" borderId="1" xfId="0" applyNumberFormat="1" applyFont="1" applyBorder="1"/>
    <xf numFmtId="166" fontId="5" fillId="0" borderId="1" xfId="0" applyNumberFormat="1" applyFont="1" applyBorder="1"/>
    <xf numFmtId="0" fontId="7" fillId="0" borderId="0" xfId="0" applyFont="1"/>
    <xf numFmtId="0" fontId="6" fillId="0" borderId="0" xfId="0" applyFont="1"/>
    <xf numFmtId="0" fontId="11" fillId="0" borderId="0" xfId="0" applyFont="1"/>
    <xf numFmtId="3" fontId="9" fillId="0" borderId="0" xfId="0" applyNumberFormat="1" applyFont="1"/>
    <xf numFmtId="49" fontId="9" fillId="0" borderId="0" xfId="0" applyNumberFormat="1" applyFont="1"/>
    <xf numFmtId="0" fontId="3" fillId="2" borderId="0" xfId="0" applyFont="1" applyFill="1" applyAlignment="1">
      <alignment horizontal="center" vertical="center" wrapText="1"/>
    </xf>
    <xf numFmtId="0" fontId="4" fillId="2" borderId="0" xfId="0" applyFont="1" applyFill="1" applyAlignment="1">
      <alignment horizontal="left" vertical="center" indent="1"/>
    </xf>
  </cellXfs>
  <cellStyles count="1">
    <cellStyle name="Normal" xfId="0" builtinId="0"/>
  </cellStyles>
  <dxfs count="9">
    <dxf>
      <font>
        <b/>
        <color rgb="FFB36B00"/>
      </font>
      <fill>
        <patternFill>
          <bgColor rgb="FFFDE9D9"/>
        </patternFill>
      </fill>
    </dxf>
    <dxf>
      <font>
        <color rgb="FF9C2A2A"/>
      </font>
      <fill>
        <patternFill>
          <bgColor rgb="FFFCE4E4"/>
        </patternFill>
      </fill>
    </dxf>
    <dxf>
      <font>
        <color rgb="FF1E7145"/>
      </font>
      <fill>
        <patternFill>
          <bgColor rgb="FFE2EFDA"/>
        </patternFill>
      </fill>
    </dxf>
    <dxf>
      <font>
        <color rgb="FF9C2A2A"/>
      </font>
      <fill>
        <patternFill>
          <bgColor rgb="FFFCE4E4"/>
        </patternFill>
      </fill>
    </dxf>
    <dxf>
      <font>
        <color rgb="FF1E7145"/>
      </font>
      <fill>
        <patternFill>
          <bgColor rgb="FFE2EFDA"/>
        </patternFill>
      </fill>
    </dxf>
    <dxf>
      <font>
        <color rgb="FF9C2A2A"/>
      </font>
      <fill>
        <patternFill>
          <bgColor rgb="FFFCE4E4"/>
        </patternFill>
      </fill>
    </dxf>
    <dxf>
      <font>
        <color rgb="FF1E7145"/>
      </font>
      <fill>
        <patternFill>
          <bgColor rgb="FFE2EFDA"/>
        </patternFill>
      </fill>
    </dxf>
    <dxf>
      <font>
        <color rgb="FF9C2A2A"/>
      </font>
      <fill>
        <patternFill>
          <bgColor rgb="FFFCE4E4"/>
        </patternFill>
      </fill>
    </dxf>
    <dxf>
      <font>
        <color rgb="FF1E7145"/>
      </font>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36B00"/>
      <rgbColor rgb="FF800080"/>
      <rgbColor rgb="FF0F6B72"/>
      <rgbColor rgb="FFB3B3B3"/>
      <rgbColor rgb="FF808080"/>
      <rgbColor rgb="FF9999FF"/>
      <rgbColor rgb="FF993366"/>
      <rgbColor rgb="FFFDE9D9"/>
      <rgbColor rgb="FFF2F2F2"/>
      <rgbColor rgb="FF660066"/>
      <rgbColor rgb="FFFF8080"/>
      <rgbColor rgb="FF0066CC"/>
      <rgbColor rgb="FFD9D9D9"/>
      <rgbColor rgb="FF000080"/>
      <rgbColor rgb="FFFF00FF"/>
      <rgbColor rgb="FFFFFF00"/>
      <rgbColor rgb="FF00FFFF"/>
      <rgbColor rgb="FF800080"/>
      <rgbColor rgb="FF800000"/>
      <rgbColor rgb="FF1E7145"/>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757575"/>
      <rgbColor rgb="FFB08D57"/>
      <rgbColor rgb="FF1F3864"/>
      <rgbColor rgb="FF339966"/>
      <rgbColor rgb="FF003300"/>
      <rgbColor rgb="FF333300"/>
      <rgbColor rgb="FF9C2A2A"/>
      <rgbColor rgb="FF993366"/>
      <rgbColor rgb="FF2E5090"/>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Total ESG Score by Industry (Top 15)</a:t>
            </a:r>
          </a:p>
        </c:rich>
      </c:tx>
      <c:overlay val="0"/>
      <c:spPr>
        <a:noFill/>
        <a:ln w="0">
          <a:noFill/>
        </a:ln>
      </c:spPr>
    </c:title>
    <c:autoTitleDeleted val="0"/>
    <c:plotArea>
      <c:layout/>
      <c:barChart>
        <c:barDir val="bar"/>
        <c:grouping val="clustered"/>
        <c:varyColors val="0"/>
        <c:ser>
          <c:idx val="0"/>
          <c:order val="0"/>
          <c:spPr>
            <a:solidFill>
              <a:srgbClr val="1F3864"/>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Rankings!$B$78:$B$92</c:f>
              <c:strCache>
                <c:ptCount val="15"/>
                <c:pt idx="0">
                  <c:v>Utilities</c:v>
                </c:pt>
                <c:pt idx="1">
                  <c:v>Tobacco</c:v>
                </c:pt>
                <c:pt idx="2">
                  <c:v>Industrial Conglomerates</c:v>
                </c:pt>
                <c:pt idx="3">
                  <c:v>Packaging</c:v>
                </c:pt>
                <c:pt idx="4">
                  <c:v>Food Products</c:v>
                </c:pt>
                <c:pt idx="5">
                  <c:v>Energy</c:v>
                </c:pt>
                <c:pt idx="6">
                  <c:v>Distributors</c:v>
                </c:pt>
                <c:pt idx="7">
                  <c:v>Construction</c:v>
                </c:pt>
                <c:pt idx="8">
                  <c:v>Road &amp; Rail</c:v>
                </c:pt>
                <c:pt idx="9">
                  <c:v>Building</c:v>
                </c:pt>
                <c:pt idx="10">
                  <c:v>Beverages</c:v>
                </c:pt>
                <c:pt idx="11">
                  <c:v>Chemicals</c:v>
                </c:pt>
                <c:pt idx="12">
                  <c:v>Aerospace &amp; Defense</c:v>
                </c:pt>
                <c:pt idx="13">
                  <c:v>Machinery</c:v>
                </c:pt>
                <c:pt idx="14">
                  <c:v>Professional Services</c:v>
                </c:pt>
              </c:strCache>
            </c:strRef>
          </c:cat>
          <c:val>
            <c:numRef>
              <c:f>Rankings!$D$78:$D$92</c:f>
              <c:numCache>
                <c:formatCode>#,##0.0</c:formatCode>
                <c:ptCount val="15"/>
                <c:pt idx="0">
                  <c:v>1190.6333333333334</c:v>
                </c:pt>
                <c:pt idx="1">
                  <c:v>1165</c:v>
                </c:pt>
                <c:pt idx="2">
                  <c:v>1157</c:v>
                </c:pt>
                <c:pt idx="3">
                  <c:v>1156</c:v>
                </c:pt>
                <c:pt idx="4">
                  <c:v>1131.0714285714287</c:v>
                </c:pt>
                <c:pt idx="5">
                  <c:v>1117.7619047619048</c:v>
                </c:pt>
                <c:pt idx="6">
                  <c:v>1109.6666666666667</c:v>
                </c:pt>
                <c:pt idx="7">
                  <c:v>1082.6666666666667</c:v>
                </c:pt>
                <c:pt idx="8">
                  <c:v>1076.3333333333333</c:v>
                </c:pt>
                <c:pt idx="9">
                  <c:v>1074.2</c:v>
                </c:pt>
                <c:pt idx="10">
                  <c:v>1061</c:v>
                </c:pt>
                <c:pt idx="11">
                  <c:v>1058.8947368421052</c:v>
                </c:pt>
                <c:pt idx="12">
                  <c:v>1048.1818181818182</c:v>
                </c:pt>
                <c:pt idx="13">
                  <c:v>1048.047619047619</c:v>
                </c:pt>
                <c:pt idx="14">
                  <c:v>1047.8571428571429</c:v>
                </c:pt>
              </c:numCache>
            </c:numRef>
          </c:val>
          <c:extLst>
            <c:ext xmlns:c16="http://schemas.microsoft.com/office/drawing/2014/chart" uri="{C3380CC4-5D6E-409C-BE32-E72D297353CC}">
              <c16:uniqueId val="{00000000-B556-4FAB-8321-3C81400FD0B5}"/>
            </c:ext>
          </c:extLst>
        </c:ser>
        <c:dLbls>
          <c:showLegendKey val="0"/>
          <c:showVal val="0"/>
          <c:showCatName val="0"/>
          <c:showSerName val="0"/>
          <c:showPercent val="0"/>
          <c:showBubbleSize val="0"/>
        </c:dLbls>
        <c:gapWidth val="40"/>
        <c:axId val="27499068"/>
        <c:axId val="15495693"/>
      </c:barChart>
      <c:catAx>
        <c:axId val="27499068"/>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495693"/>
        <c:crosses val="autoZero"/>
        <c:auto val="1"/>
        <c:lblAlgn val="ctr"/>
        <c:lblOffset val="100"/>
        <c:noMultiLvlLbl val="0"/>
      </c:catAx>
      <c:valAx>
        <c:axId val="15495693"/>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Avg Total ESG Score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749906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E / S / G Scores (All Companies)</a:t>
            </a:r>
          </a:p>
        </c:rich>
      </c:tx>
      <c:overlay val="0"/>
      <c:spPr>
        <a:noFill/>
        <a:ln w="0">
          <a:noFill/>
        </a:ln>
      </c:spPr>
    </c:title>
    <c:autoTitleDeleted val="0"/>
    <c:plotArea>
      <c:layout/>
      <c:barChart>
        <c:barDir val="col"/>
        <c:grouping val="clustered"/>
        <c:varyColors val="0"/>
        <c:ser>
          <c:idx val="0"/>
          <c:order val="0"/>
          <c:spPr>
            <a:solidFill>
              <a:srgbClr val="0F6B72"/>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Dashboard!$A$64:$A$66</c:f>
              <c:strCache>
                <c:ptCount val="3"/>
                <c:pt idx="0">
                  <c:v>Environmental</c:v>
                </c:pt>
                <c:pt idx="1">
                  <c:v>Social</c:v>
                </c:pt>
                <c:pt idx="2">
                  <c:v>Governance</c:v>
                </c:pt>
              </c:strCache>
            </c:strRef>
          </c:cat>
          <c:val>
            <c:numRef>
              <c:f>Dashboard!$B$64:$B$66</c:f>
              <c:numCache>
                <c:formatCode>#,##0.0</c:formatCode>
                <c:ptCount val="3"/>
                <c:pt idx="0">
                  <c:v>404.80609418282546</c:v>
                </c:pt>
                <c:pt idx="1">
                  <c:v>292.18282548476452</c:v>
                </c:pt>
                <c:pt idx="2">
                  <c:v>278.76177285318562</c:v>
                </c:pt>
              </c:numCache>
            </c:numRef>
          </c:val>
          <c:extLst>
            <c:ext xmlns:c16="http://schemas.microsoft.com/office/drawing/2014/chart" uri="{C3380CC4-5D6E-409C-BE32-E72D297353CC}">
              <c16:uniqueId val="{00000000-9957-40B2-A161-073EA1D9782A}"/>
            </c:ext>
          </c:extLst>
        </c:ser>
        <c:dLbls>
          <c:showLegendKey val="0"/>
          <c:showVal val="0"/>
          <c:showCatName val="0"/>
          <c:showSerName val="0"/>
          <c:showPercent val="0"/>
          <c:showBubbleSize val="0"/>
        </c:dLbls>
        <c:gapWidth val="40"/>
        <c:axId val="48731503"/>
        <c:axId val="56343052"/>
      </c:barChart>
      <c:catAx>
        <c:axId val="4873150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6343052"/>
        <c:crosses val="autoZero"/>
        <c:auto val="1"/>
        <c:lblAlgn val="ctr"/>
        <c:lblOffset val="100"/>
        <c:noMultiLvlLbl val="0"/>
      </c:catAx>
      <c:valAx>
        <c:axId val="56343052"/>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Average Score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73150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Companies by Total ESG Score</a:t>
            </a:r>
          </a:p>
        </c:rich>
      </c:tx>
      <c:overlay val="0"/>
      <c:spPr>
        <a:noFill/>
        <a:ln w="0">
          <a:noFill/>
        </a:ln>
      </c:spPr>
    </c:title>
    <c:autoTitleDeleted val="0"/>
    <c:plotArea>
      <c:layout/>
      <c:barChart>
        <c:barDir val="bar"/>
        <c:grouping val="clustered"/>
        <c:varyColors val="0"/>
        <c:ser>
          <c:idx val="0"/>
          <c:order val="0"/>
          <c:spPr>
            <a:solidFill>
              <a:srgbClr val="B08D57"/>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Rankings!$B$6:$B$15</c:f>
              <c:strCache>
                <c:ptCount val="10"/>
                <c:pt idx="0">
                  <c:v>Conocophillips</c:v>
                </c:pt>
                <c:pt idx="1">
                  <c:v>Microsoft Corp</c:v>
                </c:pt>
                <c:pt idx="2">
                  <c:v>Edison International</c:v>
                </c:pt>
                <c:pt idx="3">
                  <c:v>Airbnb Inc</c:v>
                </c:pt>
                <c:pt idx="4">
                  <c:v>Air Products and Chemicals Inc</c:v>
                </c:pt>
                <c:pt idx="5">
                  <c:v>Amazon.com Inc</c:v>
                </c:pt>
                <c:pt idx="6">
                  <c:v>Newmont Corporation</c:v>
                </c:pt>
                <c:pt idx="7">
                  <c:v>PepsiCo Inc</c:v>
                </c:pt>
                <c:pt idx="8">
                  <c:v>Exelon Corp</c:v>
                </c:pt>
                <c:pt idx="9">
                  <c:v>Pioneer Natural Resources Co</c:v>
                </c:pt>
              </c:strCache>
            </c:strRef>
          </c:cat>
          <c:val>
            <c:numRef>
              <c:f>Rankings!$E$6:$E$15</c:f>
              <c:numCache>
                <c:formatCode>#,##0</c:formatCode>
                <c:ptCount val="10"/>
                <c:pt idx="0">
                  <c:v>1536</c:v>
                </c:pt>
                <c:pt idx="1">
                  <c:v>1533</c:v>
                </c:pt>
                <c:pt idx="2">
                  <c:v>1528</c:v>
                </c:pt>
                <c:pt idx="3">
                  <c:v>1475</c:v>
                </c:pt>
                <c:pt idx="4">
                  <c:v>1442</c:v>
                </c:pt>
                <c:pt idx="5">
                  <c:v>1433</c:v>
                </c:pt>
                <c:pt idx="6">
                  <c:v>1419</c:v>
                </c:pt>
                <c:pt idx="7">
                  <c:v>1417</c:v>
                </c:pt>
                <c:pt idx="8">
                  <c:v>1413</c:v>
                </c:pt>
                <c:pt idx="9">
                  <c:v>1412</c:v>
                </c:pt>
              </c:numCache>
            </c:numRef>
          </c:val>
          <c:extLst>
            <c:ext xmlns:c16="http://schemas.microsoft.com/office/drawing/2014/chart" uri="{C3380CC4-5D6E-409C-BE32-E72D297353CC}">
              <c16:uniqueId val="{00000000-9DFD-4259-9F38-A57B686DE15D}"/>
            </c:ext>
          </c:extLst>
        </c:ser>
        <c:dLbls>
          <c:showLegendKey val="0"/>
          <c:showVal val="0"/>
          <c:showCatName val="0"/>
          <c:showSerName val="0"/>
          <c:showPercent val="0"/>
          <c:showBubbleSize val="0"/>
        </c:dLbls>
        <c:gapWidth val="40"/>
        <c:axId val="88304972"/>
        <c:axId val="88349024"/>
      </c:barChart>
      <c:catAx>
        <c:axId val="88304972"/>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349024"/>
        <c:crosses val="autoZero"/>
        <c:auto val="1"/>
        <c:lblAlgn val="ctr"/>
        <c:lblOffset val="100"/>
        <c:noMultiLvlLbl val="0"/>
      </c:catAx>
      <c:valAx>
        <c:axId val="88349024"/>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Total ESG Score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30497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Distribution of Total ESG Scores</a:t>
            </a:r>
          </a:p>
        </c:rich>
      </c:tx>
      <c:overlay val="0"/>
      <c:spPr>
        <a:noFill/>
        <a:ln w="0">
          <a:noFill/>
        </a:ln>
      </c:spPr>
    </c:title>
    <c:autoTitleDeleted val="0"/>
    <c:plotArea>
      <c:layout/>
      <c:barChart>
        <c:barDir val="col"/>
        <c:grouping val="clustered"/>
        <c:varyColors val="0"/>
        <c:ser>
          <c:idx val="0"/>
          <c:order val="0"/>
          <c:spPr>
            <a:solidFill>
              <a:srgbClr val="2E509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Dashboard!$A$69:$A$78</c:f>
              <c:strCache>
                <c:ptCount val="10"/>
                <c:pt idx="0">
                  <c:v>600-700</c:v>
                </c:pt>
                <c:pt idx="1">
                  <c:v>700-800</c:v>
                </c:pt>
                <c:pt idx="2">
                  <c:v>800-900</c:v>
                </c:pt>
                <c:pt idx="3">
                  <c:v>900-1000</c:v>
                </c:pt>
                <c:pt idx="4">
                  <c:v>1000-1100</c:v>
                </c:pt>
                <c:pt idx="5">
                  <c:v>1100-1200</c:v>
                </c:pt>
                <c:pt idx="6">
                  <c:v>1200-1300</c:v>
                </c:pt>
                <c:pt idx="7">
                  <c:v>1300-1400</c:v>
                </c:pt>
                <c:pt idx="8">
                  <c:v>1400-1500</c:v>
                </c:pt>
                <c:pt idx="9">
                  <c:v>1500-1600</c:v>
                </c:pt>
              </c:strCache>
            </c:strRef>
          </c:cat>
          <c:val>
            <c:numRef>
              <c:f>Dashboard!$B$69:$B$78</c:f>
              <c:numCache>
                <c:formatCode>General</c:formatCode>
                <c:ptCount val="10"/>
                <c:pt idx="0">
                  <c:v>118</c:v>
                </c:pt>
                <c:pt idx="1">
                  <c:v>88</c:v>
                </c:pt>
                <c:pt idx="2">
                  <c:v>65</c:v>
                </c:pt>
                <c:pt idx="3">
                  <c:v>57</c:v>
                </c:pt>
                <c:pt idx="4">
                  <c:v>82</c:v>
                </c:pt>
                <c:pt idx="5">
                  <c:v>229</c:v>
                </c:pt>
                <c:pt idx="6">
                  <c:v>59</c:v>
                </c:pt>
                <c:pt idx="7">
                  <c:v>12</c:v>
                </c:pt>
                <c:pt idx="8">
                  <c:v>9</c:v>
                </c:pt>
                <c:pt idx="9">
                  <c:v>3</c:v>
                </c:pt>
              </c:numCache>
            </c:numRef>
          </c:val>
          <c:extLst>
            <c:ext xmlns:c16="http://schemas.microsoft.com/office/drawing/2014/chart" uri="{C3380CC4-5D6E-409C-BE32-E72D297353CC}">
              <c16:uniqueId val="{00000000-D380-4502-A564-8534B08B9B17}"/>
            </c:ext>
          </c:extLst>
        </c:ser>
        <c:dLbls>
          <c:showLegendKey val="0"/>
          <c:showVal val="0"/>
          <c:showCatName val="0"/>
          <c:showSerName val="0"/>
          <c:showPercent val="0"/>
          <c:showBubbleSize val="0"/>
        </c:dLbls>
        <c:gapWidth val="40"/>
        <c:axId val="90065088"/>
        <c:axId val="40788972"/>
      </c:barChart>
      <c:catAx>
        <c:axId val="9006508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788972"/>
        <c:crosses val="autoZero"/>
        <c:auto val="1"/>
        <c:lblAlgn val="ctr"/>
        <c:lblOffset val="100"/>
        <c:noMultiLvlLbl val="0"/>
      </c:catAx>
      <c:valAx>
        <c:axId val="40788972"/>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Number of Companies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006508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ESG Score vs. Industry Average (points, +/-)</a:t>
            </a:r>
          </a:p>
        </c:rich>
      </c:tx>
      <c:overlay val="0"/>
      <c:spPr>
        <a:noFill/>
        <a:ln w="0">
          <a:noFill/>
        </a:ln>
      </c:spPr>
    </c:title>
    <c:autoTitleDeleted val="0"/>
    <c:plotArea>
      <c:layout/>
      <c:barChart>
        <c:barDir val="bar"/>
        <c:grouping val="clustered"/>
        <c:varyColors val="0"/>
        <c:ser>
          <c:idx val="0"/>
          <c:order val="0"/>
          <c:spPr>
            <a:solidFill>
              <a:srgbClr val="0F6B72"/>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Dashboard!$A$82:$A$101</c:f>
              <c:strCache>
                <c:ptCount val="20"/>
                <c:pt idx="0">
                  <c:v>Airbnb Inc</c:v>
                </c:pt>
                <c:pt idx="1">
                  <c:v>Amazon.com Inc</c:v>
                </c:pt>
                <c:pt idx="2">
                  <c:v>Microsoft Corp</c:v>
                </c:pt>
                <c:pt idx="3">
                  <c:v>Newmont Corporation</c:v>
                </c:pt>
                <c:pt idx="4">
                  <c:v>Conocophillips</c:v>
                </c:pt>
                <c:pt idx="5">
                  <c:v>Air Products and Chemicals Inc</c:v>
                </c:pt>
                <c:pt idx="6">
                  <c:v>Aptiv PLC</c:v>
                </c:pt>
                <c:pt idx="7">
                  <c:v>Becton Dickinson and Co</c:v>
                </c:pt>
                <c:pt idx="8">
                  <c:v>Hannon Armstrong Sustainable Infrastructure Capital Inc</c:v>
                </c:pt>
                <c:pt idx="9">
                  <c:v>Amphenol Corp</c:v>
                </c:pt>
                <c:pt idx="10">
                  <c:v>Xcel Energy Inc</c:v>
                </c:pt>
                <c:pt idx="11">
                  <c:v>Granite Construction Inc</c:v>
                </c:pt>
                <c:pt idx="12">
                  <c:v>Chevron Corp</c:v>
                </c:pt>
                <c:pt idx="13">
                  <c:v>Coca-Cola Co</c:v>
                </c:pt>
                <c:pt idx="14">
                  <c:v>Primeenergy Resources Corp</c:v>
                </c:pt>
                <c:pt idx="15">
                  <c:v>Dow Inc</c:v>
                </c:pt>
                <c:pt idx="16">
                  <c:v>Advanced Micro Devices Inc</c:v>
                </c:pt>
                <c:pt idx="17">
                  <c:v>HEICO Corp</c:v>
                </c:pt>
                <c:pt idx="18">
                  <c:v>Adobe Inc</c:v>
                </c:pt>
                <c:pt idx="19">
                  <c:v>Broadcom Inc</c:v>
                </c:pt>
              </c:strCache>
            </c:strRef>
          </c:cat>
          <c:val>
            <c:numRef>
              <c:f>Dashboard!$B$82:$B$101</c:f>
              <c:numCache>
                <c:formatCode>\+#,##0;\-#,##0;0</c:formatCode>
                <c:ptCount val="20"/>
                <c:pt idx="0">
                  <c:v>556.13636363636363</c:v>
                </c:pt>
                <c:pt idx="1">
                  <c:v>514.42307692307691</c:v>
                </c:pt>
                <c:pt idx="2">
                  <c:v>501.68253968253975</c:v>
                </c:pt>
                <c:pt idx="3">
                  <c:v>432</c:v>
                </c:pt>
                <c:pt idx="4">
                  <c:v>418.23809523809518</c:v>
                </c:pt>
                <c:pt idx="5">
                  <c:v>383.1052631578948</c:v>
                </c:pt>
                <c:pt idx="6">
                  <c:v>370.66666666666663</c:v>
                </c:pt>
                <c:pt idx="7">
                  <c:v>367.23529411764707</c:v>
                </c:pt>
                <c:pt idx="8">
                  <c:v>367.05555555555554</c:v>
                </c:pt>
                <c:pt idx="9">
                  <c:v>357</c:v>
                </c:pt>
                <c:pt idx="10">
                  <c:v>-561.63333333333344</c:v>
                </c:pt>
                <c:pt idx="11">
                  <c:v>-482.66666666666674</c:v>
                </c:pt>
                <c:pt idx="12">
                  <c:v>-480.76190476190482</c:v>
                </c:pt>
                <c:pt idx="13">
                  <c:v>-460</c:v>
                </c:pt>
                <c:pt idx="14">
                  <c:v>-457.76190476190482</c:v>
                </c:pt>
                <c:pt idx="15">
                  <c:v>-432.8947368421052</c:v>
                </c:pt>
                <c:pt idx="16">
                  <c:v>-422.58333333333326</c:v>
                </c:pt>
                <c:pt idx="17">
                  <c:v>-415.18181818181824</c:v>
                </c:pt>
                <c:pt idx="18">
                  <c:v>-410.31746031746025</c:v>
                </c:pt>
                <c:pt idx="19">
                  <c:v>-408.58333333333326</c:v>
                </c:pt>
              </c:numCache>
            </c:numRef>
          </c:val>
          <c:extLst>
            <c:ext xmlns:c16="http://schemas.microsoft.com/office/drawing/2014/chart" uri="{C3380CC4-5D6E-409C-BE32-E72D297353CC}">
              <c16:uniqueId val="{00000000-FEBA-455C-B905-D1287AF05F63}"/>
            </c:ext>
          </c:extLst>
        </c:ser>
        <c:dLbls>
          <c:showLegendKey val="0"/>
          <c:showVal val="0"/>
          <c:showCatName val="0"/>
          <c:showSerName val="0"/>
          <c:showPercent val="0"/>
          <c:showBubbleSize val="0"/>
        </c:dLbls>
        <c:gapWidth val="40"/>
        <c:axId val="15798572"/>
        <c:axId val="41471697"/>
      </c:barChart>
      <c:catAx>
        <c:axId val="15798572"/>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1471697"/>
        <c:crosses val="autoZero"/>
        <c:auto val="1"/>
        <c:lblAlgn val="ctr"/>
        <c:lblOffset val="100"/>
        <c:noMultiLvlLbl val="0"/>
      </c:catAx>
      <c:valAx>
        <c:axId val="4147169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Points vs Industry Avg</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79857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Companies by E/S/G Pillar Range (Max-Min)</a:t>
            </a:r>
          </a:p>
        </c:rich>
      </c:tx>
      <c:overlay val="0"/>
      <c:spPr>
        <a:noFill/>
        <a:ln w="0">
          <a:noFill/>
        </a:ln>
      </c:spPr>
    </c:title>
    <c:autoTitleDeleted val="0"/>
    <c:plotArea>
      <c:layout/>
      <c:barChart>
        <c:barDir val="bar"/>
        <c:grouping val="clustered"/>
        <c:varyColors val="0"/>
        <c:ser>
          <c:idx val="0"/>
          <c:order val="0"/>
          <c:spPr>
            <a:solidFill>
              <a:srgbClr val="B08D57"/>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Rankings!$B$150:$B$159</c:f>
              <c:strCache>
                <c:ptCount val="10"/>
                <c:pt idx="0">
                  <c:v>CMS Energy Corp</c:v>
                </c:pt>
                <c:pt idx="1">
                  <c:v>Air Products and Chemicals Inc</c:v>
                </c:pt>
                <c:pt idx="2">
                  <c:v>Consolidated Edison Inc</c:v>
                </c:pt>
                <c:pt idx="3">
                  <c:v>Pioneer Natural Resources Co</c:v>
                </c:pt>
                <c:pt idx="4">
                  <c:v>Weyerhaeuser Co</c:v>
                </c:pt>
                <c:pt idx="5">
                  <c:v>Lincoln National Corp</c:v>
                </c:pt>
                <c:pt idx="6">
                  <c:v>Tesla Inc</c:v>
                </c:pt>
                <c:pt idx="7">
                  <c:v>Sempra Energy</c:v>
                </c:pt>
                <c:pt idx="8">
                  <c:v>Edison International</c:v>
                </c:pt>
                <c:pt idx="9">
                  <c:v>Marathon Petroleum Corp</c:v>
                </c:pt>
              </c:strCache>
            </c:strRef>
          </c:cat>
          <c:val>
            <c:numRef>
              <c:f>Rankings!$F$150:$F$159</c:f>
              <c:numCache>
                <c:formatCode>#,##0</c:formatCode>
                <c:ptCount val="10"/>
                <c:pt idx="0">
                  <c:v>592</c:v>
                </c:pt>
                <c:pt idx="1">
                  <c:v>400</c:v>
                </c:pt>
                <c:pt idx="2">
                  <c:v>400</c:v>
                </c:pt>
                <c:pt idx="3">
                  <c:v>400</c:v>
                </c:pt>
                <c:pt idx="4">
                  <c:v>400</c:v>
                </c:pt>
                <c:pt idx="5">
                  <c:v>400</c:v>
                </c:pt>
                <c:pt idx="6">
                  <c:v>395</c:v>
                </c:pt>
                <c:pt idx="7">
                  <c:v>390</c:v>
                </c:pt>
                <c:pt idx="8">
                  <c:v>385</c:v>
                </c:pt>
                <c:pt idx="9">
                  <c:v>385</c:v>
                </c:pt>
              </c:numCache>
            </c:numRef>
          </c:val>
          <c:extLst>
            <c:ext xmlns:c16="http://schemas.microsoft.com/office/drawing/2014/chart" uri="{C3380CC4-5D6E-409C-BE32-E72D297353CC}">
              <c16:uniqueId val="{00000000-A8CC-4427-BB12-582657DD2865}"/>
            </c:ext>
          </c:extLst>
        </c:ser>
        <c:dLbls>
          <c:showLegendKey val="0"/>
          <c:showVal val="0"/>
          <c:showCatName val="0"/>
          <c:showSerName val="0"/>
          <c:showPercent val="0"/>
          <c:showBubbleSize val="0"/>
        </c:dLbls>
        <c:gapWidth val="40"/>
        <c:axId val="74455064"/>
        <c:axId val="46068537"/>
      </c:barChart>
      <c:catAx>
        <c:axId val="74455064"/>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6068537"/>
        <c:crosses val="autoZero"/>
        <c:auto val="1"/>
        <c:lblAlgn val="ctr"/>
        <c:lblOffset val="100"/>
        <c:noMultiLvlLbl val="0"/>
      </c:catAx>
      <c:valAx>
        <c:axId val="4606853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Pillar Range (points)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445506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97200</xdr:rowOff>
    </xdr:from>
    <xdr:to>
      <xdr:col>6</xdr:col>
      <xdr:colOff>257760</xdr:colOff>
      <xdr:row>29</xdr:row>
      <xdr:rowOff>105120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13</xdr:row>
      <xdr:rowOff>97200</xdr:rowOff>
    </xdr:from>
    <xdr:to>
      <xdr:col>12</xdr:col>
      <xdr:colOff>257760</xdr:colOff>
      <xdr:row>29</xdr:row>
      <xdr:rowOff>105120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97200</xdr:rowOff>
    </xdr:from>
    <xdr:to>
      <xdr:col>6</xdr:col>
      <xdr:colOff>257760</xdr:colOff>
      <xdr:row>49</xdr:row>
      <xdr:rowOff>104760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33</xdr:row>
      <xdr:rowOff>97200</xdr:rowOff>
    </xdr:from>
    <xdr:to>
      <xdr:col>12</xdr:col>
      <xdr:colOff>257760</xdr:colOff>
      <xdr:row>49</xdr:row>
      <xdr:rowOff>104760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53</xdr:row>
      <xdr:rowOff>97200</xdr:rowOff>
    </xdr:from>
    <xdr:to>
      <xdr:col>6</xdr:col>
      <xdr:colOff>257760</xdr:colOff>
      <xdr:row>71</xdr:row>
      <xdr:rowOff>83880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53</xdr:row>
      <xdr:rowOff>97200</xdr:rowOff>
    </xdr:from>
    <xdr:to>
      <xdr:col>12</xdr:col>
      <xdr:colOff>257760</xdr:colOff>
      <xdr:row>71</xdr:row>
      <xdr:rowOff>83880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ata" displayName="data" ref="A1:U723" totalsRowShown="0">
  <autoFilter ref="A1:U723" xr:uid="{00000000-0009-0000-0100-000002000000}"/>
  <tableColumns count="21">
    <tableColumn id="1" xr3:uid="{00000000-0010-0000-0000-000001000000}" name="ticker"/>
    <tableColumn id="2" xr3:uid="{00000000-0010-0000-0000-000002000000}" name="name"/>
    <tableColumn id="3" xr3:uid="{00000000-0010-0000-0000-000003000000}" name="currency"/>
    <tableColumn id="4" xr3:uid="{00000000-0010-0000-0000-000004000000}" name="exchange"/>
    <tableColumn id="5" xr3:uid="{00000000-0010-0000-0000-000005000000}" name="industry"/>
    <tableColumn id="6" xr3:uid="{00000000-0010-0000-0000-000006000000}" name="logo"/>
    <tableColumn id="7" xr3:uid="{00000000-0010-0000-0000-000007000000}" name="weburl"/>
    <tableColumn id="8" xr3:uid="{00000000-0010-0000-0000-000008000000}" name="environment_grade"/>
    <tableColumn id="9" xr3:uid="{00000000-0010-0000-0000-000009000000}" name="environment_level"/>
    <tableColumn id="10" xr3:uid="{00000000-0010-0000-0000-00000A000000}" name="social_grade"/>
    <tableColumn id="11" xr3:uid="{00000000-0010-0000-0000-00000B000000}" name="social_level"/>
    <tableColumn id="12" xr3:uid="{00000000-0010-0000-0000-00000C000000}" name="governance_grade"/>
    <tableColumn id="13" xr3:uid="{00000000-0010-0000-0000-00000D000000}" name="governance_level"/>
    <tableColumn id="14" xr3:uid="{00000000-0010-0000-0000-00000E000000}" name="environment_score"/>
    <tableColumn id="15" xr3:uid="{00000000-0010-0000-0000-00000F000000}" name="social_score"/>
    <tableColumn id="16" xr3:uid="{00000000-0010-0000-0000-000010000000}" name="governance_score"/>
    <tableColumn id="17" xr3:uid="{00000000-0010-0000-0000-000011000000}" name="total_score"/>
    <tableColumn id="18" xr3:uid="{00000000-0010-0000-0000-000012000000}" name="last_processing_date"/>
    <tableColumn id="19" xr3:uid="{00000000-0010-0000-0000-000013000000}" name="total_grade"/>
    <tableColumn id="20" xr3:uid="{00000000-0010-0000-0000-000014000000}" name="total_level"/>
    <tableColumn id="21" xr3:uid="{00000000-0010-0000-0000-000015000000}" name="ci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ndustryStats" displayName="IndustryStats" ref="A1:J46" totalsRowShown="0">
  <autoFilter ref="A1:J46" xr:uid="{00000000-0009-0000-0100-000003000000}"/>
  <tableColumns count="10">
    <tableColumn id="1" xr3:uid="{00000000-0010-0000-0300-000001000000}" name="Industry (standardized)"/>
    <tableColumn id="2" xr3:uid="{00000000-0010-0000-0300-000002000000}" name="Company Count"/>
    <tableColumn id="3" xr3:uid="{00000000-0010-0000-0300-000003000000}" name="Avg Environmental"/>
    <tableColumn id="4" xr3:uid="{00000000-0010-0000-0300-000004000000}" name="Avg Social"/>
    <tableColumn id="5" xr3:uid="{00000000-0010-0000-0300-000005000000}" name="Avg Governance"/>
    <tableColumn id="6" xr3:uid="{00000000-0010-0000-0300-000006000000}" name="Avg Total ESG"/>
    <tableColumn id="7" xr3:uid="{00000000-0010-0000-0300-000007000000}" name="Max Total ESG"/>
    <tableColumn id="8" xr3:uid="{00000000-0010-0000-0300-000008000000}" name="Min Total ESG"/>
    <tableColumn id="9" xr3:uid="{00000000-0010-0000-0300-000009000000}" name="Sample Size Flag"/>
    <tableColumn id="10" xr3:uid="{00000000-0010-0000-0300-00000A000000}" name="RankKey (AvgTotal, tie-brea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U723"/>
  <sheetViews>
    <sheetView topLeftCell="J1" zoomScaleNormal="100" workbookViewId="0">
      <pane ySplit="1" topLeftCell="A277" activePane="bottomLeft" state="frozen"/>
      <selection activeCell="J1" sqref="J1"/>
      <selection pane="bottomLeft" activeCell="U723" sqref="U723"/>
    </sheetView>
  </sheetViews>
  <sheetFormatPr defaultColWidth="8.6328125" defaultRowHeight="14.5" x14ac:dyDescent="0.35"/>
  <cols>
    <col min="1" max="1" width="7.81640625" customWidth="1"/>
    <col min="2" max="2" width="48.6328125" customWidth="1"/>
    <col min="3" max="3" width="10.26953125" customWidth="1"/>
    <col min="4" max="4" width="30" customWidth="1"/>
    <col min="5" max="5" width="31.1796875" customWidth="1"/>
    <col min="6" max="7" width="80.7265625" customWidth="1"/>
    <col min="8" max="8" width="19.81640625" customWidth="1"/>
    <col min="9" max="9" width="18.81640625" customWidth="1"/>
    <col min="10" max="10" width="13.453125" customWidth="1"/>
    <col min="11" max="11" width="12.54296875" customWidth="1"/>
    <col min="12" max="12" width="18.54296875" customWidth="1"/>
    <col min="13" max="13" width="17.6328125" customWidth="1"/>
    <col min="14" max="14" width="19.54296875" customWidth="1"/>
    <col min="15" max="15" width="13.1796875" customWidth="1"/>
    <col min="16" max="16" width="18.26953125" customWidth="1"/>
    <col min="17" max="17" width="12.54296875" customWidth="1"/>
    <col min="18" max="18" width="20.90625" customWidth="1"/>
    <col min="19" max="19" width="12.81640625" customWidth="1"/>
    <col min="20" max="20" width="11.90625" customWidth="1"/>
    <col min="21" max="21" width="7.81640625" customWidth="1"/>
  </cols>
  <sheetData>
    <row r="1" spans="1:21" ht="14.2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4.25" customHeight="1" x14ac:dyDescent="0.35">
      <c r="A2" t="s">
        <v>21</v>
      </c>
      <c r="B2" t="s">
        <v>22</v>
      </c>
      <c r="C2" t="s">
        <v>23</v>
      </c>
      <c r="D2" t="s">
        <v>24</v>
      </c>
      <c r="E2" t="s">
        <v>25</v>
      </c>
      <c r="F2" t="s">
        <v>26</v>
      </c>
      <c r="G2" t="s">
        <v>27</v>
      </c>
      <c r="H2" t="s">
        <v>28</v>
      </c>
      <c r="I2" t="s">
        <v>29</v>
      </c>
      <c r="J2" t="s">
        <v>30</v>
      </c>
      <c r="K2" t="s">
        <v>31</v>
      </c>
      <c r="L2" t="s">
        <v>30</v>
      </c>
      <c r="M2" t="s">
        <v>31</v>
      </c>
      <c r="N2">
        <v>510</v>
      </c>
      <c r="O2">
        <v>316</v>
      </c>
      <c r="P2">
        <v>321</v>
      </c>
      <c r="Q2">
        <v>1147</v>
      </c>
      <c r="R2" s="15">
        <v>44670</v>
      </c>
      <c r="S2" t="s">
        <v>32</v>
      </c>
      <c r="T2" t="s">
        <v>29</v>
      </c>
      <c r="U2">
        <v>1744489</v>
      </c>
    </row>
    <row r="3" spans="1:21" ht="14.25" customHeight="1" x14ac:dyDescent="0.35">
      <c r="A3" t="s">
        <v>33</v>
      </c>
      <c r="B3" t="s">
        <v>34</v>
      </c>
      <c r="C3" t="s">
        <v>23</v>
      </c>
      <c r="D3" t="s">
        <v>24</v>
      </c>
      <c r="E3" t="s">
        <v>35</v>
      </c>
      <c r="F3" t="s">
        <v>36</v>
      </c>
      <c r="G3" t="s">
        <v>37</v>
      </c>
      <c r="H3" t="s">
        <v>28</v>
      </c>
      <c r="I3" t="s">
        <v>29</v>
      </c>
      <c r="J3" t="s">
        <v>30</v>
      </c>
      <c r="K3" t="s">
        <v>31</v>
      </c>
      <c r="L3" t="s">
        <v>38</v>
      </c>
      <c r="M3" t="s">
        <v>31</v>
      </c>
      <c r="N3">
        <v>510</v>
      </c>
      <c r="O3">
        <v>303</v>
      </c>
      <c r="P3">
        <v>255</v>
      </c>
      <c r="Q3">
        <v>1068</v>
      </c>
      <c r="R3" s="15">
        <v>44668</v>
      </c>
      <c r="S3" t="s">
        <v>32</v>
      </c>
      <c r="T3" t="s">
        <v>29</v>
      </c>
      <c r="U3">
        <v>1467858</v>
      </c>
    </row>
    <row r="4" spans="1:21" ht="14.25" customHeight="1" x14ac:dyDescent="0.35">
      <c r="A4" t="s">
        <v>39</v>
      </c>
      <c r="B4" t="s">
        <v>40</v>
      </c>
      <c r="C4" t="s">
        <v>23</v>
      </c>
      <c r="D4" t="s">
        <v>24</v>
      </c>
      <c r="E4" t="s">
        <v>41</v>
      </c>
      <c r="F4" t="s">
        <v>42</v>
      </c>
      <c r="G4" t="s">
        <v>43</v>
      </c>
      <c r="H4" t="s">
        <v>38</v>
      </c>
      <c r="I4" t="s">
        <v>31</v>
      </c>
      <c r="J4" t="s">
        <v>30</v>
      </c>
      <c r="K4" t="s">
        <v>31</v>
      </c>
      <c r="L4" t="s">
        <v>38</v>
      </c>
      <c r="M4" t="s">
        <v>31</v>
      </c>
      <c r="N4">
        <v>255</v>
      </c>
      <c r="O4">
        <v>385</v>
      </c>
      <c r="P4">
        <v>240</v>
      </c>
      <c r="Q4">
        <v>880</v>
      </c>
      <c r="R4" s="15">
        <v>44670</v>
      </c>
      <c r="S4" t="s">
        <v>30</v>
      </c>
      <c r="T4" t="s">
        <v>31</v>
      </c>
      <c r="U4">
        <v>277135</v>
      </c>
    </row>
    <row r="5" spans="1:21" ht="14.25" customHeight="1" x14ac:dyDescent="0.35">
      <c r="A5" t="s">
        <v>44</v>
      </c>
      <c r="B5" t="s">
        <v>45</v>
      </c>
      <c r="C5" t="s">
        <v>23</v>
      </c>
      <c r="D5" t="s">
        <v>24</v>
      </c>
      <c r="E5" t="s">
        <v>46</v>
      </c>
      <c r="F5" t="s">
        <v>47</v>
      </c>
      <c r="G5" t="s">
        <v>48</v>
      </c>
      <c r="H5" t="s">
        <v>28</v>
      </c>
      <c r="I5" t="s">
        <v>29</v>
      </c>
      <c r="J5" t="s">
        <v>38</v>
      </c>
      <c r="K5" t="s">
        <v>31</v>
      </c>
      <c r="L5" t="s">
        <v>30</v>
      </c>
      <c r="M5" t="s">
        <v>31</v>
      </c>
      <c r="N5">
        <v>570</v>
      </c>
      <c r="O5">
        <v>298</v>
      </c>
      <c r="P5">
        <v>303</v>
      </c>
      <c r="Q5">
        <v>1171</v>
      </c>
      <c r="R5" s="15">
        <v>44669</v>
      </c>
      <c r="S5" t="s">
        <v>32</v>
      </c>
      <c r="T5" t="s">
        <v>29</v>
      </c>
      <c r="U5">
        <v>851968</v>
      </c>
    </row>
    <row r="6" spans="1:21" ht="14.25" customHeight="1" x14ac:dyDescent="0.35">
      <c r="A6" t="s">
        <v>49</v>
      </c>
      <c r="B6" t="s">
        <v>50</v>
      </c>
      <c r="C6" t="s">
        <v>23</v>
      </c>
      <c r="D6" t="s">
        <v>24</v>
      </c>
      <c r="E6" t="s">
        <v>25</v>
      </c>
      <c r="F6" t="s">
        <v>51</v>
      </c>
      <c r="G6" t="s">
        <v>52</v>
      </c>
      <c r="H6" t="s">
        <v>32</v>
      </c>
      <c r="I6" t="s">
        <v>29</v>
      </c>
      <c r="J6" t="s">
        <v>30</v>
      </c>
      <c r="K6" t="s">
        <v>31</v>
      </c>
      <c r="L6" t="s">
        <v>38</v>
      </c>
      <c r="M6" t="s">
        <v>31</v>
      </c>
      <c r="N6">
        <v>492</v>
      </c>
      <c r="O6">
        <v>310</v>
      </c>
      <c r="P6">
        <v>250</v>
      </c>
      <c r="Q6">
        <v>1052</v>
      </c>
      <c r="R6" s="15">
        <v>44669</v>
      </c>
      <c r="S6" t="s">
        <v>32</v>
      </c>
      <c r="T6" t="s">
        <v>29</v>
      </c>
      <c r="U6">
        <v>1335258</v>
      </c>
    </row>
    <row r="7" spans="1:21" ht="14.25" customHeight="1" x14ac:dyDescent="0.35">
      <c r="A7" t="s">
        <v>53</v>
      </c>
      <c r="B7" t="s">
        <v>54</v>
      </c>
      <c r="C7" t="s">
        <v>23</v>
      </c>
      <c r="D7" t="s">
        <v>24</v>
      </c>
      <c r="E7" t="s">
        <v>55</v>
      </c>
      <c r="F7" t="s">
        <v>56</v>
      </c>
      <c r="G7" t="s">
        <v>57</v>
      </c>
      <c r="H7" t="s">
        <v>28</v>
      </c>
      <c r="I7" t="s">
        <v>29</v>
      </c>
      <c r="J7" t="s">
        <v>30</v>
      </c>
      <c r="K7" t="s">
        <v>31</v>
      </c>
      <c r="L7" t="s">
        <v>30</v>
      </c>
      <c r="M7" t="s">
        <v>31</v>
      </c>
      <c r="N7">
        <v>547</v>
      </c>
      <c r="O7">
        <v>318</v>
      </c>
      <c r="P7">
        <v>313</v>
      </c>
      <c r="Q7">
        <v>1178</v>
      </c>
      <c r="R7" s="15">
        <v>44669</v>
      </c>
      <c r="S7" t="s">
        <v>32</v>
      </c>
      <c r="T7" t="s">
        <v>29</v>
      </c>
      <c r="U7">
        <v>1300514</v>
      </c>
    </row>
    <row r="8" spans="1:21" ht="14.25" customHeight="1" x14ac:dyDescent="0.35">
      <c r="A8" t="s">
        <v>58</v>
      </c>
      <c r="B8" t="s">
        <v>59</v>
      </c>
      <c r="C8" t="s">
        <v>23</v>
      </c>
      <c r="D8" t="s">
        <v>24</v>
      </c>
      <c r="E8" t="s">
        <v>46</v>
      </c>
      <c r="F8" t="s">
        <v>60</v>
      </c>
      <c r="G8" t="s">
        <v>61</v>
      </c>
      <c r="H8" t="s">
        <v>28</v>
      </c>
      <c r="I8" t="s">
        <v>29</v>
      </c>
      <c r="J8" t="s">
        <v>30</v>
      </c>
      <c r="K8" t="s">
        <v>31</v>
      </c>
      <c r="L8" t="s">
        <v>30</v>
      </c>
      <c r="M8" t="s">
        <v>31</v>
      </c>
      <c r="N8">
        <v>560</v>
      </c>
      <c r="O8">
        <v>350</v>
      </c>
      <c r="P8">
        <v>345</v>
      </c>
      <c r="Q8">
        <v>1255</v>
      </c>
      <c r="R8" s="15">
        <v>44667</v>
      </c>
      <c r="S8" t="s">
        <v>28</v>
      </c>
      <c r="T8" t="s">
        <v>29</v>
      </c>
      <c r="U8">
        <v>21076</v>
      </c>
    </row>
    <row r="9" spans="1:21" ht="14.25" customHeight="1" x14ac:dyDescent="0.35">
      <c r="A9" t="s">
        <v>62</v>
      </c>
      <c r="B9" t="s">
        <v>63</v>
      </c>
      <c r="C9" t="s">
        <v>64</v>
      </c>
      <c r="D9" t="s">
        <v>65</v>
      </c>
      <c r="E9" t="s">
        <v>66</v>
      </c>
      <c r="F9" t="s">
        <v>67</v>
      </c>
      <c r="G9" t="s">
        <v>68</v>
      </c>
      <c r="H9" t="s">
        <v>38</v>
      </c>
      <c r="I9" t="s">
        <v>31</v>
      </c>
      <c r="J9" t="s">
        <v>38</v>
      </c>
      <c r="K9" t="s">
        <v>31</v>
      </c>
      <c r="L9" t="s">
        <v>38</v>
      </c>
      <c r="M9" t="s">
        <v>31</v>
      </c>
      <c r="N9">
        <v>203</v>
      </c>
      <c r="O9">
        <v>200</v>
      </c>
      <c r="P9">
        <v>205</v>
      </c>
      <c r="Q9">
        <v>608</v>
      </c>
      <c r="R9" s="15">
        <v>44743</v>
      </c>
      <c r="S9" t="s">
        <v>38</v>
      </c>
      <c r="T9" t="s">
        <v>31</v>
      </c>
      <c r="U9">
        <v>1420529</v>
      </c>
    </row>
    <row r="10" spans="1:21" ht="14.25" customHeight="1" x14ac:dyDescent="0.35">
      <c r="A10" t="s">
        <v>69</v>
      </c>
      <c r="B10" t="s">
        <v>70</v>
      </c>
      <c r="C10" t="s">
        <v>23</v>
      </c>
      <c r="D10" t="s">
        <v>65</v>
      </c>
      <c r="E10" t="s">
        <v>71</v>
      </c>
      <c r="F10" t="s">
        <v>72</v>
      </c>
      <c r="G10" t="s">
        <v>73</v>
      </c>
      <c r="H10" t="s">
        <v>38</v>
      </c>
      <c r="I10" t="s">
        <v>31</v>
      </c>
      <c r="J10" t="s">
        <v>38</v>
      </c>
      <c r="K10" t="s">
        <v>31</v>
      </c>
      <c r="L10" t="s">
        <v>38</v>
      </c>
      <c r="M10" t="s">
        <v>31</v>
      </c>
      <c r="N10">
        <v>270</v>
      </c>
      <c r="O10">
        <v>211</v>
      </c>
      <c r="P10">
        <v>265</v>
      </c>
      <c r="Q10">
        <v>746</v>
      </c>
      <c r="R10" s="15">
        <v>44667</v>
      </c>
      <c r="S10" t="s">
        <v>38</v>
      </c>
      <c r="T10" t="s">
        <v>31</v>
      </c>
      <c r="U10">
        <v>6201</v>
      </c>
    </row>
    <row r="11" spans="1:21" ht="14.25" customHeight="1" x14ac:dyDescent="0.35">
      <c r="A11" t="s">
        <v>74</v>
      </c>
      <c r="B11" t="s">
        <v>75</v>
      </c>
      <c r="C11" t="s">
        <v>23</v>
      </c>
      <c r="D11" t="s">
        <v>65</v>
      </c>
      <c r="E11" t="s">
        <v>76</v>
      </c>
      <c r="F11" t="s">
        <v>77</v>
      </c>
      <c r="G11" t="s">
        <v>78</v>
      </c>
      <c r="H11" t="s">
        <v>38</v>
      </c>
      <c r="I11" t="s">
        <v>31</v>
      </c>
      <c r="J11" t="s">
        <v>38</v>
      </c>
      <c r="K11" t="s">
        <v>31</v>
      </c>
      <c r="L11" t="s">
        <v>30</v>
      </c>
      <c r="M11" t="s">
        <v>31</v>
      </c>
      <c r="N11">
        <v>220</v>
      </c>
      <c r="O11">
        <v>221</v>
      </c>
      <c r="P11">
        <v>300</v>
      </c>
      <c r="Q11">
        <v>741</v>
      </c>
      <c r="R11" s="15">
        <v>44667</v>
      </c>
      <c r="S11" t="s">
        <v>38</v>
      </c>
      <c r="T11" t="s">
        <v>31</v>
      </c>
      <c r="U11">
        <v>8177</v>
      </c>
    </row>
    <row r="12" spans="1:21" ht="14.25" customHeight="1" x14ac:dyDescent="0.35">
      <c r="A12" t="s">
        <v>79</v>
      </c>
      <c r="B12" t="s">
        <v>80</v>
      </c>
      <c r="C12" t="s">
        <v>23</v>
      </c>
      <c r="D12" t="s">
        <v>65</v>
      </c>
      <c r="E12" t="s">
        <v>81</v>
      </c>
      <c r="F12" t="s">
        <v>82</v>
      </c>
      <c r="G12" t="s">
        <v>83</v>
      </c>
      <c r="H12" t="s">
        <v>30</v>
      </c>
      <c r="I12" t="s">
        <v>31</v>
      </c>
      <c r="J12" t="s">
        <v>38</v>
      </c>
      <c r="K12" t="s">
        <v>31</v>
      </c>
      <c r="L12" t="s">
        <v>38</v>
      </c>
      <c r="M12" t="s">
        <v>31</v>
      </c>
      <c r="N12">
        <v>311</v>
      </c>
      <c r="O12">
        <v>256</v>
      </c>
      <c r="P12">
        <v>218</v>
      </c>
      <c r="Q12">
        <v>785</v>
      </c>
      <c r="R12" s="15">
        <v>44667</v>
      </c>
      <c r="S12" t="s">
        <v>30</v>
      </c>
      <c r="T12" t="s">
        <v>31</v>
      </c>
      <c r="U12">
        <v>1158114</v>
      </c>
    </row>
    <row r="13" spans="1:21" ht="14.25" customHeight="1" x14ac:dyDescent="0.35">
      <c r="A13" t="s">
        <v>84</v>
      </c>
      <c r="B13" t="s">
        <v>85</v>
      </c>
      <c r="C13" t="s">
        <v>23</v>
      </c>
      <c r="D13" t="s">
        <v>65</v>
      </c>
      <c r="E13" t="s">
        <v>86</v>
      </c>
      <c r="F13" t="s">
        <v>87</v>
      </c>
      <c r="G13" t="s">
        <v>88</v>
      </c>
      <c r="H13" t="s">
        <v>28</v>
      </c>
      <c r="I13" t="s">
        <v>29</v>
      </c>
      <c r="J13" t="s">
        <v>30</v>
      </c>
      <c r="K13" t="s">
        <v>31</v>
      </c>
      <c r="L13" t="s">
        <v>38</v>
      </c>
      <c r="M13" t="s">
        <v>31</v>
      </c>
      <c r="N13">
        <v>500</v>
      </c>
      <c r="O13">
        <v>300</v>
      </c>
      <c r="P13">
        <v>223</v>
      </c>
      <c r="Q13">
        <v>1023</v>
      </c>
      <c r="R13" s="15">
        <v>44667</v>
      </c>
      <c r="S13" t="s">
        <v>32</v>
      </c>
      <c r="T13" t="s">
        <v>29</v>
      </c>
      <c r="U13">
        <v>824142</v>
      </c>
    </row>
    <row r="14" spans="1:21" ht="14.25" customHeight="1" x14ac:dyDescent="0.35">
      <c r="A14" t="s">
        <v>89</v>
      </c>
      <c r="B14" t="s">
        <v>90</v>
      </c>
      <c r="C14" t="s">
        <v>23</v>
      </c>
      <c r="D14" t="s">
        <v>65</v>
      </c>
      <c r="E14" t="s">
        <v>91</v>
      </c>
      <c r="F14" t="s">
        <v>92</v>
      </c>
      <c r="G14" t="s">
        <v>93</v>
      </c>
      <c r="H14" t="s">
        <v>30</v>
      </c>
      <c r="I14" t="s">
        <v>31</v>
      </c>
      <c r="J14" t="s">
        <v>38</v>
      </c>
      <c r="K14" t="s">
        <v>31</v>
      </c>
      <c r="L14" t="s">
        <v>38</v>
      </c>
      <c r="M14" t="s">
        <v>31</v>
      </c>
      <c r="N14">
        <v>355</v>
      </c>
      <c r="O14">
        <v>281</v>
      </c>
      <c r="P14">
        <v>255</v>
      </c>
      <c r="Q14">
        <v>891</v>
      </c>
      <c r="R14" s="15">
        <v>44667</v>
      </c>
      <c r="S14" t="s">
        <v>30</v>
      </c>
      <c r="T14" t="s">
        <v>31</v>
      </c>
      <c r="U14">
        <v>320193</v>
      </c>
    </row>
    <row r="15" spans="1:21" ht="14.25" customHeight="1" x14ac:dyDescent="0.35">
      <c r="A15" t="s">
        <v>94</v>
      </c>
      <c r="B15" t="s">
        <v>95</v>
      </c>
      <c r="C15" t="s">
        <v>23</v>
      </c>
      <c r="D15" t="s">
        <v>65</v>
      </c>
      <c r="E15" t="s">
        <v>96</v>
      </c>
      <c r="H15" t="s">
        <v>32</v>
      </c>
      <c r="I15" t="s">
        <v>29</v>
      </c>
      <c r="J15" t="s">
        <v>38</v>
      </c>
      <c r="K15" t="s">
        <v>31</v>
      </c>
      <c r="L15" t="s">
        <v>38</v>
      </c>
      <c r="M15" t="s">
        <v>31</v>
      </c>
      <c r="N15">
        <v>410</v>
      </c>
      <c r="O15">
        <v>286</v>
      </c>
      <c r="P15">
        <v>240</v>
      </c>
      <c r="Q15">
        <v>936</v>
      </c>
      <c r="R15" s="15">
        <v>44723</v>
      </c>
      <c r="S15" t="s">
        <v>32</v>
      </c>
      <c r="T15" t="s">
        <v>29</v>
      </c>
      <c r="U15">
        <v>943034</v>
      </c>
    </row>
    <row r="16" spans="1:21" ht="14.25" customHeight="1" x14ac:dyDescent="0.35">
      <c r="A16" t="s">
        <v>97</v>
      </c>
      <c r="B16" t="s">
        <v>98</v>
      </c>
      <c r="C16" t="s">
        <v>23</v>
      </c>
      <c r="D16" t="s">
        <v>65</v>
      </c>
      <c r="E16" t="s">
        <v>99</v>
      </c>
      <c r="F16" t="s">
        <v>100</v>
      </c>
      <c r="G16" t="s">
        <v>101</v>
      </c>
      <c r="H16" t="s">
        <v>28</v>
      </c>
      <c r="I16" t="s">
        <v>29</v>
      </c>
      <c r="J16" t="s">
        <v>38</v>
      </c>
      <c r="K16" t="s">
        <v>31</v>
      </c>
      <c r="L16" t="s">
        <v>38</v>
      </c>
      <c r="M16" t="s">
        <v>31</v>
      </c>
      <c r="N16">
        <v>520</v>
      </c>
      <c r="O16">
        <v>243</v>
      </c>
      <c r="P16">
        <v>237</v>
      </c>
      <c r="Q16">
        <v>1000</v>
      </c>
      <c r="R16" s="15">
        <v>44667</v>
      </c>
      <c r="S16" t="s">
        <v>32</v>
      </c>
      <c r="T16" t="s">
        <v>29</v>
      </c>
      <c r="U16">
        <v>1135185</v>
      </c>
    </row>
    <row r="17" spans="1:21" ht="14.25" customHeight="1" x14ac:dyDescent="0.35">
      <c r="A17" t="s">
        <v>102</v>
      </c>
      <c r="B17" t="s">
        <v>103</v>
      </c>
      <c r="C17" t="s">
        <v>23</v>
      </c>
      <c r="D17" t="s">
        <v>65</v>
      </c>
      <c r="E17" t="s">
        <v>104</v>
      </c>
      <c r="H17" t="s">
        <v>38</v>
      </c>
      <c r="I17" t="s">
        <v>31</v>
      </c>
      <c r="J17" t="s">
        <v>38</v>
      </c>
      <c r="K17" t="s">
        <v>31</v>
      </c>
      <c r="L17" t="s">
        <v>38</v>
      </c>
      <c r="M17" t="s">
        <v>31</v>
      </c>
      <c r="N17">
        <v>205</v>
      </c>
      <c r="O17">
        <v>200</v>
      </c>
      <c r="P17">
        <v>200</v>
      </c>
      <c r="Q17">
        <v>605</v>
      </c>
      <c r="R17" s="15">
        <v>44732</v>
      </c>
      <c r="S17" t="s">
        <v>38</v>
      </c>
      <c r="T17" t="s">
        <v>31</v>
      </c>
      <c r="U17">
        <v>1844817</v>
      </c>
    </row>
    <row r="18" spans="1:21" ht="14.25" customHeight="1" x14ac:dyDescent="0.35">
      <c r="A18" t="s">
        <v>105</v>
      </c>
      <c r="B18" t="s">
        <v>106</v>
      </c>
      <c r="C18" t="s">
        <v>23</v>
      </c>
      <c r="D18" t="s">
        <v>65</v>
      </c>
      <c r="E18" t="s">
        <v>107</v>
      </c>
      <c r="F18" t="s">
        <v>108</v>
      </c>
      <c r="G18" t="s">
        <v>109</v>
      </c>
      <c r="H18" t="s">
        <v>38</v>
      </c>
      <c r="I18" t="s">
        <v>31</v>
      </c>
      <c r="J18" t="s">
        <v>38</v>
      </c>
      <c r="K18" t="s">
        <v>31</v>
      </c>
      <c r="L18" t="s">
        <v>38</v>
      </c>
      <c r="M18" t="s">
        <v>31</v>
      </c>
      <c r="N18">
        <v>200</v>
      </c>
      <c r="O18">
        <v>201</v>
      </c>
      <c r="P18">
        <v>203</v>
      </c>
      <c r="Q18">
        <v>604</v>
      </c>
      <c r="R18" s="15">
        <v>44723</v>
      </c>
      <c r="S18" t="s">
        <v>38</v>
      </c>
      <c r="T18" t="s">
        <v>31</v>
      </c>
      <c r="U18">
        <v>1422142</v>
      </c>
    </row>
    <row r="19" spans="1:21" ht="14.25" customHeight="1" x14ac:dyDescent="0.35">
      <c r="A19" t="s">
        <v>110</v>
      </c>
      <c r="B19" t="s">
        <v>111</v>
      </c>
      <c r="C19" t="s">
        <v>23</v>
      </c>
      <c r="D19" t="s">
        <v>65</v>
      </c>
      <c r="E19" t="s">
        <v>107</v>
      </c>
      <c r="F19" t="s">
        <v>112</v>
      </c>
      <c r="G19" t="s">
        <v>113</v>
      </c>
      <c r="H19" t="s">
        <v>38</v>
      </c>
      <c r="I19" t="s">
        <v>31</v>
      </c>
      <c r="J19" t="s">
        <v>30</v>
      </c>
      <c r="K19" t="s">
        <v>31</v>
      </c>
      <c r="L19" t="s">
        <v>30</v>
      </c>
      <c r="M19" t="s">
        <v>31</v>
      </c>
      <c r="N19">
        <v>205</v>
      </c>
      <c r="O19">
        <v>306</v>
      </c>
      <c r="P19">
        <v>310</v>
      </c>
      <c r="Q19">
        <v>821</v>
      </c>
      <c r="R19" s="15">
        <v>44667</v>
      </c>
      <c r="S19" t="s">
        <v>30</v>
      </c>
      <c r="T19" t="s">
        <v>31</v>
      </c>
      <c r="U19">
        <v>318306</v>
      </c>
    </row>
    <row r="20" spans="1:21" ht="14.25" customHeight="1" x14ac:dyDescent="0.35">
      <c r="A20" t="s">
        <v>114</v>
      </c>
      <c r="B20" t="s">
        <v>115</v>
      </c>
      <c r="C20" t="s">
        <v>23</v>
      </c>
      <c r="D20" t="s">
        <v>65</v>
      </c>
      <c r="E20" t="s">
        <v>55</v>
      </c>
      <c r="F20" t="s">
        <v>116</v>
      </c>
      <c r="G20" t="s">
        <v>117</v>
      </c>
      <c r="H20" t="s">
        <v>28</v>
      </c>
      <c r="I20" t="s">
        <v>29</v>
      </c>
      <c r="J20" t="s">
        <v>28</v>
      </c>
      <c r="K20" t="s">
        <v>29</v>
      </c>
      <c r="L20" t="s">
        <v>32</v>
      </c>
      <c r="M20" t="s">
        <v>29</v>
      </c>
      <c r="N20">
        <v>505</v>
      </c>
      <c r="O20">
        <v>570</v>
      </c>
      <c r="P20">
        <v>400</v>
      </c>
      <c r="Q20">
        <v>1475</v>
      </c>
      <c r="R20" s="15">
        <v>44722</v>
      </c>
      <c r="S20" t="s">
        <v>28</v>
      </c>
      <c r="T20" t="s">
        <v>29</v>
      </c>
      <c r="U20">
        <v>1559720</v>
      </c>
    </row>
    <row r="21" spans="1:21" ht="14.25" customHeight="1" x14ac:dyDescent="0.35">
      <c r="A21" t="s">
        <v>118</v>
      </c>
      <c r="B21" t="s">
        <v>119</v>
      </c>
      <c r="C21" t="s">
        <v>23</v>
      </c>
      <c r="D21" t="s">
        <v>65</v>
      </c>
      <c r="E21" t="s">
        <v>107</v>
      </c>
      <c r="F21" t="s">
        <v>120</v>
      </c>
      <c r="G21" t="s">
        <v>121</v>
      </c>
      <c r="H21" t="s">
        <v>38</v>
      </c>
      <c r="I21" t="s">
        <v>31</v>
      </c>
      <c r="J21" t="s">
        <v>38</v>
      </c>
      <c r="K21" t="s">
        <v>31</v>
      </c>
      <c r="L21" t="s">
        <v>38</v>
      </c>
      <c r="M21" t="s">
        <v>31</v>
      </c>
      <c r="N21">
        <v>200</v>
      </c>
      <c r="O21">
        <v>222</v>
      </c>
      <c r="P21">
        <v>290</v>
      </c>
      <c r="Q21">
        <v>712</v>
      </c>
      <c r="R21" s="15">
        <v>44667</v>
      </c>
      <c r="S21" t="s">
        <v>38</v>
      </c>
      <c r="T21" t="s">
        <v>31</v>
      </c>
      <c r="U21">
        <v>907654</v>
      </c>
    </row>
    <row r="22" spans="1:21" ht="14.25" customHeight="1" x14ac:dyDescent="0.35">
      <c r="A22" t="s">
        <v>122</v>
      </c>
      <c r="B22" t="s">
        <v>123</v>
      </c>
      <c r="C22" t="s">
        <v>23</v>
      </c>
      <c r="D22" t="s">
        <v>65</v>
      </c>
      <c r="E22" t="s">
        <v>124</v>
      </c>
      <c r="F22" t="s">
        <v>125</v>
      </c>
      <c r="G22" t="s">
        <v>126</v>
      </c>
      <c r="H22" t="s">
        <v>28</v>
      </c>
      <c r="I22" t="s">
        <v>29</v>
      </c>
      <c r="J22" t="s">
        <v>30</v>
      </c>
      <c r="K22" t="s">
        <v>31</v>
      </c>
      <c r="L22" t="s">
        <v>30</v>
      </c>
      <c r="M22" t="s">
        <v>31</v>
      </c>
      <c r="N22">
        <v>500</v>
      </c>
      <c r="O22">
        <v>324</v>
      </c>
      <c r="P22">
        <v>305</v>
      </c>
      <c r="Q22">
        <v>1129</v>
      </c>
      <c r="R22" s="15">
        <v>44667</v>
      </c>
      <c r="S22" t="s">
        <v>32</v>
      </c>
      <c r="T22" t="s">
        <v>29</v>
      </c>
      <c r="U22">
        <v>815094</v>
      </c>
    </row>
    <row r="23" spans="1:21" ht="14.25" customHeight="1" x14ac:dyDescent="0.35">
      <c r="A23" t="s">
        <v>127</v>
      </c>
      <c r="B23" t="s">
        <v>128</v>
      </c>
      <c r="C23" t="s">
        <v>23</v>
      </c>
      <c r="D23" t="s">
        <v>65</v>
      </c>
      <c r="E23" t="s">
        <v>107</v>
      </c>
      <c r="F23" t="s">
        <v>129</v>
      </c>
      <c r="G23" t="s">
        <v>130</v>
      </c>
      <c r="H23" t="s">
        <v>38</v>
      </c>
      <c r="I23" t="s">
        <v>31</v>
      </c>
      <c r="J23" t="s">
        <v>38</v>
      </c>
      <c r="K23" t="s">
        <v>31</v>
      </c>
      <c r="L23" t="s">
        <v>38</v>
      </c>
      <c r="M23" t="s">
        <v>31</v>
      </c>
      <c r="N23">
        <v>205</v>
      </c>
      <c r="O23">
        <v>201</v>
      </c>
      <c r="P23">
        <v>200</v>
      </c>
      <c r="Q23">
        <v>606</v>
      </c>
      <c r="R23" s="15">
        <v>44723</v>
      </c>
      <c r="S23" t="s">
        <v>38</v>
      </c>
      <c r="T23" t="s">
        <v>31</v>
      </c>
      <c r="U23">
        <v>1576885</v>
      </c>
    </row>
    <row r="24" spans="1:21" ht="14.25" customHeight="1" x14ac:dyDescent="0.35">
      <c r="A24" t="s">
        <v>131</v>
      </c>
      <c r="B24" t="s">
        <v>132</v>
      </c>
      <c r="C24" t="s">
        <v>23</v>
      </c>
      <c r="D24" t="s">
        <v>65</v>
      </c>
      <c r="E24" t="s">
        <v>133</v>
      </c>
      <c r="F24" t="s">
        <v>134</v>
      </c>
      <c r="G24" t="s">
        <v>135</v>
      </c>
      <c r="H24" t="s">
        <v>38</v>
      </c>
      <c r="I24" t="s">
        <v>31</v>
      </c>
      <c r="J24" t="s">
        <v>38</v>
      </c>
      <c r="K24" t="s">
        <v>31</v>
      </c>
      <c r="L24" t="s">
        <v>38</v>
      </c>
      <c r="M24" t="s">
        <v>31</v>
      </c>
      <c r="N24">
        <v>205</v>
      </c>
      <c r="O24">
        <v>224</v>
      </c>
      <c r="P24">
        <v>230</v>
      </c>
      <c r="Q24">
        <v>659</v>
      </c>
      <c r="R24" s="15">
        <v>44723</v>
      </c>
      <c r="S24" t="s">
        <v>38</v>
      </c>
      <c r="T24" t="s">
        <v>31</v>
      </c>
      <c r="U24">
        <v>1672688</v>
      </c>
    </row>
    <row r="25" spans="1:21" ht="14.25" customHeight="1" x14ac:dyDescent="0.35">
      <c r="A25" t="s">
        <v>136</v>
      </c>
      <c r="B25" t="s">
        <v>137</v>
      </c>
      <c r="C25" t="s">
        <v>23</v>
      </c>
      <c r="D25" t="s">
        <v>65</v>
      </c>
      <c r="E25" t="s">
        <v>138</v>
      </c>
      <c r="F25" t="s">
        <v>139</v>
      </c>
      <c r="G25" t="s">
        <v>140</v>
      </c>
      <c r="H25" t="s">
        <v>38</v>
      </c>
      <c r="I25" t="s">
        <v>31</v>
      </c>
      <c r="J25" t="s">
        <v>30</v>
      </c>
      <c r="K25" t="s">
        <v>31</v>
      </c>
      <c r="L25" t="s">
        <v>30</v>
      </c>
      <c r="M25" t="s">
        <v>31</v>
      </c>
      <c r="N25">
        <v>298</v>
      </c>
      <c r="O25">
        <v>300</v>
      </c>
      <c r="P25">
        <v>300</v>
      </c>
      <c r="Q25">
        <v>898</v>
      </c>
      <c r="R25" s="15">
        <v>44667</v>
      </c>
      <c r="S25" t="s">
        <v>30</v>
      </c>
      <c r="T25" t="s">
        <v>31</v>
      </c>
      <c r="U25">
        <v>1642081</v>
      </c>
    </row>
    <row r="26" spans="1:21" ht="14.25" customHeight="1" x14ac:dyDescent="0.35">
      <c r="A26" t="s">
        <v>141</v>
      </c>
      <c r="B26" t="s">
        <v>142</v>
      </c>
      <c r="C26" t="s">
        <v>23</v>
      </c>
      <c r="D26" t="s">
        <v>65</v>
      </c>
      <c r="E26" t="s">
        <v>107</v>
      </c>
      <c r="F26" t="s">
        <v>143</v>
      </c>
      <c r="G26" t="s">
        <v>144</v>
      </c>
      <c r="H26" t="s">
        <v>38</v>
      </c>
      <c r="I26" t="s">
        <v>31</v>
      </c>
      <c r="J26" t="s">
        <v>38</v>
      </c>
      <c r="K26" t="s">
        <v>31</v>
      </c>
      <c r="L26" t="s">
        <v>30</v>
      </c>
      <c r="M26" t="s">
        <v>31</v>
      </c>
      <c r="N26">
        <v>203</v>
      </c>
      <c r="O26">
        <v>204</v>
      </c>
      <c r="P26">
        <v>338</v>
      </c>
      <c r="Q26">
        <v>745</v>
      </c>
      <c r="R26" s="15">
        <v>44667</v>
      </c>
      <c r="S26" t="s">
        <v>38</v>
      </c>
      <c r="T26" t="s">
        <v>31</v>
      </c>
      <c r="U26">
        <v>1447028</v>
      </c>
    </row>
    <row r="27" spans="1:21" ht="14.25" customHeight="1" x14ac:dyDescent="0.35">
      <c r="A27" t="s">
        <v>145</v>
      </c>
      <c r="B27" t="s">
        <v>146</v>
      </c>
      <c r="C27" t="s">
        <v>23</v>
      </c>
      <c r="D27" t="s">
        <v>65</v>
      </c>
      <c r="E27" t="s">
        <v>107</v>
      </c>
      <c r="F27" t="s">
        <v>147</v>
      </c>
      <c r="G27" t="s">
        <v>148</v>
      </c>
      <c r="H27" t="s">
        <v>38</v>
      </c>
      <c r="I27" t="s">
        <v>31</v>
      </c>
      <c r="J27" t="s">
        <v>38</v>
      </c>
      <c r="K27" t="s">
        <v>31</v>
      </c>
      <c r="L27" t="s">
        <v>38</v>
      </c>
      <c r="M27" t="s">
        <v>31</v>
      </c>
      <c r="N27">
        <v>220</v>
      </c>
      <c r="O27">
        <v>212</v>
      </c>
      <c r="P27">
        <v>205</v>
      </c>
      <c r="Q27">
        <v>637</v>
      </c>
      <c r="R27" s="15">
        <v>44723</v>
      </c>
      <c r="S27" t="s">
        <v>38</v>
      </c>
      <c r="T27" t="s">
        <v>31</v>
      </c>
      <c r="U27">
        <v>1173313</v>
      </c>
    </row>
    <row r="28" spans="1:21" ht="14.25" customHeight="1" x14ac:dyDescent="0.35">
      <c r="A28" t="s">
        <v>149</v>
      </c>
      <c r="B28" t="s">
        <v>150</v>
      </c>
      <c r="C28" t="s">
        <v>23</v>
      </c>
      <c r="D28" t="s">
        <v>65</v>
      </c>
      <c r="E28" t="s">
        <v>107</v>
      </c>
      <c r="F28" t="s">
        <v>151</v>
      </c>
      <c r="G28" t="s">
        <v>152</v>
      </c>
      <c r="H28" t="s">
        <v>38</v>
      </c>
      <c r="I28" t="s">
        <v>31</v>
      </c>
      <c r="J28" t="s">
        <v>38</v>
      </c>
      <c r="K28" t="s">
        <v>31</v>
      </c>
      <c r="L28" t="s">
        <v>30</v>
      </c>
      <c r="M28" t="s">
        <v>31</v>
      </c>
      <c r="N28">
        <v>230</v>
      </c>
      <c r="O28">
        <v>230</v>
      </c>
      <c r="P28">
        <v>305</v>
      </c>
      <c r="Q28">
        <v>765</v>
      </c>
      <c r="R28" s="15">
        <v>44667</v>
      </c>
      <c r="S28" t="s">
        <v>30</v>
      </c>
      <c r="T28" t="s">
        <v>31</v>
      </c>
      <c r="U28">
        <v>1070494</v>
      </c>
    </row>
    <row r="29" spans="1:21" ht="14.25" customHeight="1" x14ac:dyDescent="0.35">
      <c r="A29" t="s">
        <v>153</v>
      </c>
      <c r="B29" t="s">
        <v>154</v>
      </c>
      <c r="C29" t="s">
        <v>23</v>
      </c>
      <c r="D29" t="s">
        <v>65</v>
      </c>
      <c r="E29" t="s">
        <v>104</v>
      </c>
      <c r="H29" t="s">
        <v>38</v>
      </c>
      <c r="I29" t="s">
        <v>31</v>
      </c>
      <c r="J29" t="s">
        <v>38</v>
      </c>
      <c r="K29" t="s">
        <v>31</v>
      </c>
      <c r="L29" t="s">
        <v>30</v>
      </c>
      <c r="M29" t="s">
        <v>31</v>
      </c>
      <c r="N29">
        <v>200</v>
      </c>
      <c r="O29">
        <v>205</v>
      </c>
      <c r="P29">
        <v>300</v>
      </c>
      <c r="Q29">
        <v>705</v>
      </c>
      <c r="R29" s="15">
        <v>44722</v>
      </c>
      <c r="S29" t="s">
        <v>38</v>
      </c>
      <c r="T29" t="s">
        <v>31</v>
      </c>
      <c r="U29">
        <v>1914023</v>
      </c>
    </row>
    <row r="30" spans="1:21" ht="14.25" customHeight="1" x14ac:dyDescent="0.35">
      <c r="A30" t="s">
        <v>155</v>
      </c>
      <c r="B30" t="s">
        <v>156</v>
      </c>
      <c r="C30" t="s">
        <v>23</v>
      </c>
      <c r="D30" t="s">
        <v>65</v>
      </c>
      <c r="E30" t="s">
        <v>124</v>
      </c>
      <c r="F30" t="s">
        <v>157</v>
      </c>
      <c r="G30" t="s">
        <v>158</v>
      </c>
      <c r="H30" t="s">
        <v>38</v>
      </c>
      <c r="I30" t="s">
        <v>31</v>
      </c>
      <c r="J30" t="s">
        <v>38</v>
      </c>
      <c r="K30" t="s">
        <v>31</v>
      </c>
      <c r="L30" t="s">
        <v>38</v>
      </c>
      <c r="M30" t="s">
        <v>31</v>
      </c>
      <c r="N30">
        <v>255</v>
      </c>
      <c r="O30">
        <v>254</v>
      </c>
      <c r="P30">
        <v>235</v>
      </c>
      <c r="Q30">
        <v>744</v>
      </c>
      <c r="R30" s="15">
        <v>44722</v>
      </c>
      <c r="S30" t="s">
        <v>38</v>
      </c>
      <c r="T30" t="s">
        <v>31</v>
      </c>
      <c r="U30">
        <v>1481646</v>
      </c>
    </row>
    <row r="31" spans="1:21" ht="14.25" customHeight="1" x14ac:dyDescent="0.35">
      <c r="A31" t="s">
        <v>159</v>
      </c>
      <c r="B31" t="s">
        <v>160</v>
      </c>
      <c r="C31" t="s">
        <v>23</v>
      </c>
      <c r="D31" t="s">
        <v>65</v>
      </c>
      <c r="E31" t="s">
        <v>107</v>
      </c>
      <c r="F31" t="s">
        <v>161</v>
      </c>
      <c r="G31" t="s">
        <v>162</v>
      </c>
      <c r="H31" t="s">
        <v>38</v>
      </c>
      <c r="I31" t="s">
        <v>31</v>
      </c>
      <c r="J31" t="s">
        <v>38</v>
      </c>
      <c r="K31" t="s">
        <v>31</v>
      </c>
      <c r="L31" t="s">
        <v>30</v>
      </c>
      <c r="M31" t="s">
        <v>31</v>
      </c>
      <c r="N31">
        <v>215</v>
      </c>
      <c r="O31">
        <v>211</v>
      </c>
      <c r="P31">
        <v>305</v>
      </c>
      <c r="Q31">
        <v>731</v>
      </c>
      <c r="R31" s="15">
        <v>44667</v>
      </c>
      <c r="S31" t="s">
        <v>38</v>
      </c>
      <c r="T31" t="s">
        <v>31</v>
      </c>
      <c r="U31">
        <v>1720580</v>
      </c>
    </row>
    <row r="32" spans="1:21" ht="14.25" customHeight="1" x14ac:dyDescent="0.35">
      <c r="A32" t="s">
        <v>163</v>
      </c>
      <c r="B32" t="s">
        <v>164</v>
      </c>
      <c r="C32" t="s">
        <v>23</v>
      </c>
      <c r="D32" t="s">
        <v>65</v>
      </c>
      <c r="E32" t="s">
        <v>133</v>
      </c>
      <c r="F32" t="s">
        <v>165</v>
      </c>
      <c r="G32" t="s">
        <v>166</v>
      </c>
      <c r="H32" t="s">
        <v>28</v>
      </c>
      <c r="I32" t="s">
        <v>29</v>
      </c>
      <c r="J32" t="s">
        <v>30</v>
      </c>
      <c r="K32" t="s">
        <v>31</v>
      </c>
      <c r="L32" t="s">
        <v>30</v>
      </c>
      <c r="M32" t="s">
        <v>31</v>
      </c>
      <c r="N32">
        <v>540</v>
      </c>
      <c r="O32">
        <v>354</v>
      </c>
      <c r="P32">
        <v>345</v>
      </c>
      <c r="Q32">
        <v>1239</v>
      </c>
      <c r="R32" s="15">
        <v>44722</v>
      </c>
      <c r="S32" t="s">
        <v>28</v>
      </c>
      <c r="T32" t="s">
        <v>29</v>
      </c>
      <c r="U32">
        <v>1703057</v>
      </c>
    </row>
    <row r="33" spans="1:21" ht="14.25" customHeight="1" x14ac:dyDescent="0.35">
      <c r="A33" t="s">
        <v>167</v>
      </c>
      <c r="B33" t="s">
        <v>168</v>
      </c>
      <c r="C33" t="s">
        <v>23</v>
      </c>
      <c r="D33" t="s">
        <v>65</v>
      </c>
      <c r="E33" t="s">
        <v>138</v>
      </c>
      <c r="F33" t="s">
        <v>169</v>
      </c>
      <c r="G33" t="s">
        <v>170</v>
      </c>
      <c r="H33" t="s">
        <v>38</v>
      </c>
      <c r="I33" t="s">
        <v>31</v>
      </c>
      <c r="J33" t="s">
        <v>30</v>
      </c>
      <c r="K33" t="s">
        <v>31</v>
      </c>
      <c r="L33" t="s">
        <v>38</v>
      </c>
      <c r="M33" t="s">
        <v>31</v>
      </c>
      <c r="N33">
        <v>290</v>
      </c>
      <c r="O33">
        <v>300</v>
      </c>
      <c r="P33">
        <v>250</v>
      </c>
      <c r="Q33">
        <v>840</v>
      </c>
      <c r="R33" s="15">
        <v>44667</v>
      </c>
      <c r="S33" t="s">
        <v>30</v>
      </c>
      <c r="T33" t="s">
        <v>31</v>
      </c>
      <c r="U33">
        <v>351569</v>
      </c>
    </row>
    <row r="34" spans="1:21" ht="14.25" customHeight="1" x14ac:dyDescent="0.35">
      <c r="A34" t="s">
        <v>171</v>
      </c>
      <c r="B34" t="s">
        <v>172</v>
      </c>
      <c r="C34" t="s">
        <v>23</v>
      </c>
      <c r="D34" t="s">
        <v>65</v>
      </c>
      <c r="E34" t="s">
        <v>104</v>
      </c>
      <c r="F34" t="s">
        <v>173</v>
      </c>
      <c r="G34" t="s">
        <v>174</v>
      </c>
      <c r="H34" t="s">
        <v>38</v>
      </c>
      <c r="I34" t="s">
        <v>31</v>
      </c>
      <c r="J34" t="s">
        <v>38</v>
      </c>
      <c r="K34" t="s">
        <v>31</v>
      </c>
      <c r="L34" t="s">
        <v>38</v>
      </c>
      <c r="M34" t="s">
        <v>31</v>
      </c>
      <c r="N34">
        <v>225</v>
      </c>
      <c r="O34">
        <v>211</v>
      </c>
      <c r="P34">
        <v>215</v>
      </c>
      <c r="Q34">
        <v>651</v>
      </c>
      <c r="R34" s="15">
        <v>44722</v>
      </c>
      <c r="S34" t="s">
        <v>38</v>
      </c>
      <c r="T34" t="s">
        <v>31</v>
      </c>
      <c r="U34">
        <v>1813658</v>
      </c>
    </row>
    <row r="35" spans="1:21" ht="14.25" customHeight="1" x14ac:dyDescent="0.35">
      <c r="A35" t="s">
        <v>175</v>
      </c>
      <c r="B35" t="s">
        <v>176</v>
      </c>
      <c r="C35" t="s">
        <v>23</v>
      </c>
      <c r="D35" t="s">
        <v>65</v>
      </c>
      <c r="E35" t="s">
        <v>107</v>
      </c>
      <c r="F35" t="s">
        <v>177</v>
      </c>
      <c r="G35" t="s">
        <v>178</v>
      </c>
      <c r="H35" t="s">
        <v>38</v>
      </c>
      <c r="I35" t="s">
        <v>31</v>
      </c>
      <c r="J35" t="s">
        <v>38</v>
      </c>
      <c r="K35" t="s">
        <v>31</v>
      </c>
      <c r="L35" t="s">
        <v>38</v>
      </c>
      <c r="M35" t="s">
        <v>31</v>
      </c>
      <c r="N35">
        <v>230</v>
      </c>
      <c r="O35">
        <v>288</v>
      </c>
      <c r="P35">
        <v>285</v>
      </c>
      <c r="Q35">
        <v>803</v>
      </c>
      <c r="R35" s="15">
        <v>44722</v>
      </c>
      <c r="S35" t="s">
        <v>30</v>
      </c>
      <c r="T35" t="s">
        <v>31</v>
      </c>
      <c r="U35">
        <v>1830749</v>
      </c>
    </row>
    <row r="36" spans="1:21" ht="14.25" customHeight="1" x14ac:dyDescent="0.35">
      <c r="A36" t="s">
        <v>179</v>
      </c>
      <c r="B36" t="s">
        <v>180</v>
      </c>
      <c r="C36" t="s">
        <v>23</v>
      </c>
      <c r="D36" t="s">
        <v>65</v>
      </c>
      <c r="E36" t="s">
        <v>124</v>
      </c>
      <c r="F36" t="s">
        <v>181</v>
      </c>
      <c r="G36" t="s">
        <v>182</v>
      </c>
      <c r="H36" t="s">
        <v>30</v>
      </c>
      <c r="I36" t="s">
        <v>31</v>
      </c>
      <c r="J36" t="s">
        <v>38</v>
      </c>
      <c r="K36" t="s">
        <v>31</v>
      </c>
      <c r="L36" t="s">
        <v>38</v>
      </c>
      <c r="M36" t="s">
        <v>31</v>
      </c>
      <c r="N36">
        <v>330</v>
      </c>
      <c r="O36">
        <v>231</v>
      </c>
      <c r="P36">
        <v>220</v>
      </c>
      <c r="Q36">
        <v>781</v>
      </c>
      <c r="R36" s="15">
        <v>44667</v>
      </c>
      <c r="S36" t="s">
        <v>30</v>
      </c>
      <c r="T36" t="s">
        <v>31</v>
      </c>
      <c r="U36">
        <v>1520697</v>
      </c>
    </row>
    <row r="37" spans="1:21" ht="14.25" customHeight="1" x14ac:dyDescent="0.35">
      <c r="A37" t="s">
        <v>183</v>
      </c>
      <c r="B37" t="s">
        <v>184</v>
      </c>
      <c r="C37" t="s">
        <v>23</v>
      </c>
      <c r="D37" t="s">
        <v>65</v>
      </c>
      <c r="E37" t="s">
        <v>91</v>
      </c>
      <c r="F37" t="s">
        <v>185</v>
      </c>
      <c r="G37" t="s">
        <v>186</v>
      </c>
      <c r="H37" t="s">
        <v>28</v>
      </c>
      <c r="I37" t="s">
        <v>29</v>
      </c>
      <c r="J37" t="s">
        <v>30</v>
      </c>
      <c r="K37" t="s">
        <v>31</v>
      </c>
      <c r="L37" t="s">
        <v>30</v>
      </c>
      <c r="M37" t="s">
        <v>31</v>
      </c>
      <c r="N37">
        <v>500</v>
      </c>
      <c r="O37">
        <v>327</v>
      </c>
      <c r="P37">
        <v>300</v>
      </c>
      <c r="Q37">
        <v>1127</v>
      </c>
      <c r="R37" s="15">
        <v>44667</v>
      </c>
      <c r="S37" t="s">
        <v>32</v>
      </c>
      <c r="T37" t="s">
        <v>29</v>
      </c>
      <c r="U37">
        <v>935036</v>
      </c>
    </row>
    <row r="38" spans="1:21" ht="14.25" customHeight="1" x14ac:dyDescent="0.35">
      <c r="A38" t="s">
        <v>187</v>
      </c>
      <c r="B38" t="s">
        <v>188</v>
      </c>
      <c r="C38" t="s">
        <v>23</v>
      </c>
      <c r="D38" t="s">
        <v>65</v>
      </c>
      <c r="E38" t="s">
        <v>189</v>
      </c>
      <c r="F38" t="s">
        <v>190</v>
      </c>
      <c r="G38" t="s">
        <v>191</v>
      </c>
      <c r="H38" t="s">
        <v>28</v>
      </c>
      <c r="I38" t="s">
        <v>29</v>
      </c>
      <c r="J38" t="s">
        <v>30</v>
      </c>
      <c r="K38" t="s">
        <v>31</v>
      </c>
      <c r="L38" t="s">
        <v>38</v>
      </c>
      <c r="M38" t="s">
        <v>31</v>
      </c>
      <c r="N38">
        <v>515</v>
      </c>
      <c r="O38">
        <v>306</v>
      </c>
      <c r="P38">
        <v>260</v>
      </c>
      <c r="Q38">
        <v>1081</v>
      </c>
      <c r="R38" s="15">
        <v>44667</v>
      </c>
      <c r="S38" t="s">
        <v>32</v>
      </c>
      <c r="T38" t="s">
        <v>29</v>
      </c>
      <c r="U38">
        <v>1113232</v>
      </c>
    </row>
    <row r="39" spans="1:21" ht="14.25" customHeight="1" x14ac:dyDescent="0.35">
      <c r="A39" t="s">
        <v>192</v>
      </c>
      <c r="B39" t="s">
        <v>193</v>
      </c>
      <c r="C39" t="s">
        <v>194</v>
      </c>
      <c r="D39" t="s">
        <v>65</v>
      </c>
      <c r="E39" t="s">
        <v>107</v>
      </c>
      <c r="F39" t="s">
        <v>195</v>
      </c>
      <c r="G39" t="s">
        <v>196</v>
      </c>
      <c r="H39" t="s">
        <v>38</v>
      </c>
      <c r="I39" t="s">
        <v>31</v>
      </c>
      <c r="J39" t="s">
        <v>38</v>
      </c>
      <c r="K39" t="s">
        <v>31</v>
      </c>
      <c r="L39" t="s">
        <v>30</v>
      </c>
      <c r="M39" t="s">
        <v>31</v>
      </c>
      <c r="N39">
        <v>250</v>
      </c>
      <c r="O39">
        <v>296</v>
      </c>
      <c r="P39">
        <v>305</v>
      </c>
      <c r="Q39">
        <v>851</v>
      </c>
      <c r="R39" s="15">
        <v>44667</v>
      </c>
      <c r="S39" t="s">
        <v>30</v>
      </c>
      <c r="T39" t="s">
        <v>31</v>
      </c>
      <c r="U39">
        <v>1651625</v>
      </c>
    </row>
    <row r="40" spans="1:21" ht="14.25" customHeight="1" x14ac:dyDescent="0.35">
      <c r="A40" t="s">
        <v>197</v>
      </c>
      <c r="B40" t="s">
        <v>198</v>
      </c>
      <c r="C40" t="s">
        <v>23</v>
      </c>
      <c r="D40" t="s">
        <v>65</v>
      </c>
      <c r="E40" t="s">
        <v>107</v>
      </c>
      <c r="F40" t="s">
        <v>199</v>
      </c>
      <c r="G40" t="s">
        <v>200</v>
      </c>
      <c r="H40" t="s">
        <v>38</v>
      </c>
      <c r="I40" t="s">
        <v>31</v>
      </c>
      <c r="J40" t="s">
        <v>38</v>
      </c>
      <c r="K40" t="s">
        <v>31</v>
      </c>
      <c r="L40" t="s">
        <v>30</v>
      </c>
      <c r="M40" t="s">
        <v>31</v>
      </c>
      <c r="N40">
        <v>215</v>
      </c>
      <c r="O40">
        <v>222</v>
      </c>
      <c r="P40">
        <v>305</v>
      </c>
      <c r="Q40">
        <v>742</v>
      </c>
      <c r="R40" s="15">
        <v>44722</v>
      </c>
      <c r="S40" t="s">
        <v>38</v>
      </c>
      <c r="T40" t="s">
        <v>31</v>
      </c>
      <c r="U40">
        <v>949858</v>
      </c>
    </row>
    <row r="41" spans="1:21" ht="14.25" customHeight="1" x14ac:dyDescent="0.35">
      <c r="A41" t="s">
        <v>201</v>
      </c>
      <c r="B41" t="s">
        <v>202</v>
      </c>
      <c r="C41" t="s">
        <v>23</v>
      </c>
      <c r="D41" t="s">
        <v>65</v>
      </c>
      <c r="E41" t="s">
        <v>189</v>
      </c>
      <c r="F41" t="s">
        <v>203</v>
      </c>
      <c r="G41" t="s">
        <v>204</v>
      </c>
      <c r="H41" t="s">
        <v>32</v>
      </c>
      <c r="I41" t="s">
        <v>29</v>
      </c>
      <c r="J41" t="s">
        <v>38</v>
      </c>
      <c r="K41" t="s">
        <v>31</v>
      </c>
      <c r="L41" t="s">
        <v>30</v>
      </c>
      <c r="M41" t="s">
        <v>31</v>
      </c>
      <c r="N41">
        <v>410</v>
      </c>
      <c r="O41">
        <v>232</v>
      </c>
      <c r="P41">
        <v>325</v>
      </c>
      <c r="Q41">
        <v>967</v>
      </c>
      <c r="R41" s="15">
        <v>44722</v>
      </c>
      <c r="S41" t="s">
        <v>32</v>
      </c>
      <c r="T41" t="s">
        <v>29</v>
      </c>
      <c r="U41">
        <v>1680062</v>
      </c>
    </row>
    <row r="42" spans="1:21" ht="14.25" customHeight="1" x14ac:dyDescent="0.35">
      <c r="A42" t="s">
        <v>205</v>
      </c>
      <c r="B42" t="s">
        <v>206</v>
      </c>
      <c r="C42" t="s">
        <v>23</v>
      </c>
      <c r="D42" t="s">
        <v>65</v>
      </c>
      <c r="E42" t="s">
        <v>107</v>
      </c>
      <c r="F42" t="s">
        <v>207</v>
      </c>
      <c r="G42" t="s">
        <v>208</v>
      </c>
      <c r="H42" t="s">
        <v>38</v>
      </c>
      <c r="I42" t="s">
        <v>31</v>
      </c>
      <c r="J42" t="s">
        <v>30</v>
      </c>
      <c r="K42" t="s">
        <v>31</v>
      </c>
      <c r="L42" t="s">
        <v>30</v>
      </c>
      <c r="M42" t="s">
        <v>31</v>
      </c>
      <c r="N42">
        <v>230</v>
      </c>
      <c r="O42">
        <v>307</v>
      </c>
      <c r="P42">
        <v>310</v>
      </c>
      <c r="Q42">
        <v>847</v>
      </c>
      <c r="R42" s="15">
        <v>44667</v>
      </c>
      <c r="S42" t="s">
        <v>30</v>
      </c>
      <c r="T42" t="s">
        <v>31</v>
      </c>
      <c r="U42">
        <v>1008848</v>
      </c>
    </row>
    <row r="43" spans="1:21" ht="14.25" customHeight="1" x14ac:dyDescent="0.35">
      <c r="A43" t="s">
        <v>209</v>
      </c>
      <c r="B43" t="s">
        <v>210</v>
      </c>
      <c r="C43" t="s">
        <v>23</v>
      </c>
      <c r="D43" t="s">
        <v>65</v>
      </c>
      <c r="E43" t="s">
        <v>138</v>
      </c>
      <c r="F43" t="s">
        <v>211</v>
      </c>
      <c r="G43" t="s">
        <v>212</v>
      </c>
      <c r="H43" t="s">
        <v>38</v>
      </c>
      <c r="I43" t="s">
        <v>31</v>
      </c>
      <c r="J43" t="s">
        <v>38</v>
      </c>
      <c r="K43" t="s">
        <v>31</v>
      </c>
      <c r="L43" t="s">
        <v>38</v>
      </c>
      <c r="M43" t="s">
        <v>31</v>
      </c>
      <c r="N43">
        <v>220</v>
      </c>
      <c r="O43">
        <v>219</v>
      </c>
      <c r="P43">
        <v>215</v>
      </c>
      <c r="Q43">
        <v>654</v>
      </c>
      <c r="R43" s="15">
        <v>44667</v>
      </c>
      <c r="S43" t="s">
        <v>38</v>
      </c>
      <c r="T43" t="s">
        <v>31</v>
      </c>
      <c r="U43">
        <v>715579</v>
      </c>
    </row>
    <row r="44" spans="1:21" ht="14.25" customHeight="1" x14ac:dyDescent="0.35">
      <c r="A44" t="s">
        <v>213</v>
      </c>
      <c r="B44" t="s">
        <v>214</v>
      </c>
      <c r="C44" t="s">
        <v>23</v>
      </c>
      <c r="D44" t="s">
        <v>65</v>
      </c>
      <c r="E44" t="s">
        <v>215</v>
      </c>
      <c r="F44" t="s">
        <v>216</v>
      </c>
      <c r="G44" t="s">
        <v>217</v>
      </c>
      <c r="H44" t="s">
        <v>38</v>
      </c>
      <c r="I44" t="s">
        <v>31</v>
      </c>
      <c r="J44" t="s">
        <v>38</v>
      </c>
      <c r="K44" t="s">
        <v>31</v>
      </c>
      <c r="L44" t="s">
        <v>38</v>
      </c>
      <c r="M44" t="s">
        <v>31</v>
      </c>
      <c r="N44">
        <v>230</v>
      </c>
      <c r="O44">
        <v>207</v>
      </c>
      <c r="P44">
        <v>220</v>
      </c>
      <c r="Q44">
        <v>657</v>
      </c>
      <c r="R44" s="15">
        <v>44667</v>
      </c>
      <c r="S44" t="s">
        <v>38</v>
      </c>
      <c r="T44" t="s">
        <v>31</v>
      </c>
      <c r="U44">
        <v>1557746</v>
      </c>
    </row>
    <row r="45" spans="1:21" ht="14.25" customHeight="1" x14ac:dyDescent="0.35">
      <c r="A45" t="s">
        <v>218</v>
      </c>
      <c r="B45" t="s">
        <v>219</v>
      </c>
      <c r="C45" t="s">
        <v>23</v>
      </c>
      <c r="D45" t="s">
        <v>65</v>
      </c>
      <c r="E45" t="s">
        <v>215</v>
      </c>
      <c r="F45" t="s">
        <v>220</v>
      </c>
      <c r="G45" t="s">
        <v>221</v>
      </c>
      <c r="H45" t="s">
        <v>38</v>
      </c>
      <c r="I45" t="s">
        <v>31</v>
      </c>
      <c r="J45" t="s">
        <v>38</v>
      </c>
      <c r="K45" t="s">
        <v>31</v>
      </c>
      <c r="L45" t="s">
        <v>30</v>
      </c>
      <c r="M45" t="s">
        <v>31</v>
      </c>
      <c r="N45">
        <v>200</v>
      </c>
      <c r="O45">
        <v>237</v>
      </c>
      <c r="P45">
        <v>300</v>
      </c>
      <c r="Q45">
        <v>737</v>
      </c>
      <c r="R45" s="15">
        <v>44667</v>
      </c>
      <c r="S45" t="s">
        <v>38</v>
      </c>
      <c r="T45" t="s">
        <v>31</v>
      </c>
      <c r="U45">
        <v>1427925</v>
      </c>
    </row>
    <row r="46" spans="1:21" ht="14.25" customHeight="1" x14ac:dyDescent="0.35">
      <c r="A46" t="s">
        <v>222</v>
      </c>
      <c r="B46" t="s">
        <v>223</v>
      </c>
      <c r="C46" t="s">
        <v>23</v>
      </c>
      <c r="D46" t="s">
        <v>65</v>
      </c>
      <c r="E46" t="s">
        <v>224</v>
      </c>
      <c r="F46" t="s">
        <v>225</v>
      </c>
      <c r="G46" t="s">
        <v>226</v>
      </c>
      <c r="H46" t="s">
        <v>28</v>
      </c>
      <c r="I46" t="s">
        <v>29</v>
      </c>
      <c r="J46" t="s">
        <v>30</v>
      </c>
      <c r="K46" t="s">
        <v>31</v>
      </c>
      <c r="L46" t="s">
        <v>30</v>
      </c>
      <c r="M46" t="s">
        <v>31</v>
      </c>
      <c r="N46">
        <v>540</v>
      </c>
      <c r="O46">
        <v>328</v>
      </c>
      <c r="P46">
        <v>315</v>
      </c>
      <c r="Q46">
        <v>1183</v>
      </c>
      <c r="R46" s="15">
        <v>44671</v>
      </c>
      <c r="S46" t="s">
        <v>32</v>
      </c>
      <c r="T46" t="s">
        <v>29</v>
      </c>
      <c r="U46">
        <v>1823529</v>
      </c>
    </row>
    <row r="47" spans="1:21" ht="14.25" customHeight="1" x14ac:dyDescent="0.35">
      <c r="A47" t="s">
        <v>227</v>
      </c>
      <c r="B47" t="s">
        <v>228</v>
      </c>
      <c r="C47" t="s">
        <v>23</v>
      </c>
      <c r="D47" t="s">
        <v>65</v>
      </c>
      <c r="E47" t="s">
        <v>224</v>
      </c>
      <c r="F47" t="s">
        <v>229</v>
      </c>
      <c r="G47" t="s">
        <v>230</v>
      </c>
      <c r="H47" t="s">
        <v>38</v>
      </c>
      <c r="I47" t="s">
        <v>31</v>
      </c>
      <c r="J47" t="s">
        <v>38</v>
      </c>
      <c r="K47" t="s">
        <v>31</v>
      </c>
      <c r="L47" t="s">
        <v>38</v>
      </c>
      <c r="M47" t="s">
        <v>31</v>
      </c>
      <c r="N47">
        <v>200</v>
      </c>
      <c r="O47">
        <v>200</v>
      </c>
      <c r="P47">
        <v>275</v>
      </c>
      <c r="Q47">
        <v>675</v>
      </c>
      <c r="R47" s="15">
        <v>44667</v>
      </c>
      <c r="S47" t="s">
        <v>38</v>
      </c>
      <c r="T47" t="s">
        <v>31</v>
      </c>
      <c r="U47">
        <v>934549</v>
      </c>
    </row>
    <row r="48" spans="1:21" ht="14.25" customHeight="1" x14ac:dyDescent="0.35">
      <c r="A48" t="s">
        <v>231</v>
      </c>
      <c r="B48" t="s">
        <v>232</v>
      </c>
      <c r="C48" t="s">
        <v>23</v>
      </c>
      <c r="D48" t="s">
        <v>65</v>
      </c>
      <c r="E48" t="s">
        <v>233</v>
      </c>
      <c r="F48" t="s">
        <v>234</v>
      </c>
      <c r="G48" t="s">
        <v>235</v>
      </c>
      <c r="H48" t="s">
        <v>38</v>
      </c>
      <c r="I48" t="s">
        <v>31</v>
      </c>
      <c r="J48" t="s">
        <v>38</v>
      </c>
      <c r="K48" t="s">
        <v>31</v>
      </c>
      <c r="L48" t="s">
        <v>30</v>
      </c>
      <c r="M48" t="s">
        <v>31</v>
      </c>
      <c r="N48">
        <v>235</v>
      </c>
      <c r="O48">
        <v>262</v>
      </c>
      <c r="P48">
        <v>315</v>
      </c>
      <c r="Q48">
        <v>812</v>
      </c>
      <c r="R48" s="15">
        <v>44722</v>
      </c>
      <c r="S48" t="s">
        <v>30</v>
      </c>
      <c r="T48" t="s">
        <v>31</v>
      </c>
      <c r="U48">
        <v>1637873</v>
      </c>
    </row>
    <row r="49" spans="1:21" ht="14.25" customHeight="1" x14ac:dyDescent="0.35">
      <c r="A49" t="s">
        <v>236</v>
      </c>
      <c r="B49" t="s">
        <v>237</v>
      </c>
      <c r="C49" t="s">
        <v>23</v>
      </c>
      <c r="D49" t="s">
        <v>65</v>
      </c>
      <c r="E49" t="s">
        <v>107</v>
      </c>
      <c r="F49" t="s">
        <v>238</v>
      </c>
      <c r="G49" t="s">
        <v>239</v>
      </c>
      <c r="H49" t="s">
        <v>38</v>
      </c>
      <c r="I49" t="s">
        <v>31</v>
      </c>
      <c r="J49" t="s">
        <v>30</v>
      </c>
      <c r="K49" t="s">
        <v>31</v>
      </c>
      <c r="L49" t="s">
        <v>30</v>
      </c>
      <c r="M49" t="s">
        <v>31</v>
      </c>
      <c r="N49">
        <v>295</v>
      </c>
      <c r="O49">
        <v>301</v>
      </c>
      <c r="P49">
        <v>305</v>
      </c>
      <c r="Q49">
        <v>901</v>
      </c>
      <c r="R49" s="15">
        <v>44722</v>
      </c>
      <c r="S49" t="s">
        <v>32</v>
      </c>
      <c r="T49" t="s">
        <v>29</v>
      </c>
      <c r="U49">
        <v>1818838</v>
      </c>
    </row>
    <row r="50" spans="1:21" ht="14.25" customHeight="1" x14ac:dyDescent="0.35">
      <c r="A50" t="s">
        <v>240</v>
      </c>
      <c r="B50" t="s">
        <v>241</v>
      </c>
      <c r="C50" t="s">
        <v>23</v>
      </c>
      <c r="D50" t="s">
        <v>65</v>
      </c>
      <c r="E50" t="s">
        <v>107</v>
      </c>
      <c r="F50" t="s">
        <v>242</v>
      </c>
      <c r="G50" t="s">
        <v>243</v>
      </c>
      <c r="H50" t="s">
        <v>38</v>
      </c>
      <c r="I50" t="s">
        <v>31</v>
      </c>
      <c r="J50" t="s">
        <v>30</v>
      </c>
      <c r="K50" t="s">
        <v>31</v>
      </c>
      <c r="L50" t="s">
        <v>30</v>
      </c>
      <c r="M50" t="s">
        <v>31</v>
      </c>
      <c r="N50">
        <v>235</v>
      </c>
      <c r="O50">
        <v>301</v>
      </c>
      <c r="P50">
        <v>305</v>
      </c>
      <c r="Q50">
        <v>841</v>
      </c>
      <c r="R50" s="15">
        <v>44723</v>
      </c>
      <c r="S50" t="s">
        <v>30</v>
      </c>
      <c r="T50" t="s">
        <v>31</v>
      </c>
      <c r="U50">
        <v>1736243</v>
      </c>
    </row>
    <row r="51" spans="1:21" ht="14.25" customHeight="1" x14ac:dyDescent="0.35">
      <c r="A51" t="s">
        <v>244</v>
      </c>
      <c r="B51" t="s">
        <v>245</v>
      </c>
      <c r="C51" t="s">
        <v>23</v>
      </c>
      <c r="D51" t="s">
        <v>65</v>
      </c>
      <c r="E51" t="s">
        <v>91</v>
      </c>
      <c r="F51" t="s">
        <v>246</v>
      </c>
      <c r="G51" t="s">
        <v>247</v>
      </c>
      <c r="H51" t="s">
        <v>38</v>
      </c>
      <c r="I51" t="s">
        <v>31</v>
      </c>
      <c r="J51" t="s">
        <v>38</v>
      </c>
      <c r="K51" t="s">
        <v>31</v>
      </c>
      <c r="L51" t="s">
        <v>38</v>
      </c>
      <c r="M51" t="s">
        <v>31</v>
      </c>
      <c r="N51">
        <v>200</v>
      </c>
      <c r="O51">
        <v>221</v>
      </c>
      <c r="P51">
        <v>200</v>
      </c>
      <c r="Q51">
        <v>621</v>
      </c>
      <c r="R51" s="15">
        <v>44667</v>
      </c>
      <c r="S51" t="s">
        <v>38</v>
      </c>
      <c r="T51" t="s">
        <v>31</v>
      </c>
      <c r="U51">
        <v>796343</v>
      </c>
    </row>
    <row r="52" spans="1:21" ht="14.25" customHeight="1" x14ac:dyDescent="0.35">
      <c r="A52" t="s">
        <v>248</v>
      </c>
      <c r="B52" t="s">
        <v>249</v>
      </c>
      <c r="C52" t="s">
        <v>23</v>
      </c>
      <c r="D52" t="s">
        <v>65</v>
      </c>
      <c r="E52" t="s">
        <v>107</v>
      </c>
      <c r="F52" t="s">
        <v>250</v>
      </c>
      <c r="G52" t="s">
        <v>251</v>
      </c>
      <c r="H52" t="s">
        <v>30</v>
      </c>
      <c r="I52" t="s">
        <v>31</v>
      </c>
      <c r="J52" t="s">
        <v>38</v>
      </c>
      <c r="K52" t="s">
        <v>31</v>
      </c>
      <c r="L52" t="s">
        <v>30</v>
      </c>
      <c r="M52" t="s">
        <v>31</v>
      </c>
      <c r="N52">
        <v>365</v>
      </c>
      <c r="O52">
        <v>283</v>
      </c>
      <c r="P52">
        <v>305</v>
      </c>
      <c r="Q52">
        <v>953</v>
      </c>
      <c r="R52" s="15">
        <v>44667</v>
      </c>
      <c r="S52" t="s">
        <v>32</v>
      </c>
      <c r="T52" t="s">
        <v>29</v>
      </c>
      <c r="U52">
        <v>1621227</v>
      </c>
    </row>
    <row r="53" spans="1:21" ht="14.25" customHeight="1" x14ac:dyDescent="0.35">
      <c r="A53" t="s">
        <v>252</v>
      </c>
      <c r="B53" t="s">
        <v>253</v>
      </c>
      <c r="C53" t="s">
        <v>23</v>
      </c>
      <c r="D53" t="s">
        <v>65</v>
      </c>
      <c r="E53" t="s">
        <v>107</v>
      </c>
      <c r="F53" t="s">
        <v>254</v>
      </c>
      <c r="G53" t="s">
        <v>255</v>
      </c>
      <c r="H53" t="s">
        <v>38</v>
      </c>
      <c r="I53" t="s">
        <v>31</v>
      </c>
      <c r="J53" t="s">
        <v>38</v>
      </c>
      <c r="K53" t="s">
        <v>31</v>
      </c>
      <c r="L53" t="s">
        <v>30</v>
      </c>
      <c r="M53" t="s">
        <v>31</v>
      </c>
      <c r="N53">
        <v>240</v>
      </c>
      <c r="O53">
        <v>264</v>
      </c>
      <c r="P53">
        <v>320</v>
      </c>
      <c r="Q53">
        <v>824</v>
      </c>
      <c r="R53" s="15">
        <v>44667</v>
      </c>
      <c r="S53" t="s">
        <v>30</v>
      </c>
      <c r="T53" t="s">
        <v>31</v>
      </c>
      <c r="U53">
        <v>1368514</v>
      </c>
    </row>
    <row r="54" spans="1:21" ht="14.25" customHeight="1" x14ac:dyDescent="0.35">
      <c r="A54" t="s">
        <v>256</v>
      </c>
      <c r="B54" t="s">
        <v>257</v>
      </c>
      <c r="C54" t="s">
        <v>23</v>
      </c>
      <c r="D54" t="s">
        <v>65</v>
      </c>
      <c r="E54" t="s">
        <v>258</v>
      </c>
      <c r="F54" t="s">
        <v>259</v>
      </c>
      <c r="G54" t="s">
        <v>260</v>
      </c>
      <c r="H54" t="s">
        <v>38</v>
      </c>
      <c r="I54" t="s">
        <v>31</v>
      </c>
      <c r="J54" t="s">
        <v>38</v>
      </c>
      <c r="K54" t="s">
        <v>31</v>
      </c>
      <c r="L54" t="s">
        <v>30</v>
      </c>
      <c r="M54" t="s">
        <v>31</v>
      </c>
      <c r="N54">
        <v>205</v>
      </c>
      <c r="O54">
        <v>201</v>
      </c>
      <c r="P54">
        <v>300</v>
      </c>
      <c r="Q54">
        <v>706</v>
      </c>
      <c r="R54" s="15">
        <v>44667</v>
      </c>
      <c r="S54" t="s">
        <v>38</v>
      </c>
      <c r="T54" t="s">
        <v>31</v>
      </c>
      <c r="U54">
        <v>1515156</v>
      </c>
    </row>
    <row r="55" spans="1:21" ht="14.25" customHeight="1" x14ac:dyDescent="0.35">
      <c r="A55" t="s">
        <v>261</v>
      </c>
      <c r="B55" t="s">
        <v>262</v>
      </c>
      <c r="C55" t="s">
        <v>23</v>
      </c>
      <c r="D55" t="s">
        <v>65</v>
      </c>
      <c r="E55" t="s">
        <v>189</v>
      </c>
      <c r="F55" t="s">
        <v>263</v>
      </c>
      <c r="G55" t="s">
        <v>264</v>
      </c>
      <c r="H55" t="s">
        <v>30</v>
      </c>
      <c r="I55" t="s">
        <v>31</v>
      </c>
      <c r="J55" t="s">
        <v>30</v>
      </c>
      <c r="K55" t="s">
        <v>31</v>
      </c>
      <c r="L55" t="s">
        <v>30</v>
      </c>
      <c r="M55" t="s">
        <v>31</v>
      </c>
      <c r="N55">
        <v>350</v>
      </c>
      <c r="O55">
        <v>318</v>
      </c>
      <c r="P55">
        <v>300</v>
      </c>
      <c r="Q55">
        <v>968</v>
      </c>
      <c r="R55" s="15">
        <v>44667</v>
      </c>
      <c r="S55" t="s">
        <v>32</v>
      </c>
      <c r="T55" t="s">
        <v>29</v>
      </c>
      <c r="U55">
        <v>6281</v>
      </c>
    </row>
    <row r="56" spans="1:21" ht="14.25" customHeight="1" x14ac:dyDescent="0.35">
      <c r="A56" t="s">
        <v>265</v>
      </c>
      <c r="B56" t="s">
        <v>266</v>
      </c>
      <c r="C56" t="s">
        <v>23</v>
      </c>
      <c r="D56" t="s">
        <v>65</v>
      </c>
      <c r="E56" t="s">
        <v>215</v>
      </c>
      <c r="F56" t="s">
        <v>267</v>
      </c>
      <c r="G56" t="s">
        <v>268</v>
      </c>
      <c r="H56" t="s">
        <v>38</v>
      </c>
      <c r="I56" t="s">
        <v>31</v>
      </c>
      <c r="J56" t="s">
        <v>38</v>
      </c>
      <c r="K56" t="s">
        <v>31</v>
      </c>
      <c r="L56" t="s">
        <v>30</v>
      </c>
      <c r="M56" t="s">
        <v>31</v>
      </c>
      <c r="N56">
        <v>200</v>
      </c>
      <c r="O56">
        <v>203</v>
      </c>
      <c r="P56">
        <v>300</v>
      </c>
      <c r="Q56">
        <v>703</v>
      </c>
      <c r="R56" s="15">
        <v>44722</v>
      </c>
      <c r="S56" t="s">
        <v>38</v>
      </c>
      <c r="T56" t="s">
        <v>31</v>
      </c>
      <c r="U56">
        <v>1513525</v>
      </c>
    </row>
    <row r="57" spans="1:21" ht="14.25" customHeight="1" x14ac:dyDescent="0.35">
      <c r="A57" t="s">
        <v>269</v>
      </c>
      <c r="B57" t="s">
        <v>270</v>
      </c>
      <c r="C57" t="s">
        <v>23</v>
      </c>
      <c r="D57" t="s">
        <v>65</v>
      </c>
      <c r="E57" t="s">
        <v>215</v>
      </c>
      <c r="F57" t="s">
        <v>271</v>
      </c>
      <c r="G57" t="s">
        <v>272</v>
      </c>
      <c r="H57" t="s">
        <v>38</v>
      </c>
      <c r="I57" t="s">
        <v>31</v>
      </c>
      <c r="J57" t="s">
        <v>38</v>
      </c>
      <c r="K57" t="s">
        <v>31</v>
      </c>
      <c r="L57" t="s">
        <v>38</v>
      </c>
      <c r="M57" t="s">
        <v>31</v>
      </c>
      <c r="N57">
        <v>285</v>
      </c>
      <c r="O57">
        <v>204</v>
      </c>
      <c r="P57">
        <v>215</v>
      </c>
      <c r="Q57">
        <v>704</v>
      </c>
      <c r="R57" s="15">
        <v>44667</v>
      </c>
      <c r="S57" t="s">
        <v>38</v>
      </c>
      <c r="T57" t="s">
        <v>31</v>
      </c>
      <c r="U57">
        <v>887247</v>
      </c>
    </row>
    <row r="58" spans="1:21" ht="14.25" customHeight="1" x14ac:dyDescent="0.35">
      <c r="A58" t="s">
        <v>273</v>
      </c>
      <c r="B58" t="s">
        <v>274</v>
      </c>
      <c r="C58" t="s">
        <v>23</v>
      </c>
      <c r="D58" t="s">
        <v>65</v>
      </c>
      <c r="E58" t="s">
        <v>215</v>
      </c>
      <c r="F58" t="s">
        <v>275</v>
      </c>
      <c r="G58" t="s">
        <v>276</v>
      </c>
      <c r="H58" t="s">
        <v>38</v>
      </c>
      <c r="I58" t="s">
        <v>31</v>
      </c>
      <c r="J58" t="s">
        <v>38</v>
      </c>
      <c r="K58" t="s">
        <v>31</v>
      </c>
      <c r="L58" t="s">
        <v>30</v>
      </c>
      <c r="M58" t="s">
        <v>31</v>
      </c>
      <c r="N58">
        <v>223</v>
      </c>
      <c r="O58">
        <v>291</v>
      </c>
      <c r="P58">
        <v>310</v>
      </c>
      <c r="Q58">
        <v>824</v>
      </c>
      <c r="R58" s="15">
        <v>44722</v>
      </c>
      <c r="S58" t="s">
        <v>30</v>
      </c>
      <c r="T58" t="s">
        <v>31</v>
      </c>
      <c r="U58">
        <v>1069308</v>
      </c>
    </row>
    <row r="59" spans="1:21" ht="14.25" customHeight="1" x14ac:dyDescent="0.35">
      <c r="A59" t="s">
        <v>277</v>
      </c>
      <c r="B59" t="s">
        <v>278</v>
      </c>
      <c r="C59" t="s">
        <v>23</v>
      </c>
      <c r="D59" t="s">
        <v>65</v>
      </c>
      <c r="E59" t="s">
        <v>104</v>
      </c>
      <c r="H59" t="s">
        <v>38</v>
      </c>
      <c r="I59" t="s">
        <v>31</v>
      </c>
      <c r="J59" t="s">
        <v>30</v>
      </c>
      <c r="K59" t="s">
        <v>31</v>
      </c>
      <c r="L59" t="s">
        <v>30</v>
      </c>
      <c r="M59" t="s">
        <v>31</v>
      </c>
      <c r="N59">
        <v>215</v>
      </c>
      <c r="O59">
        <v>301</v>
      </c>
      <c r="P59">
        <v>300</v>
      </c>
      <c r="Q59">
        <v>816</v>
      </c>
      <c r="R59" s="15">
        <v>44667</v>
      </c>
      <c r="S59" t="s">
        <v>30</v>
      </c>
      <c r="T59" t="s">
        <v>31</v>
      </c>
      <c r="U59">
        <v>1824884</v>
      </c>
    </row>
    <row r="60" spans="1:21" ht="14.25" customHeight="1" x14ac:dyDescent="0.35">
      <c r="A60" t="s">
        <v>279</v>
      </c>
      <c r="B60" t="s">
        <v>280</v>
      </c>
      <c r="C60" t="s">
        <v>23</v>
      </c>
      <c r="D60" t="s">
        <v>65</v>
      </c>
      <c r="E60" t="s">
        <v>124</v>
      </c>
      <c r="F60" t="s">
        <v>281</v>
      </c>
      <c r="G60" t="s">
        <v>282</v>
      </c>
      <c r="H60" t="s">
        <v>38</v>
      </c>
      <c r="I60" t="s">
        <v>31</v>
      </c>
      <c r="J60" t="s">
        <v>38</v>
      </c>
      <c r="K60" t="s">
        <v>31</v>
      </c>
      <c r="L60" t="s">
        <v>38</v>
      </c>
      <c r="M60" t="s">
        <v>31</v>
      </c>
      <c r="N60">
        <v>210</v>
      </c>
      <c r="O60">
        <v>215</v>
      </c>
      <c r="P60">
        <v>218</v>
      </c>
      <c r="Q60">
        <v>643</v>
      </c>
      <c r="R60" s="15">
        <v>44667</v>
      </c>
      <c r="S60" t="s">
        <v>38</v>
      </c>
      <c r="T60" t="s">
        <v>31</v>
      </c>
      <c r="U60">
        <v>1468328</v>
      </c>
    </row>
    <row r="61" spans="1:21" ht="14.25" customHeight="1" x14ac:dyDescent="0.35">
      <c r="A61" t="s">
        <v>283</v>
      </c>
      <c r="B61" t="s">
        <v>284</v>
      </c>
      <c r="C61" t="s">
        <v>23</v>
      </c>
      <c r="D61" t="s">
        <v>65</v>
      </c>
      <c r="E61" t="s">
        <v>76</v>
      </c>
      <c r="F61" t="s">
        <v>285</v>
      </c>
      <c r="G61" t="s">
        <v>286</v>
      </c>
      <c r="H61" t="s">
        <v>28</v>
      </c>
      <c r="I61" t="s">
        <v>29</v>
      </c>
      <c r="J61" t="s">
        <v>30</v>
      </c>
      <c r="K61" t="s">
        <v>31</v>
      </c>
      <c r="L61" t="s">
        <v>30</v>
      </c>
      <c r="M61" t="s">
        <v>31</v>
      </c>
      <c r="N61">
        <v>500</v>
      </c>
      <c r="O61">
        <v>300</v>
      </c>
      <c r="P61">
        <v>300</v>
      </c>
      <c r="Q61">
        <v>1100</v>
      </c>
      <c r="R61" s="15">
        <v>44667</v>
      </c>
      <c r="S61" t="s">
        <v>32</v>
      </c>
      <c r="T61" t="s">
        <v>29</v>
      </c>
      <c r="U61">
        <v>947484</v>
      </c>
    </row>
    <row r="62" spans="1:21" ht="14.25" customHeight="1" x14ac:dyDescent="0.35">
      <c r="A62" t="s">
        <v>287</v>
      </c>
      <c r="B62" t="s">
        <v>288</v>
      </c>
      <c r="C62" t="s">
        <v>23</v>
      </c>
      <c r="D62" t="s">
        <v>65</v>
      </c>
      <c r="E62" t="s">
        <v>133</v>
      </c>
      <c r="F62" t="s">
        <v>289</v>
      </c>
      <c r="G62" t="s">
        <v>290</v>
      </c>
      <c r="H62" t="s">
        <v>38</v>
      </c>
      <c r="I62" t="s">
        <v>31</v>
      </c>
      <c r="J62" t="s">
        <v>30</v>
      </c>
      <c r="K62" t="s">
        <v>31</v>
      </c>
      <c r="L62" t="s">
        <v>38</v>
      </c>
      <c r="M62" t="s">
        <v>31</v>
      </c>
      <c r="N62">
        <v>260</v>
      </c>
      <c r="O62">
        <v>348</v>
      </c>
      <c r="P62">
        <v>260</v>
      </c>
      <c r="Q62">
        <v>868</v>
      </c>
      <c r="R62" s="15">
        <v>44667</v>
      </c>
      <c r="S62" t="s">
        <v>30</v>
      </c>
      <c r="T62" t="s">
        <v>31</v>
      </c>
      <c r="U62">
        <v>1478320</v>
      </c>
    </row>
    <row r="63" spans="1:21" ht="14.25" customHeight="1" x14ac:dyDescent="0.35">
      <c r="A63" t="s">
        <v>291</v>
      </c>
      <c r="B63" t="s">
        <v>292</v>
      </c>
      <c r="C63" t="s">
        <v>23</v>
      </c>
      <c r="D63" t="s">
        <v>65</v>
      </c>
      <c r="E63" t="s">
        <v>91</v>
      </c>
      <c r="F63" t="s">
        <v>293</v>
      </c>
      <c r="G63" t="s">
        <v>294</v>
      </c>
      <c r="H63" t="s">
        <v>28</v>
      </c>
      <c r="I63" t="s">
        <v>29</v>
      </c>
      <c r="J63" t="s">
        <v>30</v>
      </c>
      <c r="K63" t="s">
        <v>31</v>
      </c>
      <c r="L63" t="s">
        <v>30</v>
      </c>
      <c r="M63" t="s">
        <v>31</v>
      </c>
      <c r="N63">
        <v>555</v>
      </c>
      <c r="O63">
        <v>304</v>
      </c>
      <c r="P63">
        <v>310</v>
      </c>
      <c r="Q63">
        <v>1169</v>
      </c>
      <c r="R63" s="15">
        <v>44667</v>
      </c>
      <c r="S63" t="s">
        <v>32</v>
      </c>
      <c r="T63" t="s">
        <v>29</v>
      </c>
      <c r="U63">
        <v>769397</v>
      </c>
    </row>
    <row r="64" spans="1:21" ht="14.25" customHeight="1" x14ac:dyDescent="0.35">
      <c r="A64" t="s">
        <v>295</v>
      </c>
      <c r="B64" t="s">
        <v>296</v>
      </c>
      <c r="C64" t="s">
        <v>23</v>
      </c>
      <c r="D64" t="s">
        <v>65</v>
      </c>
      <c r="E64" t="s">
        <v>91</v>
      </c>
      <c r="F64" t="s">
        <v>297</v>
      </c>
      <c r="G64" t="s">
        <v>298</v>
      </c>
      <c r="H64" t="s">
        <v>28</v>
      </c>
      <c r="I64" t="s">
        <v>29</v>
      </c>
      <c r="J64" t="s">
        <v>30</v>
      </c>
      <c r="K64" t="s">
        <v>31</v>
      </c>
      <c r="L64" t="s">
        <v>38</v>
      </c>
      <c r="M64" t="s">
        <v>31</v>
      </c>
      <c r="N64">
        <v>500</v>
      </c>
      <c r="O64">
        <v>300</v>
      </c>
      <c r="P64">
        <v>200</v>
      </c>
      <c r="Q64">
        <v>1000</v>
      </c>
      <c r="R64" s="15">
        <v>44767</v>
      </c>
      <c r="S64" t="s">
        <v>32</v>
      </c>
      <c r="T64" t="s">
        <v>29</v>
      </c>
      <c r="U64">
        <v>8670</v>
      </c>
    </row>
    <row r="65" spans="1:21" ht="14.25" customHeight="1" x14ac:dyDescent="0.35">
      <c r="A65" t="s">
        <v>299</v>
      </c>
      <c r="B65" t="s">
        <v>300</v>
      </c>
      <c r="C65" t="s">
        <v>23</v>
      </c>
      <c r="D65" t="s">
        <v>65</v>
      </c>
      <c r="E65" t="s">
        <v>107</v>
      </c>
      <c r="F65" t="s">
        <v>301</v>
      </c>
      <c r="G65" t="s">
        <v>302</v>
      </c>
      <c r="H65" t="s">
        <v>38</v>
      </c>
      <c r="I65" t="s">
        <v>31</v>
      </c>
      <c r="J65" t="s">
        <v>38</v>
      </c>
      <c r="K65" t="s">
        <v>31</v>
      </c>
      <c r="L65" t="s">
        <v>30</v>
      </c>
      <c r="M65" t="s">
        <v>31</v>
      </c>
      <c r="N65">
        <v>210</v>
      </c>
      <c r="O65">
        <v>224</v>
      </c>
      <c r="P65">
        <v>305</v>
      </c>
      <c r="Q65">
        <v>739</v>
      </c>
      <c r="R65" s="15">
        <v>44722</v>
      </c>
      <c r="S65" t="s">
        <v>38</v>
      </c>
      <c r="T65" t="s">
        <v>31</v>
      </c>
      <c r="U65">
        <v>1726711</v>
      </c>
    </row>
    <row r="66" spans="1:21" ht="14.25" customHeight="1" x14ac:dyDescent="0.35">
      <c r="A66" t="s">
        <v>303</v>
      </c>
      <c r="B66" t="s">
        <v>304</v>
      </c>
      <c r="C66" t="s">
        <v>23</v>
      </c>
      <c r="D66" t="s">
        <v>65</v>
      </c>
      <c r="E66" t="s">
        <v>25</v>
      </c>
      <c r="F66" t="s">
        <v>305</v>
      </c>
      <c r="G66" t="s">
        <v>306</v>
      </c>
      <c r="H66" t="s">
        <v>28</v>
      </c>
      <c r="I66" t="s">
        <v>29</v>
      </c>
      <c r="J66" t="s">
        <v>38</v>
      </c>
      <c r="K66" t="s">
        <v>31</v>
      </c>
      <c r="L66" t="s">
        <v>30</v>
      </c>
      <c r="M66" t="s">
        <v>31</v>
      </c>
      <c r="N66">
        <v>515</v>
      </c>
      <c r="O66">
        <v>269</v>
      </c>
      <c r="P66">
        <v>328</v>
      </c>
      <c r="Q66">
        <v>1112</v>
      </c>
      <c r="R66" s="15">
        <v>44671</v>
      </c>
      <c r="S66" t="s">
        <v>32</v>
      </c>
      <c r="T66" t="s">
        <v>29</v>
      </c>
      <c r="U66">
        <v>1776661</v>
      </c>
    </row>
    <row r="67" spans="1:21" ht="14.25" customHeight="1" x14ac:dyDescent="0.35">
      <c r="A67" t="s">
        <v>307</v>
      </c>
      <c r="B67" t="s">
        <v>308</v>
      </c>
      <c r="C67" t="s">
        <v>23</v>
      </c>
      <c r="D67" t="s">
        <v>65</v>
      </c>
      <c r="E67" t="s">
        <v>107</v>
      </c>
      <c r="F67" t="s">
        <v>309</v>
      </c>
      <c r="G67" t="s">
        <v>310</v>
      </c>
      <c r="H67" t="s">
        <v>38</v>
      </c>
      <c r="I67" t="s">
        <v>31</v>
      </c>
      <c r="J67" t="s">
        <v>30</v>
      </c>
      <c r="K67" t="s">
        <v>31</v>
      </c>
      <c r="L67" t="s">
        <v>38</v>
      </c>
      <c r="M67" t="s">
        <v>31</v>
      </c>
      <c r="N67">
        <v>262</v>
      </c>
      <c r="O67">
        <v>321</v>
      </c>
      <c r="P67">
        <v>235</v>
      </c>
      <c r="Q67">
        <v>818</v>
      </c>
      <c r="R67" s="15">
        <v>44667</v>
      </c>
      <c r="S67" t="s">
        <v>30</v>
      </c>
      <c r="T67" t="s">
        <v>31</v>
      </c>
      <c r="U67">
        <v>1501756</v>
      </c>
    </row>
    <row r="68" spans="1:21" ht="14.25" customHeight="1" x14ac:dyDescent="0.35">
      <c r="A68" t="s">
        <v>311</v>
      </c>
      <c r="B68" t="s">
        <v>312</v>
      </c>
      <c r="C68" t="s">
        <v>23</v>
      </c>
      <c r="D68" t="s">
        <v>65</v>
      </c>
      <c r="E68" t="s">
        <v>189</v>
      </c>
      <c r="F68" t="s">
        <v>313</v>
      </c>
      <c r="G68" t="s">
        <v>314</v>
      </c>
      <c r="H68" t="s">
        <v>38</v>
      </c>
      <c r="I68" t="s">
        <v>31</v>
      </c>
      <c r="J68" t="s">
        <v>38</v>
      </c>
      <c r="K68" t="s">
        <v>31</v>
      </c>
      <c r="L68" t="s">
        <v>30</v>
      </c>
      <c r="M68" t="s">
        <v>31</v>
      </c>
      <c r="N68">
        <v>290</v>
      </c>
      <c r="O68">
        <v>262</v>
      </c>
      <c r="P68">
        <v>300</v>
      </c>
      <c r="Q68">
        <v>852</v>
      </c>
      <c r="R68" s="15">
        <v>44667</v>
      </c>
      <c r="S68" t="s">
        <v>30</v>
      </c>
      <c r="T68" t="s">
        <v>31</v>
      </c>
      <c r="U68">
        <v>1040470</v>
      </c>
    </row>
    <row r="69" spans="1:21" ht="14.25" customHeight="1" x14ac:dyDescent="0.35">
      <c r="A69" t="s">
        <v>315</v>
      </c>
      <c r="B69" t="s">
        <v>316</v>
      </c>
      <c r="C69" t="s">
        <v>64</v>
      </c>
      <c r="D69" t="s">
        <v>65</v>
      </c>
      <c r="E69" t="s">
        <v>86</v>
      </c>
      <c r="F69" t="s">
        <v>317</v>
      </c>
      <c r="G69" t="s">
        <v>318</v>
      </c>
      <c r="H69" t="s">
        <v>38</v>
      </c>
      <c r="I69" t="s">
        <v>31</v>
      </c>
      <c r="J69" t="s">
        <v>38</v>
      </c>
      <c r="K69" t="s">
        <v>31</v>
      </c>
      <c r="L69" t="s">
        <v>30</v>
      </c>
      <c r="M69" t="s">
        <v>31</v>
      </c>
      <c r="N69">
        <v>238</v>
      </c>
      <c r="O69">
        <v>237</v>
      </c>
      <c r="P69">
        <v>325</v>
      </c>
      <c r="Q69">
        <v>800</v>
      </c>
      <c r="R69" s="15">
        <v>44722</v>
      </c>
      <c r="S69" t="s">
        <v>30</v>
      </c>
      <c r="T69" t="s">
        <v>31</v>
      </c>
      <c r="U69">
        <v>1470683</v>
      </c>
    </row>
    <row r="70" spans="1:21" ht="14.25" customHeight="1" x14ac:dyDescent="0.35">
      <c r="A70" t="s">
        <v>319</v>
      </c>
      <c r="B70" t="s">
        <v>320</v>
      </c>
      <c r="C70" t="s">
        <v>23</v>
      </c>
      <c r="D70" t="s">
        <v>65</v>
      </c>
      <c r="E70" t="s">
        <v>321</v>
      </c>
      <c r="F70" t="s">
        <v>322</v>
      </c>
      <c r="G70" t="s">
        <v>323</v>
      </c>
      <c r="H70" t="s">
        <v>28</v>
      </c>
      <c r="I70" t="s">
        <v>29</v>
      </c>
      <c r="J70" t="s">
        <v>38</v>
      </c>
      <c r="K70" t="s">
        <v>31</v>
      </c>
      <c r="L70" t="s">
        <v>38</v>
      </c>
      <c r="M70" t="s">
        <v>31</v>
      </c>
      <c r="N70">
        <v>520</v>
      </c>
      <c r="O70">
        <v>207</v>
      </c>
      <c r="P70">
        <v>210</v>
      </c>
      <c r="Q70">
        <v>937</v>
      </c>
      <c r="R70" s="15">
        <v>44671</v>
      </c>
      <c r="S70" t="s">
        <v>32</v>
      </c>
      <c r="T70" t="s">
        <v>29</v>
      </c>
      <c r="U70">
        <v>1750106</v>
      </c>
    </row>
    <row r="71" spans="1:21" ht="14.25" customHeight="1" x14ac:dyDescent="0.35">
      <c r="A71" t="s">
        <v>324</v>
      </c>
      <c r="B71" t="s">
        <v>325</v>
      </c>
      <c r="C71" t="s">
        <v>23</v>
      </c>
      <c r="D71" t="s">
        <v>65</v>
      </c>
      <c r="E71" t="s">
        <v>96</v>
      </c>
      <c r="F71" t="s">
        <v>326</v>
      </c>
      <c r="G71" t="s">
        <v>327</v>
      </c>
      <c r="H71" t="s">
        <v>28</v>
      </c>
      <c r="I71" t="s">
        <v>29</v>
      </c>
      <c r="J71" t="s">
        <v>30</v>
      </c>
      <c r="K71" t="s">
        <v>31</v>
      </c>
      <c r="L71" t="s">
        <v>30</v>
      </c>
      <c r="M71" t="s">
        <v>31</v>
      </c>
      <c r="N71">
        <v>500</v>
      </c>
      <c r="O71">
        <v>300</v>
      </c>
      <c r="P71">
        <v>300</v>
      </c>
      <c r="Q71">
        <v>1100</v>
      </c>
      <c r="R71" s="15">
        <v>44667</v>
      </c>
      <c r="S71" t="s">
        <v>32</v>
      </c>
      <c r="T71" t="s">
        <v>29</v>
      </c>
      <c r="U71">
        <v>927003</v>
      </c>
    </row>
    <row r="72" spans="1:21" ht="14.25" customHeight="1" x14ac:dyDescent="0.35">
      <c r="A72" t="s">
        <v>328</v>
      </c>
      <c r="B72" t="s">
        <v>329</v>
      </c>
      <c r="C72" t="s">
        <v>23</v>
      </c>
      <c r="D72" t="s">
        <v>65</v>
      </c>
      <c r="E72" t="s">
        <v>330</v>
      </c>
      <c r="F72" t="s">
        <v>331</v>
      </c>
      <c r="G72" t="s">
        <v>332</v>
      </c>
      <c r="H72" t="s">
        <v>28</v>
      </c>
      <c r="I72" t="s">
        <v>29</v>
      </c>
      <c r="J72" t="s">
        <v>30</v>
      </c>
      <c r="K72" t="s">
        <v>31</v>
      </c>
      <c r="L72" t="s">
        <v>30</v>
      </c>
      <c r="M72" t="s">
        <v>31</v>
      </c>
      <c r="N72">
        <v>500</v>
      </c>
      <c r="O72">
        <v>300</v>
      </c>
      <c r="P72">
        <v>300</v>
      </c>
      <c r="Q72">
        <v>1100</v>
      </c>
      <c r="R72" s="15">
        <v>44671</v>
      </c>
      <c r="S72" t="s">
        <v>32</v>
      </c>
      <c r="T72" t="s">
        <v>29</v>
      </c>
      <c r="U72">
        <v>4904</v>
      </c>
    </row>
    <row r="73" spans="1:21" ht="14.25" customHeight="1" x14ac:dyDescent="0.35">
      <c r="A73" t="s">
        <v>333</v>
      </c>
      <c r="B73" t="s">
        <v>334</v>
      </c>
      <c r="C73" t="s">
        <v>23</v>
      </c>
      <c r="D73" t="s">
        <v>65</v>
      </c>
      <c r="E73" t="s">
        <v>124</v>
      </c>
      <c r="F73" t="s">
        <v>335</v>
      </c>
      <c r="G73" t="s">
        <v>336</v>
      </c>
      <c r="H73" t="s">
        <v>38</v>
      </c>
      <c r="I73" t="s">
        <v>31</v>
      </c>
      <c r="J73" t="s">
        <v>38</v>
      </c>
      <c r="K73" t="s">
        <v>31</v>
      </c>
      <c r="L73" t="s">
        <v>30</v>
      </c>
      <c r="M73" t="s">
        <v>31</v>
      </c>
      <c r="N73">
        <v>200</v>
      </c>
      <c r="O73">
        <v>262</v>
      </c>
      <c r="P73">
        <v>315</v>
      </c>
      <c r="Q73">
        <v>777</v>
      </c>
      <c r="R73" s="15">
        <v>44667</v>
      </c>
      <c r="S73" t="s">
        <v>30</v>
      </c>
      <c r="T73" t="s">
        <v>31</v>
      </c>
      <c r="U73">
        <v>882291</v>
      </c>
    </row>
    <row r="74" spans="1:21" ht="14.25" customHeight="1" x14ac:dyDescent="0.35">
      <c r="A74" t="s">
        <v>337</v>
      </c>
      <c r="B74" t="s">
        <v>338</v>
      </c>
      <c r="C74" t="s">
        <v>23</v>
      </c>
      <c r="D74" t="s">
        <v>65</v>
      </c>
      <c r="E74" t="s">
        <v>55</v>
      </c>
      <c r="F74" t="s">
        <v>339</v>
      </c>
      <c r="G74" t="s">
        <v>340</v>
      </c>
      <c r="H74" t="s">
        <v>38</v>
      </c>
      <c r="I74" t="s">
        <v>31</v>
      </c>
      <c r="J74" t="s">
        <v>38</v>
      </c>
      <c r="K74" t="s">
        <v>31</v>
      </c>
      <c r="L74" t="s">
        <v>38</v>
      </c>
      <c r="M74" t="s">
        <v>31</v>
      </c>
      <c r="N74">
        <v>200</v>
      </c>
      <c r="O74">
        <v>200</v>
      </c>
      <c r="P74">
        <v>200</v>
      </c>
      <c r="Q74">
        <v>600</v>
      </c>
      <c r="R74" s="15">
        <v>44722</v>
      </c>
      <c r="S74" t="s">
        <v>38</v>
      </c>
      <c r="T74" t="s">
        <v>31</v>
      </c>
      <c r="U74">
        <v>1708341</v>
      </c>
    </row>
    <row r="75" spans="1:21" ht="14.25" customHeight="1" x14ac:dyDescent="0.35">
      <c r="A75" t="s">
        <v>341</v>
      </c>
      <c r="B75" t="s">
        <v>342</v>
      </c>
      <c r="C75" t="s">
        <v>23</v>
      </c>
      <c r="D75" t="s">
        <v>65</v>
      </c>
      <c r="E75" t="s">
        <v>91</v>
      </c>
      <c r="F75" t="s">
        <v>343</v>
      </c>
      <c r="G75" t="s">
        <v>344</v>
      </c>
      <c r="H75" t="s">
        <v>38</v>
      </c>
      <c r="I75" t="s">
        <v>31</v>
      </c>
      <c r="J75" t="s">
        <v>30</v>
      </c>
      <c r="K75" t="s">
        <v>31</v>
      </c>
      <c r="L75" t="s">
        <v>30</v>
      </c>
      <c r="M75" t="s">
        <v>31</v>
      </c>
      <c r="N75">
        <v>235</v>
      </c>
      <c r="O75">
        <v>301</v>
      </c>
      <c r="P75">
        <v>308</v>
      </c>
      <c r="Q75">
        <v>844</v>
      </c>
      <c r="R75" s="15">
        <v>44667</v>
      </c>
      <c r="S75" t="s">
        <v>30</v>
      </c>
      <c r="T75" t="s">
        <v>31</v>
      </c>
      <c r="U75">
        <v>1362190</v>
      </c>
    </row>
    <row r="76" spans="1:21" ht="14.25" customHeight="1" x14ac:dyDescent="0.35">
      <c r="A76" t="s">
        <v>345</v>
      </c>
      <c r="B76" t="s">
        <v>346</v>
      </c>
      <c r="C76" t="s">
        <v>23</v>
      </c>
      <c r="D76" t="s">
        <v>65</v>
      </c>
      <c r="E76" t="s">
        <v>215</v>
      </c>
      <c r="F76" t="s">
        <v>347</v>
      </c>
      <c r="G76" t="s">
        <v>348</v>
      </c>
      <c r="H76" t="s">
        <v>28</v>
      </c>
      <c r="I76" t="s">
        <v>29</v>
      </c>
      <c r="J76" t="s">
        <v>38</v>
      </c>
      <c r="K76" t="s">
        <v>31</v>
      </c>
      <c r="L76" t="s">
        <v>30</v>
      </c>
      <c r="M76" t="s">
        <v>31</v>
      </c>
      <c r="N76">
        <v>500</v>
      </c>
      <c r="O76">
        <v>264</v>
      </c>
      <c r="P76">
        <v>310</v>
      </c>
      <c r="Q76">
        <v>1074</v>
      </c>
      <c r="R76" s="15">
        <v>44667</v>
      </c>
      <c r="S76" t="s">
        <v>32</v>
      </c>
      <c r="T76" t="s">
        <v>29</v>
      </c>
      <c r="U76">
        <v>1337553</v>
      </c>
    </row>
    <row r="77" spans="1:21" ht="14.25" customHeight="1" x14ac:dyDescent="0.35">
      <c r="A77" t="s">
        <v>349</v>
      </c>
      <c r="B77" t="s">
        <v>350</v>
      </c>
      <c r="C77" t="s">
        <v>23</v>
      </c>
      <c r="D77" t="s">
        <v>65</v>
      </c>
      <c r="E77" t="s">
        <v>96</v>
      </c>
      <c r="F77" t="s">
        <v>351</v>
      </c>
      <c r="G77" t="s">
        <v>352</v>
      </c>
      <c r="H77" t="s">
        <v>38</v>
      </c>
      <c r="I77" t="s">
        <v>31</v>
      </c>
      <c r="J77" t="s">
        <v>38</v>
      </c>
      <c r="K77" t="s">
        <v>31</v>
      </c>
      <c r="L77" t="s">
        <v>30</v>
      </c>
      <c r="M77" t="s">
        <v>31</v>
      </c>
      <c r="N77">
        <v>235</v>
      </c>
      <c r="O77">
        <v>234</v>
      </c>
      <c r="P77">
        <v>300</v>
      </c>
      <c r="Q77">
        <v>769</v>
      </c>
      <c r="R77" s="15">
        <v>44667</v>
      </c>
      <c r="S77" t="s">
        <v>30</v>
      </c>
      <c r="T77" t="s">
        <v>31</v>
      </c>
      <c r="U77">
        <v>874292</v>
      </c>
    </row>
    <row r="78" spans="1:21" ht="14.25" customHeight="1" x14ac:dyDescent="0.35">
      <c r="A78" t="s">
        <v>353</v>
      </c>
      <c r="B78" t="s">
        <v>354</v>
      </c>
      <c r="C78" t="s">
        <v>23</v>
      </c>
      <c r="D78" t="s">
        <v>65</v>
      </c>
      <c r="E78" t="s">
        <v>104</v>
      </c>
      <c r="H78" t="s">
        <v>38</v>
      </c>
      <c r="I78" t="s">
        <v>31</v>
      </c>
      <c r="J78" t="s">
        <v>38</v>
      </c>
      <c r="K78" t="s">
        <v>31</v>
      </c>
      <c r="L78" t="s">
        <v>38</v>
      </c>
      <c r="M78" t="s">
        <v>31</v>
      </c>
      <c r="N78">
        <v>200</v>
      </c>
      <c r="O78">
        <v>200</v>
      </c>
      <c r="P78">
        <v>200</v>
      </c>
      <c r="Q78">
        <v>600</v>
      </c>
      <c r="R78" s="15">
        <v>44733</v>
      </c>
      <c r="S78" t="s">
        <v>38</v>
      </c>
      <c r="T78" t="s">
        <v>31</v>
      </c>
      <c r="U78">
        <v>1841661</v>
      </c>
    </row>
    <row r="79" spans="1:21" ht="14.25" customHeight="1" x14ac:dyDescent="0.35">
      <c r="A79" t="s">
        <v>355</v>
      </c>
      <c r="B79" t="s">
        <v>356</v>
      </c>
      <c r="C79" t="s">
        <v>357</v>
      </c>
      <c r="D79" t="s">
        <v>65</v>
      </c>
      <c r="E79" t="s">
        <v>107</v>
      </c>
      <c r="F79" t="s">
        <v>358</v>
      </c>
      <c r="G79" t="s">
        <v>359</v>
      </c>
      <c r="H79" t="s">
        <v>30</v>
      </c>
      <c r="I79" t="s">
        <v>31</v>
      </c>
      <c r="J79" t="s">
        <v>30</v>
      </c>
      <c r="K79" t="s">
        <v>31</v>
      </c>
      <c r="L79" t="s">
        <v>30</v>
      </c>
      <c r="M79" t="s">
        <v>31</v>
      </c>
      <c r="N79">
        <v>368</v>
      </c>
      <c r="O79">
        <v>304</v>
      </c>
      <c r="P79">
        <v>310</v>
      </c>
      <c r="Q79">
        <v>982</v>
      </c>
      <c r="R79" s="15">
        <v>44667</v>
      </c>
      <c r="S79" t="s">
        <v>32</v>
      </c>
      <c r="T79" t="s">
        <v>29</v>
      </c>
      <c r="U79">
        <v>1608390</v>
      </c>
    </row>
    <row r="80" spans="1:21" ht="14.25" customHeight="1" x14ac:dyDescent="0.35">
      <c r="A80" t="s">
        <v>360</v>
      </c>
      <c r="B80" t="s">
        <v>361</v>
      </c>
      <c r="C80" t="s">
        <v>23</v>
      </c>
      <c r="D80" t="s">
        <v>65</v>
      </c>
      <c r="E80" t="s">
        <v>321</v>
      </c>
      <c r="F80" t="s">
        <v>362</v>
      </c>
      <c r="G80" t="s">
        <v>363</v>
      </c>
      <c r="H80" t="s">
        <v>38</v>
      </c>
      <c r="I80" t="s">
        <v>31</v>
      </c>
      <c r="J80" t="s">
        <v>38</v>
      </c>
      <c r="K80" t="s">
        <v>31</v>
      </c>
      <c r="L80" t="s">
        <v>38</v>
      </c>
      <c r="M80" t="s">
        <v>31</v>
      </c>
      <c r="N80">
        <v>255</v>
      </c>
      <c r="O80">
        <v>204</v>
      </c>
      <c r="P80">
        <v>226</v>
      </c>
      <c r="Q80">
        <v>685</v>
      </c>
      <c r="R80" s="15">
        <v>44722</v>
      </c>
      <c r="S80" t="s">
        <v>38</v>
      </c>
      <c r="T80" t="s">
        <v>31</v>
      </c>
      <c r="U80">
        <v>1822523</v>
      </c>
    </row>
    <row r="81" spans="1:21" ht="14.25" customHeight="1" x14ac:dyDescent="0.35">
      <c r="A81" t="s">
        <v>364</v>
      </c>
      <c r="B81" t="s">
        <v>365</v>
      </c>
      <c r="C81" t="s">
        <v>23</v>
      </c>
      <c r="D81" t="s">
        <v>65</v>
      </c>
      <c r="E81" t="s">
        <v>138</v>
      </c>
      <c r="G81" t="s">
        <v>366</v>
      </c>
      <c r="H81" t="s">
        <v>38</v>
      </c>
      <c r="I81" t="s">
        <v>31</v>
      </c>
      <c r="J81" t="s">
        <v>38</v>
      </c>
      <c r="K81" t="s">
        <v>31</v>
      </c>
      <c r="L81" t="s">
        <v>38</v>
      </c>
      <c r="M81" t="s">
        <v>31</v>
      </c>
      <c r="N81">
        <v>200</v>
      </c>
      <c r="O81">
        <v>207</v>
      </c>
      <c r="P81">
        <v>200</v>
      </c>
      <c r="Q81">
        <v>607</v>
      </c>
      <c r="R81" s="15">
        <v>44722</v>
      </c>
      <c r="S81" t="s">
        <v>38</v>
      </c>
      <c r="T81" t="s">
        <v>31</v>
      </c>
      <c r="U81">
        <v>1823406</v>
      </c>
    </row>
    <row r="82" spans="1:21" ht="14.25" customHeight="1" x14ac:dyDescent="0.35">
      <c r="A82" t="s">
        <v>367</v>
      </c>
      <c r="B82" t="s">
        <v>368</v>
      </c>
      <c r="C82" t="s">
        <v>23</v>
      </c>
      <c r="D82" t="s">
        <v>65</v>
      </c>
      <c r="E82" t="s">
        <v>91</v>
      </c>
      <c r="F82" t="s">
        <v>369</v>
      </c>
      <c r="G82" t="s">
        <v>370</v>
      </c>
      <c r="H82" t="s">
        <v>38</v>
      </c>
      <c r="I82" t="s">
        <v>31</v>
      </c>
      <c r="J82" t="s">
        <v>30</v>
      </c>
      <c r="K82" t="s">
        <v>31</v>
      </c>
      <c r="L82" t="s">
        <v>30</v>
      </c>
      <c r="M82" t="s">
        <v>31</v>
      </c>
      <c r="N82">
        <v>225</v>
      </c>
      <c r="O82">
        <v>335</v>
      </c>
      <c r="P82">
        <v>335</v>
      </c>
      <c r="Q82">
        <v>895</v>
      </c>
      <c r="R82" s="15">
        <v>44722</v>
      </c>
      <c r="S82" t="s">
        <v>30</v>
      </c>
      <c r="T82" t="s">
        <v>31</v>
      </c>
      <c r="U82">
        <v>1820953</v>
      </c>
    </row>
    <row r="83" spans="1:21" ht="14.25" customHeight="1" x14ac:dyDescent="0.35">
      <c r="A83" t="s">
        <v>371</v>
      </c>
      <c r="B83" t="s">
        <v>372</v>
      </c>
      <c r="C83" t="s">
        <v>23</v>
      </c>
      <c r="D83" t="s">
        <v>65</v>
      </c>
      <c r="E83" t="s">
        <v>124</v>
      </c>
      <c r="F83" t="s">
        <v>373</v>
      </c>
      <c r="G83" t="s">
        <v>374</v>
      </c>
      <c r="H83" t="s">
        <v>38</v>
      </c>
      <c r="I83" t="s">
        <v>31</v>
      </c>
      <c r="J83" t="s">
        <v>38</v>
      </c>
      <c r="K83" t="s">
        <v>31</v>
      </c>
      <c r="L83" t="s">
        <v>38</v>
      </c>
      <c r="M83" t="s">
        <v>31</v>
      </c>
      <c r="N83">
        <v>205</v>
      </c>
      <c r="O83">
        <v>211</v>
      </c>
      <c r="P83">
        <v>235</v>
      </c>
      <c r="Q83">
        <v>651</v>
      </c>
      <c r="R83" s="15">
        <v>44722</v>
      </c>
      <c r="S83" t="s">
        <v>38</v>
      </c>
      <c r="T83" t="s">
        <v>31</v>
      </c>
      <c r="U83">
        <v>1522860</v>
      </c>
    </row>
    <row r="84" spans="1:21" ht="14.25" customHeight="1" x14ac:dyDescent="0.35">
      <c r="A84" t="s">
        <v>375</v>
      </c>
      <c r="B84" t="s">
        <v>376</v>
      </c>
      <c r="C84" t="s">
        <v>23</v>
      </c>
      <c r="D84" t="s">
        <v>65</v>
      </c>
      <c r="E84" t="s">
        <v>107</v>
      </c>
      <c r="F84" t="s">
        <v>377</v>
      </c>
      <c r="G84" t="s">
        <v>378</v>
      </c>
      <c r="H84" t="s">
        <v>38</v>
      </c>
      <c r="I84" t="s">
        <v>31</v>
      </c>
      <c r="J84" t="s">
        <v>38</v>
      </c>
      <c r="K84" t="s">
        <v>31</v>
      </c>
      <c r="L84" t="s">
        <v>30</v>
      </c>
      <c r="M84" t="s">
        <v>31</v>
      </c>
      <c r="N84">
        <v>290</v>
      </c>
      <c r="O84">
        <v>245</v>
      </c>
      <c r="P84">
        <v>300</v>
      </c>
      <c r="Q84">
        <v>835</v>
      </c>
      <c r="R84" s="15">
        <v>44667</v>
      </c>
      <c r="S84" t="s">
        <v>30</v>
      </c>
      <c r="T84" t="s">
        <v>31</v>
      </c>
      <c r="U84">
        <v>1098972</v>
      </c>
    </row>
    <row r="85" spans="1:21" ht="14.25" customHeight="1" x14ac:dyDescent="0.35">
      <c r="A85" t="s">
        <v>379</v>
      </c>
      <c r="B85" t="s">
        <v>380</v>
      </c>
      <c r="C85" t="s">
        <v>381</v>
      </c>
      <c r="D85" t="s">
        <v>65</v>
      </c>
      <c r="E85" t="s">
        <v>66</v>
      </c>
      <c r="F85" t="s">
        <v>382</v>
      </c>
      <c r="G85" t="s">
        <v>383</v>
      </c>
      <c r="H85" t="s">
        <v>38</v>
      </c>
      <c r="I85" t="s">
        <v>31</v>
      </c>
      <c r="J85" t="s">
        <v>38</v>
      </c>
      <c r="K85" t="s">
        <v>31</v>
      </c>
      <c r="L85" t="s">
        <v>38</v>
      </c>
      <c r="M85" t="s">
        <v>31</v>
      </c>
      <c r="N85">
        <v>290</v>
      </c>
      <c r="O85">
        <v>203</v>
      </c>
      <c r="P85">
        <v>205</v>
      </c>
      <c r="Q85">
        <v>698</v>
      </c>
      <c r="R85" s="15">
        <v>44722</v>
      </c>
      <c r="S85" t="s">
        <v>38</v>
      </c>
      <c r="T85" t="s">
        <v>31</v>
      </c>
      <c r="U85">
        <v>1771007</v>
      </c>
    </row>
    <row r="86" spans="1:21" ht="14.25" customHeight="1" x14ac:dyDescent="0.35">
      <c r="A86" t="s">
        <v>384</v>
      </c>
      <c r="B86" t="s">
        <v>385</v>
      </c>
      <c r="C86" t="s">
        <v>23</v>
      </c>
      <c r="D86" t="s">
        <v>65</v>
      </c>
      <c r="E86" t="s">
        <v>258</v>
      </c>
      <c r="F86" t="s">
        <v>386</v>
      </c>
      <c r="G86" t="s">
        <v>387</v>
      </c>
      <c r="H86" t="s">
        <v>28</v>
      </c>
      <c r="I86" t="s">
        <v>29</v>
      </c>
      <c r="J86" t="s">
        <v>30</v>
      </c>
      <c r="K86" t="s">
        <v>31</v>
      </c>
      <c r="L86" t="s">
        <v>38</v>
      </c>
      <c r="M86" t="s">
        <v>31</v>
      </c>
      <c r="N86">
        <v>500</v>
      </c>
      <c r="O86">
        <v>301</v>
      </c>
      <c r="P86">
        <v>275</v>
      </c>
      <c r="Q86">
        <v>1076</v>
      </c>
      <c r="R86" s="15">
        <v>44667</v>
      </c>
      <c r="S86" t="s">
        <v>32</v>
      </c>
      <c r="T86" t="s">
        <v>29</v>
      </c>
      <c r="U86">
        <v>1592016</v>
      </c>
    </row>
    <row r="87" spans="1:21" ht="14.25" customHeight="1" x14ac:dyDescent="0.35">
      <c r="A87" t="s">
        <v>388</v>
      </c>
      <c r="B87" t="s">
        <v>389</v>
      </c>
      <c r="C87" t="s">
        <v>23</v>
      </c>
      <c r="D87" t="s">
        <v>65</v>
      </c>
      <c r="E87" t="s">
        <v>390</v>
      </c>
      <c r="F87" t="s">
        <v>391</v>
      </c>
      <c r="G87" t="s">
        <v>392</v>
      </c>
      <c r="H87" t="s">
        <v>28</v>
      </c>
      <c r="I87" t="s">
        <v>29</v>
      </c>
      <c r="J87" t="s">
        <v>30</v>
      </c>
      <c r="K87" t="s">
        <v>31</v>
      </c>
      <c r="L87" t="s">
        <v>30</v>
      </c>
      <c r="M87" t="s">
        <v>31</v>
      </c>
      <c r="N87">
        <v>540</v>
      </c>
      <c r="O87">
        <v>361</v>
      </c>
      <c r="P87">
        <v>305</v>
      </c>
      <c r="Q87">
        <v>1206</v>
      </c>
      <c r="R87" s="15">
        <v>44722</v>
      </c>
      <c r="S87" t="s">
        <v>28</v>
      </c>
      <c r="T87" t="s">
        <v>29</v>
      </c>
      <c r="U87">
        <v>1800637</v>
      </c>
    </row>
    <row r="88" spans="1:21" ht="14.25" customHeight="1" x14ac:dyDescent="0.35">
      <c r="A88" t="s">
        <v>393</v>
      </c>
      <c r="B88" t="s">
        <v>394</v>
      </c>
      <c r="C88" t="s">
        <v>23</v>
      </c>
      <c r="D88" t="s">
        <v>65</v>
      </c>
      <c r="E88" t="s">
        <v>91</v>
      </c>
      <c r="F88" t="s">
        <v>395</v>
      </c>
      <c r="G88" t="s">
        <v>396</v>
      </c>
      <c r="H88" t="s">
        <v>30</v>
      </c>
      <c r="I88" t="s">
        <v>31</v>
      </c>
      <c r="J88" t="s">
        <v>38</v>
      </c>
      <c r="K88" t="s">
        <v>31</v>
      </c>
      <c r="L88" t="s">
        <v>30</v>
      </c>
      <c r="M88" t="s">
        <v>31</v>
      </c>
      <c r="N88">
        <v>340</v>
      </c>
      <c r="O88">
        <v>299</v>
      </c>
      <c r="P88">
        <v>305</v>
      </c>
      <c r="Q88">
        <v>944</v>
      </c>
      <c r="R88" s="15">
        <v>44723</v>
      </c>
      <c r="S88" t="s">
        <v>32</v>
      </c>
      <c r="T88" t="s">
        <v>29</v>
      </c>
      <c r="U88">
        <v>1790625</v>
      </c>
    </row>
    <row r="89" spans="1:21" ht="14.25" customHeight="1" x14ac:dyDescent="0.35">
      <c r="A89" t="s">
        <v>397</v>
      </c>
      <c r="B89" t="s">
        <v>398</v>
      </c>
      <c r="C89" t="s">
        <v>23</v>
      </c>
      <c r="D89" t="s">
        <v>65</v>
      </c>
      <c r="E89" t="s">
        <v>224</v>
      </c>
      <c r="F89" t="s">
        <v>399</v>
      </c>
      <c r="G89" t="s">
        <v>400</v>
      </c>
      <c r="H89" t="s">
        <v>38</v>
      </c>
      <c r="I89" t="s">
        <v>31</v>
      </c>
      <c r="J89" t="s">
        <v>38</v>
      </c>
      <c r="K89" t="s">
        <v>31</v>
      </c>
      <c r="L89" t="s">
        <v>38</v>
      </c>
      <c r="M89" t="s">
        <v>31</v>
      </c>
      <c r="N89">
        <v>205</v>
      </c>
      <c r="O89">
        <v>204</v>
      </c>
      <c r="P89">
        <v>210</v>
      </c>
      <c r="Q89">
        <v>619</v>
      </c>
      <c r="R89" s="15">
        <v>44722</v>
      </c>
      <c r="S89" t="s">
        <v>38</v>
      </c>
      <c r="T89" t="s">
        <v>31</v>
      </c>
      <c r="U89">
        <v>1705402</v>
      </c>
    </row>
    <row r="90" spans="1:21" ht="14.25" customHeight="1" x14ac:dyDescent="0.35">
      <c r="A90" t="s">
        <v>401</v>
      </c>
      <c r="B90" t="s">
        <v>402</v>
      </c>
      <c r="C90" t="s">
        <v>23</v>
      </c>
      <c r="D90" t="s">
        <v>65</v>
      </c>
      <c r="E90" t="s">
        <v>107</v>
      </c>
      <c r="F90" t="s">
        <v>403</v>
      </c>
      <c r="G90" t="s">
        <v>404</v>
      </c>
      <c r="H90" t="s">
        <v>28</v>
      </c>
      <c r="I90" t="s">
        <v>29</v>
      </c>
      <c r="J90" t="s">
        <v>30</v>
      </c>
      <c r="K90" t="s">
        <v>31</v>
      </c>
      <c r="L90" t="s">
        <v>30</v>
      </c>
      <c r="M90" t="s">
        <v>31</v>
      </c>
      <c r="N90">
        <v>520</v>
      </c>
      <c r="O90">
        <v>303</v>
      </c>
      <c r="P90">
        <v>325</v>
      </c>
      <c r="Q90">
        <v>1148</v>
      </c>
      <c r="R90" s="15">
        <v>44667</v>
      </c>
      <c r="S90" t="s">
        <v>32</v>
      </c>
      <c r="T90" t="s">
        <v>29</v>
      </c>
      <c r="U90">
        <v>1439222</v>
      </c>
    </row>
    <row r="91" spans="1:21" ht="14.25" customHeight="1" x14ac:dyDescent="0.35">
      <c r="A91" t="s">
        <v>405</v>
      </c>
      <c r="B91" t="s">
        <v>406</v>
      </c>
      <c r="C91" t="s">
        <v>23</v>
      </c>
      <c r="D91" t="s">
        <v>65</v>
      </c>
      <c r="E91" t="s">
        <v>107</v>
      </c>
      <c r="F91" t="s">
        <v>407</v>
      </c>
      <c r="G91" t="s">
        <v>408</v>
      </c>
      <c r="H91" t="s">
        <v>38</v>
      </c>
      <c r="I91" t="s">
        <v>31</v>
      </c>
      <c r="J91" t="s">
        <v>38</v>
      </c>
      <c r="K91" t="s">
        <v>31</v>
      </c>
      <c r="L91" t="s">
        <v>38</v>
      </c>
      <c r="M91" t="s">
        <v>31</v>
      </c>
      <c r="N91">
        <v>205</v>
      </c>
      <c r="O91">
        <v>223</v>
      </c>
      <c r="P91">
        <v>200</v>
      </c>
      <c r="Q91">
        <v>628</v>
      </c>
      <c r="R91" s="15">
        <v>44820</v>
      </c>
      <c r="S91" t="s">
        <v>38</v>
      </c>
      <c r="T91" t="s">
        <v>31</v>
      </c>
      <c r="U91">
        <v>1636282</v>
      </c>
    </row>
    <row r="92" spans="1:21" ht="14.25" customHeight="1" x14ac:dyDescent="0.35">
      <c r="A92" t="s">
        <v>409</v>
      </c>
      <c r="B92" t="s">
        <v>410</v>
      </c>
      <c r="C92" t="s">
        <v>23</v>
      </c>
      <c r="D92" t="s">
        <v>65</v>
      </c>
      <c r="E92" t="s">
        <v>321</v>
      </c>
      <c r="F92" t="s">
        <v>411</v>
      </c>
      <c r="G92" t="s">
        <v>412</v>
      </c>
      <c r="H92" t="s">
        <v>30</v>
      </c>
      <c r="I92" t="s">
        <v>31</v>
      </c>
      <c r="J92" t="s">
        <v>38</v>
      </c>
      <c r="K92" t="s">
        <v>31</v>
      </c>
      <c r="L92" t="s">
        <v>30</v>
      </c>
      <c r="M92" t="s">
        <v>31</v>
      </c>
      <c r="N92">
        <v>382</v>
      </c>
      <c r="O92">
        <v>242</v>
      </c>
      <c r="P92">
        <v>305</v>
      </c>
      <c r="Q92">
        <v>929</v>
      </c>
      <c r="R92" s="15">
        <v>44667</v>
      </c>
      <c r="S92" t="s">
        <v>32</v>
      </c>
      <c r="T92" t="s">
        <v>29</v>
      </c>
      <c r="U92">
        <v>1423689</v>
      </c>
    </row>
    <row r="93" spans="1:21" ht="14.25" customHeight="1" x14ac:dyDescent="0.35">
      <c r="A93" t="s">
        <v>413</v>
      </c>
      <c r="B93" t="s">
        <v>414</v>
      </c>
      <c r="C93" t="s">
        <v>23</v>
      </c>
      <c r="D93" t="s">
        <v>65</v>
      </c>
      <c r="E93" t="s">
        <v>415</v>
      </c>
      <c r="F93" t="s">
        <v>416</v>
      </c>
      <c r="G93" t="s">
        <v>417</v>
      </c>
      <c r="H93" t="s">
        <v>28</v>
      </c>
      <c r="I93" t="s">
        <v>29</v>
      </c>
      <c r="J93" t="s">
        <v>38</v>
      </c>
      <c r="K93" t="s">
        <v>31</v>
      </c>
      <c r="L93" t="s">
        <v>30</v>
      </c>
      <c r="M93" t="s">
        <v>31</v>
      </c>
      <c r="N93">
        <v>510</v>
      </c>
      <c r="O93">
        <v>248</v>
      </c>
      <c r="P93">
        <v>305</v>
      </c>
      <c r="Q93">
        <v>1063</v>
      </c>
      <c r="R93" s="15">
        <v>44723</v>
      </c>
      <c r="S93" t="s">
        <v>32</v>
      </c>
      <c r="T93" t="s">
        <v>29</v>
      </c>
      <c r="U93">
        <v>1826397</v>
      </c>
    </row>
    <row r="94" spans="1:21" ht="14.25" customHeight="1" x14ac:dyDescent="0.35">
      <c r="A94" t="s">
        <v>418</v>
      </c>
      <c r="B94" t="s">
        <v>419</v>
      </c>
      <c r="C94" t="s">
        <v>23</v>
      </c>
      <c r="D94" t="s">
        <v>65</v>
      </c>
      <c r="E94" t="s">
        <v>215</v>
      </c>
      <c r="F94" t="s">
        <v>420</v>
      </c>
      <c r="G94" t="s">
        <v>421</v>
      </c>
      <c r="H94" t="s">
        <v>38</v>
      </c>
      <c r="I94" t="s">
        <v>31</v>
      </c>
      <c r="J94" t="s">
        <v>38</v>
      </c>
      <c r="K94" t="s">
        <v>31</v>
      </c>
      <c r="L94" t="s">
        <v>38</v>
      </c>
      <c r="M94" t="s">
        <v>31</v>
      </c>
      <c r="N94">
        <v>240</v>
      </c>
      <c r="O94">
        <v>203</v>
      </c>
      <c r="P94">
        <v>260</v>
      </c>
      <c r="Q94">
        <v>703</v>
      </c>
      <c r="R94" s="15">
        <v>44667</v>
      </c>
      <c r="S94" t="s">
        <v>38</v>
      </c>
      <c r="T94" t="s">
        <v>31</v>
      </c>
      <c r="U94">
        <v>1261249</v>
      </c>
    </row>
    <row r="95" spans="1:21" ht="14.25" customHeight="1" x14ac:dyDescent="0.35">
      <c r="A95" t="s">
        <v>422</v>
      </c>
      <c r="B95" t="s">
        <v>423</v>
      </c>
      <c r="C95" t="s">
        <v>23</v>
      </c>
      <c r="D95" t="s">
        <v>65</v>
      </c>
      <c r="E95" t="s">
        <v>91</v>
      </c>
      <c r="F95" t="s">
        <v>424</v>
      </c>
      <c r="G95" t="s">
        <v>425</v>
      </c>
      <c r="H95" t="s">
        <v>28</v>
      </c>
      <c r="I95" t="s">
        <v>29</v>
      </c>
      <c r="J95" t="s">
        <v>30</v>
      </c>
      <c r="K95" t="s">
        <v>31</v>
      </c>
      <c r="L95" t="s">
        <v>30</v>
      </c>
      <c r="M95" t="s">
        <v>31</v>
      </c>
      <c r="N95">
        <v>500</v>
      </c>
      <c r="O95">
        <v>303</v>
      </c>
      <c r="P95">
        <v>300</v>
      </c>
      <c r="Q95">
        <v>1103</v>
      </c>
      <c r="R95" s="15">
        <v>44667</v>
      </c>
      <c r="S95" t="s">
        <v>32</v>
      </c>
      <c r="T95" t="s">
        <v>29</v>
      </c>
      <c r="U95">
        <v>78749</v>
      </c>
    </row>
    <row r="96" spans="1:21" ht="14.25" customHeight="1" x14ac:dyDescent="0.35">
      <c r="A96" t="s">
        <v>426</v>
      </c>
      <c r="B96" t="s">
        <v>427</v>
      </c>
      <c r="C96" t="s">
        <v>23</v>
      </c>
      <c r="D96" t="s">
        <v>65</v>
      </c>
      <c r="E96" t="s">
        <v>107</v>
      </c>
      <c r="F96" t="s">
        <v>428</v>
      </c>
      <c r="G96" t="s">
        <v>429</v>
      </c>
      <c r="H96" t="s">
        <v>38</v>
      </c>
      <c r="I96" t="s">
        <v>31</v>
      </c>
      <c r="J96" t="s">
        <v>30</v>
      </c>
      <c r="K96" t="s">
        <v>31</v>
      </c>
      <c r="L96" t="s">
        <v>30</v>
      </c>
      <c r="M96" t="s">
        <v>31</v>
      </c>
      <c r="N96">
        <v>235</v>
      </c>
      <c r="O96">
        <v>323</v>
      </c>
      <c r="P96">
        <v>305</v>
      </c>
      <c r="Q96">
        <v>863</v>
      </c>
      <c r="R96" s="15">
        <v>44667</v>
      </c>
      <c r="S96" t="s">
        <v>30</v>
      </c>
      <c r="T96" t="s">
        <v>31</v>
      </c>
      <c r="U96">
        <v>1273636</v>
      </c>
    </row>
    <row r="97" spans="1:21" ht="14.25" customHeight="1" x14ac:dyDescent="0.35">
      <c r="A97" t="s">
        <v>430</v>
      </c>
      <c r="B97" t="s">
        <v>431</v>
      </c>
      <c r="C97" t="s">
        <v>23</v>
      </c>
      <c r="D97" t="s">
        <v>65</v>
      </c>
      <c r="E97" t="s">
        <v>124</v>
      </c>
      <c r="F97" t="s">
        <v>432</v>
      </c>
      <c r="G97" t="s">
        <v>433</v>
      </c>
      <c r="H97" t="s">
        <v>38</v>
      </c>
      <c r="I97" t="s">
        <v>31</v>
      </c>
      <c r="J97" t="s">
        <v>38</v>
      </c>
      <c r="K97" t="s">
        <v>31</v>
      </c>
      <c r="L97" t="s">
        <v>38</v>
      </c>
      <c r="M97" t="s">
        <v>31</v>
      </c>
      <c r="N97">
        <v>210</v>
      </c>
      <c r="O97">
        <v>211</v>
      </c>
      <c r="P97">
        <v>235</v>
      </c>
      <c r="Q97">
        <v>656</v>
      </c>
      <c r="R97" s="15">
        <v>44722</v>
      </c>
      <c r="S97" t="s">
        <v>38</v>
      </c>
      <c r="T97" t="s">
        <v>31</v>
      </c>
      <c r="U97">
        <v>1725255</v>
      </c>
    </row>
    <row r="98" spans="1:21" ht="14.25" customHeight="1" x14ac:dyDescent="0.35">
      <c r="A98" t="s">
        <v>434</v>
      </c>
      <c r="B98" t="s">
        <v>435</v>
      </c>
      <c r="C98" t="s">
        <v>23</v>
      </c>
      <c r="D98" t="s">
        <v>65</v>
      </c>
      <c r="E98" t="s">
        <v>124</v>
      </c>
      <c r="F98" t="s">
        <v>436</v>
      </c>
      <c r="G98" t="s">
        <v>437</v>
      </c>
      <c r="H98" t="s">
        <v>38</v>
      </c>
      <c r="I98" t="s">
        <v>31</v>
      </c>
      <c r="J98" t="s">
        <v>38</v>
      </c>
      <c r="K98" t="s">
        <v>31</v>
      </c>
      <c r="L98" t="s">
        <v>30</v>
      </c>
      <c r="M98" t="s">
        <v>31</v>
      </c>
      <c r="N98">
        <v>210</v>
      </c>
      <c r="O98">
        <v>228</v>
      </c>
      <c r="P98">
        <v>325</v>
      </c>
      <c r="Q98">
        <v>763</v>
      </c>
      <c r="R98" s="15">
        <v>44667</v>
      </c>
      <c r="S98" t="s">
        <v>30</v>
      </c>
      <c r="T98" t="s">
        <v>31</v>
      </c>
      <c r="U98">
        <v>874710</v>
      </c>
    </row>
    <row r="99" spans="1:21" ht="14.25" customHeight="1" x14ac:dyDescent="0.35">
      <c r="A99" t="s">
        <v>438</v>
      </c>
      <c r="B99" t="s">
        <v>439</v>
      </c>
      <c r="C99" t="s">
        <v>23</v>
      </c>
      <c r="D99" t="s">
        <v>65</v>
      </c>
      <c r="E99" t="s">
        <v>104</v>
      </c>
      <c r="H99" t="s">
        <v>38</v>
      </c>
      <c r="I99" t="s">
        <v>31</v>
      </c>
      <c r="J99" t="s">
        <v>38</v>
      </c>
      <c r="K99" t="s">
        <v>31</v>
      </c>
      <c r="L99" t="s">
        <v>30</v>
      </c>
      <c r="M99" t="s">
        <v>31</v>
      </c>
      <c r="N99">
        <v>215</v>
      </c>
      <c r="O99">
        <v>227</v>
      </c>
      <c r="P99">
        <v>300</v>
      </c>
      <c r="Q99">
        <v>742</v>
      </c>
      <c r="R99" s="15">
        <v>44705</v>
      </c>
      <c r="S99" t="s">
        <v>38</v>
      </c>
      <c r="T99" t="s">
        <v>31</v>
      </c>
      <c r="U99">
        <v>1882963</v>
      </c>
    </row>
    <row r="100" spans="1:21" ht="14.25" customHeight="1" x14ac:dyDescent="0.35">
      <c r="A100" t="s">
        <v>440</v>
      </c>
      <c r="B100" t="s">
        <v>441</v>
      </c>
      <c r="C100" t="s">
        <v>23</v>
      </c>
      <c r="D100" t="s">
        <v>65</v>
      </c>
      <c r="E100" t="s">
        <v>81</v>
      </c>
      <c r="F100" t="s">
        <v>442</v>
      </c>
      <c r="G100" t="s">
        <v>443</v>
      </c>
      <c r="H100" t="s">
        <v>28</v>
      </c>
      <c r="I100" t="s">
        <v>29</v>
      </c>
      <c r="J100" t="s">
        <v>30</v>
      </c>
      <c r="K100" t="s">
        <v>31</v>
      </c>
      <c r="L100" t="s">
        <v>30</v>
      </c>
      <c r="M100" t="s">
        <v>31</v>
      </c>
      <c r="N100">
        <v>510</v>
      </c>
      <c r="O100">
        <v>308</v>
      </c>
      <c r="P100">
        <v>300</v>
      </c>
      <c r="Q100">
        <v>1118</v>
      </c>
      <c r="R100" s="15">
        <v>44667</v>
      </c>
      <c r="S100" t="s">
        <v>32</v>
      </c>
      <c r="T100" t="s">
        <v>29</v>
      </c>
      <c r="U100">
        <v>926282</v>
      </c>
    </row>
    <row r="101" spans="1:21" ht="14.25" customHeight="1" x14ac:dyDescent="0.35">
      <c r="A101" t="s">
        <v>444</v>
      </c>
      <c r="B101" t="s">
        <v>445</v>
      </c>
      <c r="C101" t="s">
        <v>23</v>
      </c>
      <c r="D101" t="s">
        <v>65</v>
      </c>
      <c r="E101" t="s">
        <v>96</v>
      </c>
      <c r="F101" t="s">
        <v>446</v>
      </c>
      <c r="G101" t="s">
        <v>447</v>
      </c>
      <c r="H101" t="s">
        <v>38</v>
      </c>
      <c r="I101" t="s">
        <v>31</v>
      </c>
      <c r="J101" t="s">
        <v>38</v>
      </c>
      <c r="K101" t="s">
        <v>31</v>
      </c>
      <c r="L101" t="s">
        <v>38</v>
      </c>
      <c r="M101" t="s">
        <v>31</v>
      </c>
      <c r="N101">
        <v>250</v>
      </c>
      <c r="O101">
        <v>203</v>
      </c>
      <c r="P101">
        <v>220</v>
      </c>
      <c r="Q101">
        <v>673</v>
      </c>
      <c r="R101" s="15">
        <v>44671</v>
      </c>
      <c r="S101" t="s">
        <v>38</v>
      </c>
      <c r="T101" t="s">
        <v>31</v>
      </c>
      <c r="U101">
        <v>1744494</v>
      </c>
    </row>
    <row r="102" spans="1:21" ht="14.25" customHeight="1" x14ac:dyDescent="0.35">
      <c r="A102" t="s">
        <v>448</v>
      </c>
      <c r="B102" t="s">
        <v>449</v>
      </c>
      <c r="C102" t="s">
        <v>23</v>
      </c>
      <c r="D102" t="s">
        <v>65</v>
      </c>
      <c r="E102" t="s">
        <v>107</v>
      </c>
      <c r="F102" t="s">
        <v>450</v>
      </c>
      <c r="G102" t="s">
        <v>451</v>
      </c>
      <c r="H102" t="s">
        <v>38</v>
      </c>
      <c r="I102" t="s">
        <v>31</v>
      </c>
      <c r="J102" t="s">
        <v>38</v>
      </c>
      <c r="K102" t="s">
        <v>31</v>
      </c>
      <c r="L102" t="s">
        <v>38</v>
      </c>
      <c r="M102" t="s">
        <v>31</v>
      </c>
      <c r="N102">
        <v>200</v>
      </c>
      <c r="O102">
        <v>235</v>
      </c>
      <c r="P102">
        <v>205</v>
      </c>
      <c r="Q102">
        <v>640</v>
      </c>
      <c r="R102" s="15">
        <v>44722</v>
      </c>
      <c r="S102" t="s">
        <v>38</v>
      </c>
      <c r="T102" t="s">
        <v>31</v>
      </c>
      <c r="U102">
        <v>12239</v>
      </c>
    </row>
    <row r="103" spans="1:21" ht="14.25" customHeight="1" x14ac:dyDescent="0.35">
      <c r="A103" t="s">
        <v>452</v>
      </c>
      <c r="B103" t="s">
        <v>453</v>
      </c>
      <c r="C103" t="s">
        <v>23</v>
      </c>
      <c r="D103" t="s">
        <v>65</v>
      </c>
      <c r="E103" t="s">
        <v>104</v>
      </c>
      <c r="H103" t="s">
        <v>38</v>
      </c>
      <c r="I103" t="s">
        <v>31</v>
      </c>
      <c r="J103" t="s">
        <v>38</v>
      </c>
      <c r="K103" t="s">
        <v>31</v>
      </c>
      <c r="L103" t="s">
        <v>38</v>
      </c>
      <c r="M103" t="s">
        <v>31</v>
      </c>
      <c r="N103">
        <v>200</v>
      </c>
      <c r="O103">
        <v>205</v>
      </c>
      <c r="P103">
        <v>230</v>
      </c>
      <c r="Q103">
        <v>635</v>
      </c>
      <c r="R103" s="15">
        <v>44723</v>
      </c>
      <c r="S103" t="s">
        <v>38</v>
      </c>
      <c r="T103" t="s">
        <v>31</v>
      </c>
      <c r="U103">
        <v>1826574</v>
      </c>
    </row>
    <row r="104" spans="1:21" ht="14.25" customHeight="1" x14ac:dyDescent="0.35">
      <c r="A104" t="s">
        <v>454</v>
      </c>
      <c r="B104" t="s">
        <v>455</v>
      </c>
      <c r="C104" t="s">
        <v>23</v>
      </c>
      <c r="D104" t="s">
        <v>65</v>
      </c>
      <c r="E104" t="s">
        <v>91</v>
      </c>
      <c r="F104" t="s">
        <v>456</v>
      </c>
      <c r="G104" t="s">
        <v>457</v>
      </c>
      <c r="H104" t="s">
        <v>28</v>
      </c>
      <c r="I104" t="s">
        <v>29</v>
      </c>
      <c r="J104" t="s">
        <v>38</v>
      </c>
      <c r="K104" t="s">
        <v>31</v>
      </c>
      <c r="L104" t="s">
        <v>30</v>
      </c>
      <c r="M104" t="s">
        <v>31</v>
      </c>
      <c r="N104">
        <v>500</v>
      </c>
      <c r="O104">
        <v>286</v>
      </c>
      <c r="P104">
        <v>300</v>
      </c>
      <c r="Q104">
        <v>1086</v>
      </c>
      <c r="R104" s="15">
        <v>44719</v>
      </c>
      <c r="S104" t="s">
        <v>32</v>
      </c>
      <c r="T104" t="s">
        <v>29</v>
      </c>
      <c r="U104">
        <v>1667011</v>
      </c>
    </row>
    <row r="105" spans="1:21" ht="14.25" customHeight="1" x14ac:dyDescent="0.35">
      <c r="A105" t="s">
        <v>458</v>
      </c>
      <c r="B105" t="s">
        <v>459</v>
      </c>
      <c r="C105" t="s">
        <v>23</v>
      </c>
      <c r="D105" t="s">
        <v>65</v>
      </c>
      <c r="E105" t="s">
        <v>107</v>
      </c>
      <c r="F105" t="s">
        <v>460</v>
      </c>
      <c r="G105" t="s">
        <v>461</v>
      </c>
      <c r="H105" t="s">
        <v>38</v>
      </c>
      <c r="I105" t="s">
        <v>31</v>
      </c>
      <c r="J105" t="s">
        <v>38</v>
      </c>
      <c r="K105" t="s">
        <v>31</v>
      </c>
      <c r="L105" t="s">
        <v>30</v>
      </c>
      <c r="M105" t="s">
        <v>31</v>
      </c>
      <c r="N105">
        <v>250</v>
      </c>
      <c r="O105">
        <v>246</v>
      </c>
      <c r="P105">
        <v>305</v>
      </c>
      <c r="Q105">
        <v>801</v>
      </c>
      <c r="R105" s="15">
        <v>44722</v>
      </c>
      <c r="S105" t="s">
        <v>30</v>
      </c>
      <c r="T105" t="s">
        <v>31</v>
      </c>
      <c r="U105">
        <v>1744659</v>
      </c>
    </row>
    <row r="106" spans="1:21" ht="14.25" customHeight="1" x14ac:dyDescent="0.35">
      <c r="A106" t="s">
        <v>462</v>
      </c>
      <c r="B106" t="s">
        <v>463</v>
      </c>
      <c r="C106" t="s">
        <v>23</v>
      </c>
      <c r="D106" t="s">
        <v>65</v>
      </c>
      <c r="E106" t="s">
        <v>99</v>
      </c>
      <c r="F106" t="s">
        <v>464</v>
      </c>
      <c r="G106" t="s">
        <v>465</v>
      </c>
      <c r="H106" t="s">
        <v>38</v>
      </c>
      <c r="I106" t="s">
        <v>31</v>
      </c>
      <c r="J106" t="s">
        <v>38</v>
      </c>
      <c r="K106" t="s">
        <v>31</v>
      </c>
      <c r="L106" t="s">
        <v>30</v>
      </c>
      <c r="M106" t="s">
        <v>31</v>
      </c>
      <c r="N106">
        <v>234</v>
      </c>
      <c r="O106">
        <v>210</v>
      </c>
      <c r="P106">
        <v>325</v>
      </c>
      <c r="Q106">
        <v>769</v>
      </c>
      <c r="R106" s="15">
        <v>44667</v>
      </c>
      <c r="S106" t="s">
        <v>30</v>
      </c>
      <c r="T106" t="s">
        <v>31</v>
      </c>
      <c r="U106">
        <v>353184</v>
      </c>
    </row>
    <row r="107" spans="1:21" ht="14.25" customHeight="1" x14ac:dyDescent="0.35">
      <c r="A107" t="s">
        <v>466</v>
      </c>
      <c r="B107" t="s">
        <v>467</v>
      </c>
      <c r="C107" t="s">
        <v>23</v>
      </c>
      <c r="D107" t="s">
        <v>65</v>
      </c>
      <c r="E107" t="s">
        <v>390</v>
      </c>
      <c r="F107" t="s">
        <v>468</v>
      </c>
      <c r="G107" t="s">
        <v>469</v>
      </c>
      <c r="H107" t="s">
        <v>28</v>
      </c>
      <c r="I107" t="s">
        <v>29</v>
      </c>
      <c r="J107" t="s">
        <v>30</v>
      </c>
      <c r="K107" t="s">
        <v>31</v>
      </c>
      <c r="L107" t="s">
        <v>30</v>
      </c>
      <c r="M107" t="s">
        <v>31</v>
      </c>
      <c r="N107">
        <v>525</v>
      </c>
      <c r="O107">
        <v>315</v>
      </c>
      <c r="P107">
        <v>305</v>
      </c>
      <c r="Q107">
        <v>1145</v>
      </c>
      <c r="R107" s="15">
        <v>44667</v>
      </c>
      <c r="S107" t="s">
        <v>32</v>
      </c>
      <c r="T107" t="s">
        <v>29</v>
      </c>
      <c r="U107">
        <v>1374535</v>
      </c>
    </row>
    <row r="108" spans="1:21" ht="14.25" customHeight="1" x14ac:dyDescent="0.35">
      <c r="A108" t="s">
        <v>470</v>
      </c>
      <c r="B108" t="s">
        <v>471</v>
      </c>
      <c r="C108" t="s">
        <v>23</v>
      </c>
      <c r="D108" t="s">
        <v>65</v>
      </c>
      <c r="E108" t="s">
        <v>107</v>
      </c>
      <c r="F108" t="s">
        <v>472</v>
      </c>
      <c r="G108" t="s">
        <v>473</v>
      </c>
      <c r="H108" t="s">
        <v>38</v>
      </c>
      <c r="I108" t="s">
        <v>31</v>
      </c>
      <c r="J108" t="s">
        <v>38</v>
      </c>
      <c r="K108" t="s">
        <v>31</v>
      </c>
      <c r="L108" t="s">
        <v>38</v>
      </c>
      <c r="M108" t="s">
        <v>31</v>
      </c>
      <c r="N108">
        <v>200</v>
      </c>
      <c r="O108">
        <v>218</v>
      </c>
      <c r="P108">
        <v>215</v>
      </c>
      <c r="Q108">
        <v>633</v>
      </c>
      <c r="R108" s="15">
        <v>44667</v>
      </c>
      <c r="S108" t="s">
        <v>38</v>
      </c>
      <c r="T108" t="s">
        <v>31</v>
      </c>
      <c r="U108">
        <v>1517022</v>
      </c>
    </row>
    <row r="109" spans="1:21" ht="14.25" customHeight="1" x14ac:dyDescent="0.35">
      <c r="A109" t="s">
        <v>474</v>
      </c>
      <c r="B109" t="s">
        <v>475</v>
      </c>
      <c r="C109" t="s">
        <v>23</v>
      </c>
      <c r="D109" t="s">
        <v>65</v>
      </c>
      <c r="E109" t="s">
        <v>96</v>
      </c>
      <c r="F109" t="s">
        <v>476</v>
      </c>
      <c r="G109" t="s">
        <v>477</v>
      </c>
      <c r="H109" t="s">
        <v>28</v>
      </c>
      <c r="I109" t="s">
        <v>29</v>
      </c>
      <c r="J109" t="s">
        <v>30</v>
      </c>
      <c r="K109" t="s">
        <v>31</v>
      </c>
      <c r="L109" t="s">
        <v>30</v>
      </c>
      <c r="M109" t="s">
        <v>31</v>
      </c>
      <c r="N109">
        <v>500</v>
      </c>
      <c r="O109">
        <v>300</v>
      </c>
      <c r="P109">
        <v>330</v>
      </c>
      <c r="Q109">
        <v>1130</v>
      </c>
      <c r="R109" s="15">
        <v>44667</v>
      </c>
      <c r="S109" t="s">
        <v>32</v>
      </c>
      <c r="T109" t="s">
        <v>29</v>
      </c>
      <c r="U109">
        <v>1272842</v>
      </c>
    </row>
    <row r="110" spans="1:21" ht="14.25" customHeight="1" x14ac:dyDescent="0.35">
      <c r="A110" t="s">
        <v>478</v>
      </c>
      <c r="B110" t="s">
        <v>479</v>
      </c>
      <c r="C110" t="s">
        <v>23</v>
      </c>
      <c r="D110" t="s">
        <v>65</v>
      </c>
      <c r="E110" t="s">
        <v>124</v>
      </c>
      <c r="F110" t="s">
        <v>480</v>
      </c>
      <c r="G110" t="s">
        <v>481</v>
      </c>
      <c r="H110" t="s">
        <v>38</v>
      </c>
      <c r="I110" t="s">
        <v>31</v>
      </c>
      <c r="J110" t="s">
        <v>38</v>
      </c>
      <c r="K110" t="s">
        <v>31</v>
      </c>
      <c r="L110" t="s">
        <v>38</v>
      </c>
      <c r="M110" t="s">
        <v>31</v>
      </c>
      <c r="N110">
        <v>210</v>
      </c>
      <c r="O110">
        <v>201</v>
      </c>
      <c r="P110">
        <v>205</v>
      </c>
      <c r="Q110">
        <v>616</v>
      </c>
      <c r="R110" s="15">
        <v>44723</v>
      </c>
      <c r="S110" t="s">
        <v>38</v>
      </c>
      <c r="T110" t="s">
        <v>31</v>
      </c>
      <c r="U110">
        <v>1870940</v>
      </c>
    </row>
    <row r="111" spans="1:21" ht="14.25" customHeight="1" x14ac:dyDescent="0.35">
      <c r="A111" t="s">
        <v>482</v>
      </c>
      <c r="B111" t="s">
        <v>483</v>
      </c>
      <c r="C111" t="s">
        <v>23</v>
      </c>
      <c r="D111" t="s">
        <v>65</v>
      </c>
      <c r="E111" t="s">
        <v>91</v>
      </c>
      <c r="F111" t="s">
        <v>484</v>
      </c>
      <c r="G111" t="s">
        <v>485</v>
      </c>
      <c r="H111" t="s">
        <v>28</v>
      </c>
      <c r="I111" t="s">
        <v>29</v>
      </c>
      <c r="J111" t="s">
        <v>30</v>
      </c>
      <c r="K111" t="s">
        <v>31</v>
      </c>
      <c r="L111" t="s">
        <v>30</v>
      </c>
      <c r="M111" t="s">
        <v>31</v>
      </c>
      <c r="N111">
        <v>515</v>
      </c>
      <c r="O111">
        <v>341</v>
      </c>
      <c r="P111">
        <v>305</v>
      </c>
      <c r="Q111">
        <v>1161</v>
      </c>
      <c r="R111" s="15">
        <v>44667</v>
      </c>
      <c r="S111" t="s">
        <v>32</v>
      </c>
      <c r="T111" t="s">
        <v>29</v>
      </c>
      <c r="U111">
        <v>1086222</v>
      </c>
    </row>
    <row r="112" spans="1:21" ht="14.25" customHeight="1" x14ac:dyDescent="0.35">
      <c r="A112" t="s">
        <v>486</v>
      </c>
      <c r="B112" t="s">
        <v>487</v>
      </c>
      <c r="C112" t="s">
        <v>23</v>
      </c>
      <c r="D112" t="s">
        <v>65</v>
      </c>
      <c r="E112" t="s">
        <v>124</v>
      </c>
      <c r="F112" t="s">
        <v>488</v>
      </c>
      <c r="G112" t="s">
        <v>489</v>
      </c>
      <c r="H112" t="s">
        <v>32</v>
      </c>
      <c r="I112" t="s">
        <v>29</v>
      </c>
      <c r="J112" t="s">
        <v>30</v>
      </c>
      <c r="K112" t="s">
        <v>31</v>
      </c>
      <c r="L112" t="s">
        <v>30</v>
      </c>
      <c r="M112" t="s">
        <v>31</v>
      </c>
      <c r="N112">
        <v>455</v>
      </c>
      <c r="O112">
        <v>347</v>
      </c>
      <c r="P112">
        <v>300</v>
      </c>
      <c r="Q112">
        <v>1102</v>
      </c>
      <c r="R112" s="15">
        <v>44672</v>
      </c>
      <c r="S112" t="s">
        <v>32</v>
      </c>
      <c r="T112" t="s">
        <v>29</v>
      </c>
      <c r="U112">
        <v>1776197</v>
      </c>
    </row>
    <row r="113" spans="1:21" ht="14.25" customHeight="1" x14ac:dyDescent="0.35">
      <c r="A113" t="s">
        <v>490</v>
      </c>
      <c r="B113" t="s">
        <v>491</v>
      </c>
      <c r="C113" t="s">
        <v>23</v>
      </c>
      <c r="D113" t="s">
        <v>65</v>
      </c>
      <c r="E113" t="s">
        <v>107</v>
      </c>
      <c r="F113" t="s">
        <v>492</v>
      </c>
      <c r="G113" t="s">
        <v>493</v>
      </c>
      <c r="H113" t="s">
        <v>38</v>
      </c>
      <c r="I113" t="s">
        <v>31</v>
      </c>
      <c r="J113" t="s">
        <v>38</v>
      </c>
      <c r="K113" t="s">
        <v>31</v>
      </c>
      <c r="L113" t="s">
        <v>38</v>
      </c>
      <c r="M113" t="s">
        <v>31</v>
      </c>
      <c r="N113">
        <v>205</v>
      </c>
      <c r="O113">
        <v>221</v>
      </c>
      <c r="P113">
        <v>295</v>
      </c>
      <c r="Q113">
        <v>721</v>
      </c>
      <c r="R113" s="15">
        <v>44722</v>
      </c>
      <c r="S113" t="s">
        <v>38</v>
      </c>
      <c r="T113" t="s">
        <v>31</v>
      </c>
      <c r="U113">
        <v>1722271</v>
      </c>
    </row>
    <row r="114" spans="1:21" ht="14.25" customHeight="1" x14ac:dyDescent="0.35">
      <c r="A114" t="s">
        <v>494</v>
      </c>
      <c r="B114" t="s">
        <v>495</v>
      </c>
      <c r="C114" t="s">
        <v>23</v>
      </c>
      <c r="D114" t="s">
        <v>65</v>
      </c>
      <c r="E114" t="s">
        <v>96</v>
      </c>
      <c r="F114" t="s">
        <v>496</v>
      </c>
      <c r="G114" t="s">
        <v>497</v>
      </c>
      <c r="H114" t="s">
        <v>38</v>
      </c>
      <c r="I114" t="s">
        <v>31</v>
      </c>
      <c r="J114" t="s">
        <v>30</v>
      </c>
      <c r="K114" t="s">
        <v>31</v>
      </c>
      <c r="L114" t="s">
        <v>32</v>
      </c>
      <c r="M114" t="s">
        <v>29</v>
      </c>
      <c r="N114">
        <v>222</v>
      </c>
      <c r="O114">
        <v>302</v>
      </c>
      <c r="P114">
        <v>428</v>
      </c>
      <c r="Q114">
        <v>952</v>
      </c>
      <c r="R114" s="15">
        <v>44667</v>
      </c>
      <c r="S114" t="s">
        <v>32</v>
      </c>
      <c r="T114" t="s">
        <v>29</v>
      </c>
      <c r="U114">
        <v>1584754</v>
      </c>
    </row>
    <row r="115" spans="1:21" ht="14.25" customHeight="1" x14ac:dyDescent="0.35">
      <c r="A115" t="s">
        <v>498</v>
      </c>
      <c r="B115" t="s">
        <v>499</v>
      </c>
      <c r="C115" t="s">
        <v>23</v>
      </c>
      <c r="D115" t="s">
        <v>65</v>
      </c>
      <c r="E115" t="s">
        <v>215</v>
      </c>
      <c r="F115" t="s">
        <v>500</v>
      </c>
      <c r="G115" t="s">
        <v>501</v>
      </c>
      <c r="H115" t="s">
        <v>38</v>
      </c>
      <c r="I115" t="s">
        <v>31</v>
      </c>
      <c r="J115" t="s">
        <v>38</v>
      </c>
      <c r="K115" t="s">
        <v>31</v>
      </c>
      <c r="L115" t="s">
        <v>30</v>
      </c>
      <c r="M115" t="s">
        <v>31</v>
      </c>
      <c r="N115">
        <v>225</v>
      </c>
      <c r="O115">
        <v>216</v>
      </c>
      <c r="P115">
        <v>305</v>
      </c>
      <c r="Q115">
        <v>746</v>
      </c>
      <c r="R115" s="15">
        <v>44667</v>
      </c>
      <c r="S115" t="s">
        <v>38</v>
      </c>
      <c r="T115" t="s">
        <v>31</v>
      </c>
      <c r="U115">
        <v>1541157</v>
      </c>
    </row>
    <row r="116" spans="1:21" ht="14.25" customHeight="1" x14ac:dyDescent="0.35">
      <c r="A116" t="s">
        <v>502</v>
      </c>
      <c r="B116" t="s">
        <v>503</v>
      </c>
      <c r="C116" t="s">
        <v>23</v>
      </c>
      <c r="D116" t="s">
        <v>65</v>
      </c>
      <c r="E116" t="s">
        <v>107</v>
      </c>
      <c r="F116" t="s">
        <v>504</v>
      </c>
      <c r="G116" t="s">
        <v>505</v>
      </c>
      <c r="H116" t="s">
        <v>28</v>
      </c>
      <c r="I116" t="s">
        <v>29</v>
      </c>
      <c r="J116" t="s">
        <v>30</v>
      </c>
      <c r="K116" t="s">
        <v>31</v>
      </c>
      <c r="L116" t="s">
        <v>30</v>
      </c>
      <c r="M116" t="s">
        <v>31</v>
      </c>
      <c r="N116">
        <v>500</v>
      </c>
      <c r="O116">
        <v>300</v>
      </c>
      <c r="P116">
        <v>310</v>
      </c>
      <c r="Q116">
        <v>1110</v>
      </c>
      <c r="R116" s="15">
        <v>44722</v>
      </c>
      <c r="S116" t="s">
        <v>32</v>
      </c>
      <c r="T116" t="s">
        <v>29</v>
      </c>
      <c r="U116">
        <v>1322505</v>
      </c>
    </row>
    <row r="117" spans="1:21" ht="14.25" customHeight="1" x14ac:dyDescent="0.35">
      <c r="A117" t="s">
        <v>506</v>
      </c>
      <c r="B117" t="s">
        <v>507</v>
      </c>
      <c r="C117" t="s">
        <v>23</v>
      </c>
      <c r="D117" t="s">
        <v>65</v>
      </c>
      <c r="E117" t="s">
        <v>133</v>
      </c>
      <c r="F117" t="s">
        <v>508</v>
      </c>
      <c r="G117" t="s">
        <v>509</v>
      </c>
      <c r="H117" t="s">
        <v>28</v>
      </c>
      <c r="I117" t="s">
        <v>29</v>
      </c>
      <c r="J117" t="s">
        <v>30</v>
      </c>
      <c r="K117" t="s">
        <v>31</v>
      </c>
      <c r="L117" t="s">
        <v>38</v>
      </c>
      <c r="M117" t="s">
        <v>31</v>
      </c>
      <c r="N117">
        <v>512</v>
      </c>
      <c r="O117">
        <v>303</v>
      </c>
      <c r="P117">
        <v>215</v>
      </c>
      <c r="Q117">
        <v>1030</v>
      </c>
      <c r="R117" s="15">
        <v>44722</v>
      </c>
      <c r="S117" t="s">
        <v>32</v>
      </c>
      <c r="T117" t="s">
        <v>29</v>
      </c>
      <c r="U117">
        <v>1711933</v>
      </c>
    </row>
    <row r="118" spans="1:21" ht="14.25" customHeight="1" x14ac:dyDescent="0.35">
      <c r="A118" t="s">
        <v>510</v>
      </c>
      <c r="B118" t="s">
        <v>511</v>
      </c>
      <c r="C118" t="s">
        <v>23</v>
      </c>
      <c r="D118" t="s">
        <v>65</v>
      </c>
      <c r="E118" t="s">
        <v>415</v>
      </c>
      <c r="F118" t="s">
        <v>512</v>
      </c>
      <c r="G118" t="s">
        <v>513</v>
      </c>
      <c r="H118" t="s">
        <v>28</v>
      </c>
      <c r="I118" t="s">
        <v>29</v>
      </c>
      <c r="J118" t="s">
        <v>30</v>
      </c>
      <c r="K118" t="s">
        <v>31</v>
      </c>
      <c r="L118" t="s">
        <v>30</v>
      </c>
      <c r="M118" t="s">
        <v>31</v>
      </c>
      <c r="N118">
        <v>500</v>
      </c>
      <c r="O118">
        <v>300</v>
      </c>
      <c r="P118">
        <v>300</v>
      </c>
      <c r="Q118">
        <v>1100</v>
      </c>
      <c r="R118" s="15">
        <v>44667</v>
      </c>
      <c r="S118" t="s">
        <v>32</v>
      </c>
      <c r="T118" t="s">
        <v>29</v>
      </c>
      <c r="U118">
        <v>3545</v>
      </c>
    </row>
    <row r="119" spans="1:21" ht="14.25" customHeight="1" x14ac:dyDescent="0.35">
      <c r="A119" t="s">
        <v>514</v>
      </c>
      <c r="B119" t="s">
        <v>515</v>
      </c>
      <c r="C119" t="s">
        <v>23</v>
      </c>
      <c r="D119" t="s">
        <v>65</v>
      </c>
      <c r="E119" t="s">
        <v>107</v>
      </c>
      <c r="F119" t="s">
        <v>516</v>
      </c>
      <c r="G119" t="s">
        <v>517</v>
      </c>
      <c r="H119" t="s">
        <v>38</v>
      </c>
      <c r="I119" t="s">
        <v>31</v>
      </c>
      <c r="J119" t="s">
        <v>38</v>
      </c>
      <c r="K119" t="s">
        <v>31</v>
      </c>
      <c r="L119" t="s">
        <v>38</v>
      </c>
      <c r="M119" t="s">
        <v>31</v>
      </c>
      <c r="N119">
        <v>231</v>
      </c>
      <c r="O119">
        <v>261</v>
      </c>
      <c r="P119">
        <v>235</v>
      </c>
      <c r="Q119">
        <v>727</v>
      </c>
      <c r="R119" s="15">
        <v>44667</v>
      </c>
      <c r="S119" t="s">
        <v>38</v>
      </c>
      <c r="T119" t="s">
        <v>31</v>
      </c>
      <c r="U119">
        <v>1341235</v>
      </c>
    </row>
    <row r="120" spans="1:21" ht="14.25" customHeight="1" x14ac:dyDescent="0.35">
      <c r="A120" t="s">
        <v>518</v>
      </c>
      <c r="B120" t="s">
        <v>519</v>
      </c>
      <c r="C120" t="s">
        <v>23</v>
      </c>
      <c r="D120" t="s">
        <v>65</v>
      </c>
      <c r="E120" t="s">
        <v>107</v>
      </c>
      <c r="F120" t="s">
        <v>520</v>
      </c>
      <c r="G120" t="s">
        <v>521</v>
      </c>
      <c r="H120" t="s">
        <v>38</v>
      </c>
      <c r="I120" t="s">
        <v>31</v>
      </c>
      <c r="J120" t="s">
        <v>38</v>
      </c>
      <c r="K120" t="s">
        <v>31</v>
      </c>
      <c r="L120" t="s">
        <v>30</v>
      </c>
      <c r="M120" t="s">
        <v>31</v>
      </c>
      <c r="N120">
        <v>240</v>
      </c>
      <c r="O120">
        <v>277</v>
      </c>
      <c r="P120">
        <v>300</v>
      </c>
      <c r="Q120">
        <v>817</v>
      </c>
      <c r="R120" s="15">
        <v>44722</v>
      </c>
      <c r="S120" t="s">
        <v>30</v>
      </c>
      <c r="T120" t="s">
        <v>31</v>
      </c>
      <c r="U120">
        <v>1653087</v>
      </c>
    </row>
    <row r="121" spans="1:21" ht="14.25" customHeight="1" x14ac:dyDescent="0.35">
      <c r="A121" t="s">
        <v>522</v>
      </c>
      <c r="B121" t="s">
        <v>523</v>
      </c>
      <c r="C121" t="s">
        <v>23</v>
      </c>
      <c r="D121" t="s">
        <v>65</v>
      </c>
      <c r="E121" t="s">
        <v>189</v>
      </c>
      <c r="F121" t="s">
        <v>524</v>
      </c>
      <c r="G121" t="s">
        <v>525</v>
      </c>
      <c r="H121" t="s">
        <v>28</v>
      </c>
      <c r="I121" t="s">
        <v>29</v>
      </c>
      <c r="J121" t="s">
        <v>30</v>
      </c>
      <c r="K121" t="s">
        <v>31</v>
      </c>
      <c r="L121" t="s">
        <v>38</v>
      </c>
      <c r="M121" t="s">
        <v>31</v>
      </c>
      <c r="N121">
        <v>542</v>
      </c>
      <c r="O121">
        <v>314</v>
      </c>
      <c r="P121">
        <v>250</v>
      </c>
      <c r="Q121">
        <v>1106</v>
      </c>
      <c r="R121" s="15">
        <v>44722</v>
      </c>
      <c r="S121" t="s">
        <v>32</v>
      </c>
      <c r="T121" t="s">
        <v>29</v>
      </c>
      <c r="U121">
        <v>866291</v>
      </c>
    </row>
    <row r="122" spans="1:21" ht="14.25" customHeight="1" x14ac:dyDescent="0.35">
      <c r="A122" t="s">
        <v>526</v>
      </c>
      <c r="B122" t="s">
        <v>527</v>
      </c>
      <c r="C122" t="s">
        <v>23</v>
      </c>
      <c r="D122" t="s">
        <v>65</v>
      </c>
      <c r="E122" t="s">
        <v>91</v>
      </c>
      <c r="F122" t="s">
        <v>528</v>
      </c>
      <c r="G122" t="s">
        <v>529</v>
      </c>
      <c r="H122" t="s">
        <v>38</v>
      </c>
      <c r="I122" t="s">
        <v>31</v>
      </c>
      <c r="J122" t="s">
        <v>38</v>
      </c>
      <c r="K122" t="s">
        <v>31</v>
      </c>
      <c r="L122" t="s">
        <v>30</v>
      </c>
      <c r="M122" t="s">
        <v>31</v>
      </c>
      <c r="N122">
        <v>225</v>
      </c>
      <c r="O122">
        <v>260</v>
      </c>
      <c r="P122">
        <v>315</v>
      </c>
      <c r="Q122">
        <v>800</v>
      </c>
      <c r="R122" s="15">
        <v>44723</v>
      </c>
      <c r="S122" t="s">
        <v>30</v>
      </c>
      <c r="T122" t="s">
        <v>31</v>
      </c>
      <c r="U122">
        <v>1833908</v>
      </c>
    </row>
    <row r="123" spans="1:21" ht="14.25" customHeight="1" x14ac:dyDescent="0.35">
      <c r="A123" t="s">
        <v>530</v>
      </c>
      <c r="B123" t="s">
        <v>531</v>
      </c>
      <c r="C123" t="s">
        <v>23</v>
      </c>
      <c r="D123" t="s">
        <v>65</v>
      </c>
      <c r="E123" t="s">
        <v>124</v>
      </c>
      <c r="F123" t="s">
        <v>532</v>
      </c>
      <c r="G123" t="s">
        <v>533</v>
      </c>
      <c r="H123" t="s">
        <v>38</v>
      </c>
      <c r="I123" t="s">
        <v>31</v>
      </c>
      <c r="J123" t="s">
        <v>38</v>
      </c>
      <c r="K123" t="s">
        <v>31</v>
      </c>
      <c r="L123" t="s">
        <v>38</v>
      </c>
      <c r="M123" t="s">
        <v>31</v>
      </c>
      <c r="N123">
        <v>235</v>
      </c>
      <c r="O123">
        <v>285</v>
      </c>
      <c r="P123">
        <v>255</v>
      </c>
      <c r="Q123">
        <v>775</v>
      </c>
      <c r="R123" s="15">
        <v>44667</v>
      </c>
      <c r="S123" t="s">
        <v>30</v>
      </c>
      <c r="T123" t="s">
        <v>31</v>
      </c>
      <c r="U123">
        <v>1097149</v>
      </c>
    </row>
    <row r="124" spans="1:21" ht="14.25" customHeight="1" x14ac:dyDescent="0.35">
      <c r="A124" t="s">
        <v>534</v>
      </c>
      <c r="B124" t="s">
        <v>535</v>
      </c>
      <c r="C124" t="s">
        <v>23</v>
      </c>
      <c r="D124" t="s">
        <v>65</v>
      </c>
      <c r="E124" t="s">
        <v>107</v>
      </c>
      <c r="F124" t="s">
        <v>536</v>
      </c>
      <c r="G124" t="s">
        <v>537</v>
      </c>
      <c r="H124" t="s">
        <v>38</v>
      </c>
      <c r="I124" t="s">
        <v>31</v>
      </c>
      <c r="J124" t="s">
        <v>38</v>
      </c>
      <c r="K124" t="s">
        <v>31</v>
      </c>
      <c r="L124" t="s">
        <v>38</v>
      </c>
      <c r="M124" t="s">
        <v>31</v>
      </c>
      <c r="N124">
        <v>210</v>
      </c>
      <c r="O124">
        <v>222</v>
      </c>
      <c r="P124">
        <v>235</v>
      </c>
      <c r="Q124">
        <v>667</v>
      </c>
      <c r="R124" s="15">
        <v>44722</v>
      </c>
      <c r="S124" t="s">
        <v>38</v>
      </c>
      <c r="T124" t="s">
        <v>31</v>
      </c>
      <c r="U124">
        <v>1799448</v>
      </c>
    </row>
    <row r="125" spans="1:21" ht="14.25" customHeight="1" x14ac:dyDescent="0.35">
      <c r="A125" t="s">
        <v>538</v>
      </c>
      <c r="B125" t="s">
        <v>539</v>
      </c>
      <c r="C125" t="s">
        <v>23</v>
      </c>
      <c r="D125" t="s">
        <v>65</v>
      </c>
      <c r="E125" t="s">
        <v>104</v>
      </c>
      <c r="F125" t="s">
        <v>540</v>
      </c>
      <c r="G125" t="s">
        <v>541</v>
      </c>
      <c r="H125" t="s">
        <v>38</v>
      </c>
      <c r="I125" t="s">
        <v>31</v>
      </c>
      <c r="J125" t="s">
        <v>30</v>
      </c>
      <c r="K125" t="s">
        <v>31</v>
      </c>
      <c r="L125" t="s">
        <v>38</v>
      </c>
      <c r="M125" t="s">
        <v>31</v>
      </c>
      <c r="N125">
        <v>210</v>
      </c>
      <c r="O125">
        <v>302</v>
      </c>
      <c r="P125">
        <v>256</v>
      </c>
      <c r="Q125">
        <v>768</v>
      </c>
      <c r="R125" s="15">
        <v>44722</v>
      </c>
      <c r="S125" t="s">
        <v>30</v>
      </c>
      <c r="T125" t="s">
        <v>31</v>
      </c>
      <c r="U125">
        <v>1832466</v>
      </c>
    </row>
    <row r="126" spans="1:21" ht="14.25" customHeight="1" x14ac:dyDescent="0.35">
      <c r="A126" t="s">
        <v>542</v>
      </c>
      <c r="B126" t="s">
        <v>543</v>
      </c>
      <c r="C126" t="s">
        <v>23</v>
      </c>
      <c r="D126" t="s">
        <v>65</v>
      </c>
      <c r="E126" t="s">
        <v>107</v>
      </c>
      <c r="F126" t="s">
        <v>544</v>
      </c>
      <c r="G126" t="s">
        <v>545</v>
      </c>
      <c r="H126" t="s">
        <v>32</v>
      </c>
      <c r="I126" t="s">
        <v>29</v>
      </c>
      <c r="J126" t="s">
        <v>30</v>
      </c>
      <c r="K126" t="s">
        <v>31</v>
      </c>
      <c r="L126" t="s">
        <v>30</v>
      </c>
      <c r="M126" t="s">
        <v>31</v>
      </c>
      <c r="N126">
        <v>415</v>
      </c>
      <c r="O126">
        <v>302</v>
      </c>
      <c r="P126">
        <v>333</v>
      </c>
      <c r="Q126">
        <v>1050</v>
      </c>
      <c r="R126" s="15">
        <v>44667</v>
      </c>
      <c r="S126" t="s">
        <v>32</v>
      </c>
      <c r="T126" t="s">
        <v>29</v>
      </c>
      <c r="U126">
        <v>1520262</v>
      </c>
    </row>
    <row r="127" spans="1:21" ht="14.25" customHeight="1" x14ac:dyDescent="0.35">
      <c r="A127" t="s">
        <v>546</v>
      </c>
      <c r="B127" t="s">
        <v>547</v>
      </c>
      <c r="C127" t="s">
        <v>23</v>
      </c>
      <c r="D127" t="s">
        <v>65</v>
      </c>
      <c r="E127" t="s">
        <v>215</v>
      </c>
      <c r="F127" t="s">
        <v>548</v>
      </c>
      <c r="G127" t="s">
        <v>549</v>
      </c>
      <c r="H127" t="s">
        <v>38</v>
      </c>
      <c r="I127" t="s">
        <v>31</v>
      </c>
      <c r="J127" t="s">
        <v>38</v>
      </c>
      <c r="K127" t="s">
        <v>31</v>
      </c>
      <c r="L127" t="s">
        <v>38</v>
      </c>
      <c r="M127" t="s">
        <v>31</v>
      </c>
      <c r="N127">
        <v>220</v>
      </c>
      <c r="O127">
        <v>228</v>
      </c>
      <c r="P127">
        <v>243</v>
      </c>
      <c r="Q127">
        <v>691</v>
      </c>
      <c r="R127" s="15">
        <v>44667</v>
      </c>
      <c r="S127" t="s">
        <v>38</v>
      </c>
      <c r="T127" t="s">
        <v>31</v>
      </c>
      <c r="U127">
        <v>1267602</v>
      </c>
    </row>
    <row r="128" spans="1:21" ht="14.25" customHeight="1" x14ac:dyDescent="0.35">
      <c r="A128" t="s">
        <v>550</v>
      </c>
      <c r="B128" t="s">
        <v>551</v>
      </c>
      <c r="C128" t="s">
        <v>23</v>
      </c>
      <c r="D128" t="s">
        <v>65</v>
      </c>
      <c r="E128" t="s">
        <v>71</v>
      </c>
      <c r="F128" t="s">
        <v>552</v>
      </c>
      <c r="G128" t="s">
        <v>553</v>
      </c>
      <c r="H128" t="s">
        <v>38</v>
      </c>
      <c r="I128" t="s">
        <v>31</v>
      </c>
      <c r="J128" t="s">
        <v>38</v>
      </c>
      <c r="K128" t="s">
        <v>31</v>
      </c>
      <c r="L128" t="s">
        <v>38</v>
      </c>
      <c r="M128" t="s">
        <v>31</v>
      </c>
      <c r="N128">
        <v>287</v>
      </c>
      <c r="O128">
        <v>208</v>
      </c>
      <c r="P128">
        <v>248</v>
      </c>
      <c r="Q128">
        <v>743</v>
      </c>
      <c r="R128" s="15">
        <v>44667</v>
      </c>
      <c r="S128" t="s">
        <v>38</v>
      </c>
      <c r="T128" t="s">
        <v>31</v>
      </c>
      <c r="U128">
        <v>1362468</v>
      </c>
    </row>
    <row r="129" spans="1:21" ht="14.25" customHeight="1" x14ac:dyDescent="0.35">
      <c r="A129" t="s">
        <v>554</v>
      </c>
      <c r="B129" t="s">
        <v>555</v>
      </c>
      <c r="C129" t="s">
        <v>64</v>
      </c>
      <c r="D129" t="s">
        <v>65</v>
      </c>
      <c r="E129" t="s">
        <v>124</v>
      </c>
      <c r="F129" t="s">
        <v>556</v>
      </c>
      <c r="G129" t="s">
        <v>557</v>
      </c>
      <c r="H129" t="s">
        <v>38</v>
      </c>
      <c r="I129" t="s">
        <v>31</v>
      </c>
      <c r="J129" t="s">
        <v>38</v>
      </c>
      <c r="K129" t="s">
        <v>31</v>
      </c>
      <c r="L129" t="s">
        <v>30</v>
      </c>
      <c r="M129" t="s">
        <v>31</v>
      </c>
      <c r="N129">
        <v>220</v>
      </c>
      <c r="O129">
        <v>250</v>
      </c>
      <c r="P129">
        <v>300</v>
      </c>
      <c r="Q129">
        <v>770</v>
      </c>
      <c r="R129" s="15">
        <v>44722</v>
      </c>
      <c r="S129" t="s">
        <v>30</v>
      </c>
      <c r="T129" t="s">
        <v>31</v>
      </c>
      <c r="U129">
        <v>1757143</v>
      </c>
    </row>
    <row r="130" spans="1:21" ht="14.25" customHeight="1" x14ac:dyDescent="0.35">
      <c r="A130" t="s">
        <v>558</v>
      </c>
      <c r="B130" t="s">
        <v>559</v>
      </c>
      <c r="C130" t="s">
        <v>23</v>
      </c>
      <c r="D130" t="s">
        <v>65</v>
      </c>
      <c r="E130" t="s">
        <v>91</v>
      </c>
      <c r="F130" t="s">
        <v>560</v>
      </c>
      <c r="G130" t="s">
        <v>561</v>
      </c>
      <c r="H130" t="s">
        <v>38</v>
      </c>
      <c r="I130" t="s">
        <v>31</v>
      </c>
      <c r="J130" t="s">
        <v>30</v>
      </c>
      <c r="K130" t="s">
        <v>31</v>
      </c>
      <c r="L130" t="s">
        <v>38</v>
      </c>
      <c r="M130" t="s">
        <v>31</v>
      </c>
      <c r="N130">
        <v>280</v>
      </c>
      <c r="O130">
        <v>305</v>
      </c>
      <c r="P130">
        <v>260</v>
      </c>
      <c r="Q130">
        <v>845</v>
      </c>
      <c r="R130" s="15">
        <v>44722</v>
      </c>
      <c r="S130" t="s">
        <v>30</v>
      </c>
      <c r="T130" t="s">
        <v>31</v>
      </c>
      <c r="U130">
        <v>1529274</v>
      </c>
    </row>
    <row r="131" spans="1:21" ht="14.25" customHeight="1" x14ac:dyDescent="0.35">
      <c r="A131" t="s">
        <v>562</v>
      </c>
      <c r="B131" t="s">
        <v>563</v>
      </c>
      <c r="C131" t="s">
        <v>23</v>
      </c>
      <c r="D131" t="s">
        <v>65</v>
      </c>
      <c r="E131" t="s">
        <v>107</v>
      </c>
      <c r="F131" t="s">
        <v>564</v>
      </c>
      <c r="G131" t="s">
        <v>565</v>
      </c>
      <c r="H131" t="s">
        <v>30</v>
      </c>
      <c r="I131" t="s">
        <v>31</v>
      </c>
      <c r="J131" t="s">
        <v>30</v>
      </c>
      <c r="K131" t="s">
        <v>31</v>
      </c>
      <c r="L131" t="s">
        <v>30</v>
      </c>
      <c r="M131" t="s">
        <v>31</v>
      </c>
      <c r="N131">
        <v>331</v>
      </c>
      <c r="O131">
        <v>346</v>
      </c>
      <c r="P131">
        <v>325</v>
      </c>
      <c r="Q131">
        <v>1002</v>
      </c>
      <c r="R131" s="15">
        <v>44667</v>
      </c>
      <c r="S131" t="s">
        <v>32</v>
      </c>
      <c r="T131" t="s">
        <v>29</v>
      </c>
      <c r="U131">
        <v>1178670</v>
      </c>
    </row>
    <row r="132" spans="1:21" ht="14.25" customHeight="1" x14ac:dyDescent="0.35">
      <c r="A132" t="s">
        <v>566</v>
      </c>
      <c r="B132" t="s">
        <v>567</v>
      </c>
      <c r="C132" t="s">
        <v>23</v>
      </c>
      <c r="D132" t="s">
        <v>65</v>
      </c>
      <c r="E132" t="s">
        <v>91</v>
      </c>
      <c r="F132" t="s">
        <v>568</v>
      </c>
      <c r="G132" t="s">
        <v>569</v>
      </c>
      <c r="H132" t="s">
        <v>28</v>
      </c>
      <c r="I132" t="s">
        <v>29</v>
      </c>
      <c r="J132" t="s">
        <v>30</v>
      </c>
      <c r="K132" t="s">
        <v>31</v>
      </c>
      <c r="L132" t="s">
        <v>30</v>
      </c>
      <c r="M132" t="s">
        <v>31</v>
      </c>
      <c r="N132">
        <v>508</v>
      </c>
      <c r="O132">
        <v>324</v>
      </c>
      <c r="P132">
        <v>310</v>
      </c>
      <c r="Q132">
        <v>1142</v>
      </c>
      <c r="R132" s="15">
        <v>44667</v>
      </c>
      <c r="S132" t="s">
        <v>32</v>
      </c>
      <c r="T132" t="s">
        <v>29</v>
      </c>
      <c r="U132">
        <v>1365767</v>
      </c>
    </row>
    <row r="133" spans="1:21" ht="14.25" customHeight="1" x14ac:dyDescent="0.35">
      <c r="A133" t="s">
        <v>570</v>
      </c>
      <c r="B133" t="s">
        <v>571</v>
      </c>
      <c r="C133" t="s">
        <v>23</v>
      </c>
      <c r="D133" t="s">
        <v>65</v>
      </c>
      <c r="E133" t="s">
        <v>107</v>
      </c>
      <c r="F133" t="s">
        <v>572</v>
      </c>
      <c r="G133" t="s">
        <v>573</v>
      </c>
      <c r="H133" t="s">
        <v>28</v>
      </c>
      <c r="I133" t="s">
        <v>29</v>
      </c>
      <c r="J133" t="s">
        <v>30</v>
      </c>
      <c r="K133" t="s">
        <v>31</v>
      </c>
      <c r="L133" t="s">
        <v>30</v>
      </c>
      <c r="M133" t="s">
        <v>31</v>
      </c>
      <c r="N133">
        <v>535</v>
      </c>
      <c r="O133">
        <v>324</v>
      </c>
      <c r="P133">
        <v>305</v>
      </c>
      <c r="Q133">
        <v>1164</v>
      </c>
      <c r="R133" s="15">
        <v>44722</v>
      </c>
      <c r="S133" t="s">
        <v>32</v>
      </c>
      <c r="T133" t="s">
        <v>29</v>
      </c>
      <c r="U133">
        <v>1737287</v>
      </c>
    </row>
    <row r="134" spans="1:21" ht="14.25" customHeight="1" x14ac:dyDescent="0.35">
      <c r="A134" t="s">
        <v>574</v>
      </c>
      <c r="B134" t="s">
        <v>575</v>
      </c>
      <c r="C134" t="s">
        <v>23</v>
      </c>
      <c r="D134" t="s">
        <v>65</v>
      </c>
      <c r="E134" t="s">
        <v>189</v>
      </c>
      <c r="F134" t="s">
        <v>576</v>
      </c>
      <c r="G134" t="s">
        <v>577</v>
      </c>
      <c r="H134" t="s">
        <v>28</v>
      </c>
      <c r="I134" t="s">
        <v>29</v>
      </c>
      <c r="J134" t="s">
        <v>30</v>
      </c>
      <c r="K134" t="s">
        <v>31</v>
      </c>
      <c r="L134" t="s">
        <v>30</v>
      </c>
      <c r="M134" t="s">
        <v>31</v>
      </c>
      <c r="N134">
        <v>525</v>
      </c>
      <c r="O134">
        <v>317</v>
      </c>
      <c r="P134">
        <v>300</v>
      </c>
      <c r="Q134">
        <v>1142</v>
      </c>
      <c r="R134" s="15">
        <v>44667</v>
      </c>
      <c r="S134" t="s">
        <v>32</v>
      </c>
      <c r="T134" t="s">
        <v>29</v>
      </c>
      <c r="U134">
        <v>6951</v>
      </c>
    </row>
    <row r="135" spans="1:21" ht="14.25" customHeight="1" x14ac:dyDescent="0.35">
      <c r="A135" t="s">
        <v>578</v>
      </c>
      <c r="B135" t="s">
        <v>579</v>
      </c>
      <c r="C135" t="s">
        <v>23</v>
      </c>
      <c r="D135" t="s">
        <v>65</v>
      </c>
      <c r="E135" t="s">
        <v>189</v>
      </c>
      <c r="F135" t="s">
        <v>580</v>
      </c>
      <c r="G135" t="s">
        <v>581</v>
      </c>
      <c r="H135" t="s">
        <v>38</v>
      </c>
      <c r="I135" t="s">
        <v>31</v>
      </c>
      <c r="J135" t="s">
        <v>38</v>
      </c>
      <c r="K135" t="s">
        <v>31</v>
      </c>
      <c r="L135" t="s">
        <v>38</v>
      </c>
      <c r="M135" t="s">
        <v>31</v>
      </c>
      <c r="N135">
        <v>200</v>
      </c>
      <c r="O135">
        <v>208</v>
      </c>
      <c r="P135">
        <v>200</v>
      </c>
      <c r="Q135">
        <v>608</v>
      </c>
      <c r="R135" s="15">
        <v>44667</v>
      </c>
      <c r="S135" t="s">
        <v>38</v>
      </c>
      <c r="T135" t="s">
        <v>31</v>
      </c>
      <c r="U135">
        <v>2488</v>
      </c>
    </row>
    <row r="136" spans="1:21" ht="14.25" customHeight="1" x14ac:dyDescent="0.35">
      <c r="A136" t="s">
        <v>582</v>
      </c>
      <c r="B136" t="s">
        <v>583</v>
      </c>
      <c r="C136" t="s">
        <v>23</v>
      </c>
      <c r="D136" t="s">
        <v>65</v>
      </c>
      <c r="E136" t="s">
        <v>25</v>
      </c>
      <c r="F136" t="s">
        <v>584</v>
      </c>
      <c r="G136" t="s">
        <v>585</v>
      </c>
      <c r="H136" t="s">
        <v>38</v>
      </c>
      <c r="I136" t="s">
        <v>31</v>
      </c>
      <c r="J136" t="s">
        <v>30</v>
      </c>
      <c r="K136" t="s">
        <v>31</v>
      </c>
      <c r="L136" t="s">
        <v>30</v>
      </c>
      <c r="M136" t="s">
        <v>31</v>
      </c>
      <c r="N136">
        <v>280</v>
      </c>
      <c r="O136">
        <v>347</v>
      </c>
      <c r="P136">
        <v>330</v>
      </c>
      <c r="Q136">
        <v>957</v>
      </c>
      <c r="R136" s="15">
        <v>44667</v>
      </c>
      <c r="S136" t="s">
        <v>32</v>
      </c>
      <c r="T136" t="s">
        <v>29</v>
      </c>
      <c r="U136">
        <v>718877</v>
      </c>
    </row>
    <row r="137" spans="1:21" ht="14.25" customHeight="1" x14ac:dyDescent="0.35">
      <c r="A137" t="s">
        <v>586</v>
      </c>
      <c r="B137" t="s">
        <v>587</v>
      </c>
      <c r="C137" t="s">
        <v>23</v>
      </c>
      <c r="D137" t="s">
        <v>65</v>
      </c>
      <c r="E137" t="s">
        <v>189</v>
      </c>
      <c r="F137" t="s">
        <v>588</v>
      </c>
      <c r="G137" t="s">
        <v>589</v>
      </c>
      <c r="H137" t="s">
        <v>38</v>
      </c>
      <c r="I137" t="s">
        <v>31</v>
      </c>
      <c r="J137" t="s">
        <v>38</v>
      </c>
      <c r="K137" t="s">
        <v>31</v>
      </c>
      <c r="L137" t="s">
        <v>38</v>
      </c>
      <c r="M137" t="s">
        <v>31</v>
      </c>
      <c r="N137">
        <v>210</v>
      </c>
      <c r="O137">
        <v>212</v>
      </c>
      <c r="P137">
        <v>200</v>
      </c>
      <c r="Q137">
        <v>622</v>
      </c>
      <c r="R137" s="15">
        <v>44667</v>
      </c>
      <c r="S137" t="s">
        <v>38</v>
      </c>
      <c r="T137" t="s">
        <v>31</v>
      </c>
      <c r="U137">
        <v>1730168</v>
      </c>
    </row>
    <row r="138" spans="1:21" ht="14.25" customHeight="1" x14ac:dyDescent="0.35">
      <c r="A138" t="s">
        <v>590</v>
      </c>
      <c r="B138" t="s">
        <v>591</v>
      </c>
      <c r="C138" t="s">
        <v>23</v>
      </c>
      <c r="D138" t="s">
        <v>65</v>
      </c>
      <c r="E138" t="s">
        <v>91</v>
      </c>
      <c r="F138" t="s">
        <v>592</v>
      </c>
      <c r="G138" t="s">
        <v>593</v>
      </c>
      <c r="H138" t="s">
        <v>28</v>
      </c>
      <c r="I138" t="s">
        <v>29</v>
      </c>
      <c r="J138" t="s">
        <v>30</v>
      </c>
      <c r="K138" t="s">
        <v>31</v>
      </c>
      <c r="L138" t="s">
        <v>38</v>
      </c>
      <c r="M138" t="s">
        <v>31</v>
      </c>
      <c r="N138">
        <v>580</v>
      </c>
      <c r="O138">
        <v>337</v>
      </c>
      <c r="P138">
        <v>285</v>
      </c>
      <c r="Q138">
        <v>1202</v>
      </c>
      <c r="R138" s="15">
        <v>44667</v>
      </c>
      <c r="S138" t="s">
        <v>28</v>
      </c>
      <c r="T138" t="s">
        <v>29</v>
      </c>
      <c r="U138">
        <v>1013462</v>
      </c>
    </row>
    <row r="139" spans="1:21" ht="14.25" customHeight="1" x14ac:dyDescent="0.35">
      <c r="A139" t="s">
        <v>594</v>
      </c>
      <c r="B139" t="s">
        <v>595</v>
      </c>
      <c r="C139" t="s">
        <v>23</v>
      </c>
      <c r="D139" t="s">
        <v>65</v>
      </c>
      <c r="E139" t="s">
        <v>596</v>
      </c>
      <c r="F139" t="s">
        <v>597</v>
      </c>
      <c r="G139" t="s">
        <v>598</v>
      </c>
      <c r="H139" t="s">
        <v>599</v>
      </c>
      <c r="I139" t="s">
        <v>600</v>
      </c>
      <c r="J139" t="s">
        <v>30</v>
      </c>
      <c r="K139" t="s">
        <v>31</v>
      </c>
      <c r="L139" t="s">
        <v>32</v>
      </c>
      <c r="M139" t="s">
        <v>29</v>
      </c>
      <c r="N139">
        <v>668</v>
      </c>
      <c r="O139">
        <v>305</v>
      </c>
      <c r="P139">
        <v>460</v>
      </c>
      <c r="Q139">
        <v>1433</v>
      </c>
      <c r="R139" s="15">
        <v>44667</v>
      </c>
      <c r="S139" t="s">
        <v>28</v>
      </c>
      <c r="T139" t="s">
        <v>29</v>
      </c>
      <c r="U139">
        <v>1018724</v>
      </c>
    </row>
    <row r="140" spans="1:21" ht="14.25" customHeight="1" x14ac:dyDescent="0.35">
      <c r="A140" t="s">
        <v>601</v>
      </c>
      <c r="B140" t="s">
        <v>602</v>
      </c>
      <c r="C140" t="s">
        <v>23</v>
      </c>
      <c r="D140" t="s">
        <v>65</v>
      </c>
      <c r="E140" t="s">
        <v>224</v>
      </c>
      <c r="F140" t="s">
        <v>603</v>
      </c>
      <c r="G140" t="s">
        <v>604</v>
      </c>
      <c r="H140" t="s">
        <v>38</v>
      </c>
      <c r="I140" t="s">
        <v>31</v>
      </c>
      <c r="J140" t="s">
        <v>38</v>
      </c>
      <c r="K140" t="s">
        <v>31</v>
      </c>
      <c r="L140" t="s">
        <v>38</v>
      </c>
      <c r="M140" t="s">
        <v>31</v>
      </c>
      <c r="N140">
        <v>220</v>
      </c>
      <c r="O140">
        <v>203</v>
      </c>
      <c r="P140">
        <v>200</v>
      </c>
      <c r="Q140">
        <v>623</v>
      </c>
      <c r="R140" s="15">
        <v>44722</v>
      </c>
      <c r="S140" t="s">
        <v>38</v>
      </c>
      <c r="T140" t="s">
        <v>31</v>
      </c>
      <c r="U140">
        <v>1711012</v>
      </c>
    </row>
    <row r="141" spans="1:21" ht="14.25" customHeight="1" x14ac:dyDescent="0.35">
      <c r="A141" t="s">
        <v>605</v>
      </c>
      <c r="B141" t="s">
        <v>606</v>
      </c>
      <c r="C141" t="s">
        <v>23</v>
      </c>
      <c r="D141" t="s">
        <v>65</v>
      </c>
      <c r="E141" t="s">
        <v>607</v>
      </c>
      <c r="F141" t="s">
        <v>608</v>
      </c>
      <c r="G141" t="s">
        <v>609</v>
      </c>
      <c r="H141" t="s">
        <v>28</v>
      </c>
      <c r="I141" t="s">
        <v>29</v>
      </c>
      <c r="J141" t="s">
        <v>30</v>
      </c>
      <c r="K141" t="s">
        <v>31</v>
      </c>
      <c r="L141" t="s">
        <v>30</v>
      </c>
      <c r="M141" t="s">
        <v>31</v>
      </c>
      <c r="N141">
        <v>510</v>
      </c>
      <c r="O141">
        <v>316</v>
      </c>
      <c r="P141">
        <v>325</v>
      </c>
      <c r="Q141">
        <v>1151</v>
      </c>
      <c r="R141" s="15">
        <v>44667</v>
      </c>
      <c r="S141" t="s">
        <v>32</v>
      </c>
      <c r="T141" t="s">
        <v>29</v>
      </c>
      <c r="U141">
        <v>1841666</v>
      </c>
    </row>
    <row r="142" spans="1:21" ht="14.25" customHeight="1" x14ac:dyDescent="0.35">
      <c r="A142" t="s">
        <v>610</v>
      </c>
      <c r="B142" t="s">
        <v>611</v>
      </c>
      <c r="C142" t="s">
        <v>23</v>
      </c>
      <c r="D142" t="s">
        <v>65</v>
      </c>
      <c r="E142" t="s">
        <v>107</v>
      </c>
      <c r="F142" t="s">
        <v>612</v>
      </c>
      <c r="G142" t="s">
        <v>613</v>
      </c>
      <c r="H142" t="s">
        <v>30</v>
      </c>
      <c r="I142" t="s">
        <v>31</v>
      </c>
      <c r="J142" t="s">
        <v>30</v>
      </c>
      <c r="K142" t="s">
        <v>31</v>
      </c>
      <c r="L142" t="s">
        <v>30</v>
      </c>
      <c r="M142" t="s">
        <v>31</v>
      </c>
      <c r="N142">
        <v>380</v>
      </c>
      <c r="O142">
        <v>303</v>
      </c>
      <c r="P142">
        <v>364</v>
      </c>
      <c r="Q142">
        <v>1047</v>
      </c>
      <c r="R142" s="15">
        <v>44667</v>
      </c>
      <c r="S142" t="s">
        <v>32</v>
      </c>
      <c r="T142" t="s">
        <v>29</v>
      </c>
      <c r="U142">
        <v>875045</v>
      </c>
    </row>
    <row r="143" spans="1:21" ht="14.25" customHeight="1" x14ac:dyDescent="0.35">
      <c r="A143" t="s">
        <v>614</v>
      </c>
      <c r="B143" t="s">
        <v>615</v>
      </c>
      <c r="C143" t="s">
        <v>23</v>
      </c>
      <c r="D143" t="s">
        <v>65</v>
      </c>
      <c r="E143" t="s">
        <v>55</v>
      </c>
      <c r="F143" t="s">
        <v>616</v>
      </c>
      <c r="G143" t="s">
        <v>617</v>
      </c>
      <c r="H143" t="s">
        <v>28</v>
      </c>
      <c r="I143" t="s">
        <v>29</v>
      </c>
      <c r="J143" t="s">
        <v>30</v>
      </c>
      <c r="K143" t="s">
        <v>31</v>
      </c>
      <c r="L143" t="s">
        <v>30</v>
      </c>
      <c r="M143" t="s">
        <v>31</v>
      </c>
      <c r="N143">
        <v>558</v>
      </c>
      <c r="O143">
        <v>306</v>
      </c>
      <c r="P143">
        <v>310</v>
      </c>
      <c r="Q143">
        <v>1174</v>
      </c>
      <c r="R143" s="15">
        <v>44722</v>
      </c>
      <c r="S143" t="s">
        <v>32</v>
      </c>
      <c r="T143" t="s">
        <v>29</v>
      </c>
      <c r="U143">
        <v>1075531</v>
      </c>
    </row>
    <row r="144" spans="1:21" ht="14.25" customHeight="1" x14ac:dyDescent="0.35">
      <c r="A144" t="s">
        <v>618</v>
      </c>
      <c r="B144" t="s">
        <v>619</v>
      </c>
      <c r="C144" t="s">
        <v>23</v>
      </c>
      <c r="D144" t="s">
        <v>65</v>
      </c>
      <c r="E144" t="s">
        <v>91</v>
      </c>
      <c r="F144" t="s">
        <v>620</v>
      </c>
      <c r="G144" t="s">
        <v>621</v>
      </c>
      <c r="H144" t="s">
        <v>28</v>
      </c>
      <c r="I144" t="s">
        <v>29</v>
      </c>
      <c r="J144" t="s">
        <v>30</v>
      </c>
      <c r="K144" t="s">
        <v>31</v>
      </c>
      <c r="L144" t="s">
        <v>38</v>
      </c>
      <c r="M144" t="s">
        <v>31</v>
      </c>
      <c r="N144">
        <v>500</v>
      </c>
      <c r="O144">
        <v>308</v>
      </c>
      <c r="P144">
        <v>295</v>
      </c>
      <c r="Q144">
        <v>1103</v>
      </c>
      <c r="R144" s="15">
        <v>44667</v>
      </c>
      <c r="S144" t="s">
        <v>32</v>
      </c>
      <c r="T144" t="s">
        <v>29</v>
      </c>
      <c r="U144">
        <v>813672</v>
      </c>
    </row>
    <row r="145" spans="1:21" ht="14.25" customHeight="1" x14ac:dyDescent="0.35">
      <c r="A145" t="s">
        <v>622</v>
      </c>
      <c r="B145" t="s">
        <v>623</v>
      </c>
      <c r="C145" t="s">
        <v>23</v>
      </c>
      <c r="D145" t="s">
        <v>65</v>
      </c>
      <c r="E145" t="s">
        <v>96</v>
      </c>
      <c r="F145" t="s">
        <v>624</v>
      </c>
      <c r="G145" t="s">
        <v>625</v>
      </c>
      <c r="H145" t="s">
        <v>38</v>
      </c>
      <c r="I145" t="s">
        <v>31</v>
      </c>
      <c r="J145" t="s">
        <v>38</v>
      </c>
      <c r="K145" t="s">
        <v>31</v>
      </c>
      <c r="L145" t="s">
        <v>38</v>
      </c>
      <c r="M145" t="s">
        <v>31</v>
      </c>
      <c r="N145">
        <v>225</v>
      </c>
      <c r="O145">
        <v>209</v>
      </c>
      <c r="P145">
        <v>200</v>
      </c>
      <c r="Q145">
        <v>634</v>
      </c>
      <c r="R145" s="15">
        <v>44667</v>
      </c>
      <c r="S145" t="s">
        <v>38</v>
      </c>
      <c r="T145" t="s">
        <v>31</v>
      </c>
      <c r="U145">
        <v>1402057</v>
      </c>
    </row>
    <row r="146" spans="1:21" ht="14.25" customHeight="1" x14ac:dyDescent="0.35">
      <c r="A146" t="s">
        <v>626</v>
      </c>
      <c r="B146" t="s">
        <v>627</v>
      </c>
      <c r="C146" t="s">
        <v>23</v>
      </c>
      <c r="D146" t="s">
        <v>65</v>
      </c>
      <c r="E146" t="s">
        <v>99</v>
      </c>
      <c r="F146" t="s">
        <v>628</v>
      </c>
      <c r="G146" t="s">
        <v>629</v>
      </c>
      <c r="H146" t="s">
        <v>28</v>
      </c>
      <c r="I146" t="s">
        <v>29</v>
      </c>
      <c r="J146" t="s">
        <v>30</v>
      </c>
      <c r="K146" t="s">
        <v>31</v>
      </c>
      <c r="L146" t="s">
        <v>30</v>
      </c>
      <c r="M146" t="s">
        <v>31</v>
      </c>
      <c r="N146">
        <v>575</v>
      </c>
      <c r="O146">
        <v>330</v>
      </c>
      <c r="P146">
        <v>338</v>
      </c>
      <c r="Q146">
        <v>1243</v>
      </c>
      <c r="R146" s="15">
        <v>44667</v>
      </c>
      <c r="S146" t="s">
        <v>28</v>
      </c>
      <c r="T146" t="s">
        <v>29</v>
      </c>
      <c r="U146">
        <v>1043277</v>
      </c>
    </row>
    <row r="147" spans="1:21" ht="14.25" customHeight="1" x14ac:dyDescent="0.35">
      <c r="A147" t="s">
        <v>630</v>
      </c>
      <c r="B147" t="s">
        <v>631</v>
      </c>
      <c r="C147" t="s">
        <v>23</v>
      </c>
      <c r="D147" t="s">
        <v>65</v>
      </c>
      <c r="E147" t="s">
        <v>76</v>
      </c>
      <c r="F147" t="s">
        <v>632</v>
      </c>
      <c r="G147" t="s">
        <v>633</v>
      </c>
      <c r="H147" t="s">
        <v>38</v>
      </c>
      <c r="I147" t="s">
        <v>31</v>
      </c>
      <c r="J147" t="s">
        <v>38</v>
      </c>
      <c r="K147" t="s">
        <v>31</v>
      </c>
      <c r="L147" t="s">
        <v>38</v>
      </c>
      <c r="M147" t="s">
        <v>31</v>
      </c>
      <c r="N147">
        <v>235</v>
      </c>
      <c r="O147">
        <v>275</v>
      </c>
      <c r="P147">
        <v>250</v>
      </c>
      <c r="Q147">
        <v>760</v>
      </c>
      <c r="R147" s="15">
        <v>44667</v>
      </c>
      <c r="S147" t="s">
        <v>30</v>
      </c>
      <c r="T147" t="s">
        <v>31</v>
      </c>
      <c r="U147">
        <v>20286</v>
      </c>
    </row>
    <row r="148" spans="1:21" ht="14.25" customHeight="1" x14ac:dyDescent="0.35">
      <c r="A148" t="s">
        <v>634</v>
      </c>
      <c r="B148" t="s">
        <v>635</v>
      </c>
      <c r="C148" t="s">
        <v>23</v>
      </c>
      <c r="D148" t="s">
        <v>65</v>
      </c>
      <c r="E148" t="s">
        <v>25</v>
      </c>
      <c r="F148" t="s">
        <v>636</v>
      </c>
      <c r="G148" t="s">
        <v>637</v>
      </c>
      <c r="H148" t="s">
        <v>28</v>
      </c>
      <c r="I148" t="s">
        <v>29</v>
      </c>
      <c r="J148" t="s">
        <v>30</v>
      </c>
      <c r="K148" t="s">
        <v>31</v>
      </c>
      <c r="L148" t="s">
        <v>30</v>
      </c>
      <c r="M148" t="s">
        <v>31</v>
      </c>
      <c r="N148">
        <v>500</v>
      </c>
      <c r="O148">
        <v>300</v>
      </c>
      <c r="P148">
        <v>300</v>
      </c>
      <c r="Q148">
        <v>1100</v>
      </c>
      <c r="R148" s="15">
        <v>44667</v>
      </c>
      <c r="S148" t="s">
        <v>32</v>
      </c>
      <c r="T148" t="s">
        <v>29</v>
      </c>
      <c r="U148">
        <v>1091667</v>
      </c>
    </row>
    <row r="149" spans="1:21" ht="14.25" customHeight="1" x14ac:dyDescent="0.35">
      <c r="A149" t="s">
        <v>638</v>
      </c>
      <c r="B149" t="s">
        <v>639</v>
      </c>
      <c r="C149" t="s">
        <v>23</v>
      </c>
      <c r="D149" t="s">
        <v>65</v>
      </c>
      <c r="E149" t="s">
        <v>25</v>
      </c>
      <c r="F149" t="s">
        <v>640</v>
      </c>
      <c r="G149" t="s">
        <v>641</v>
      </c>
      <c r="H149" t="s">
        <v>28</v>
      </c>
      <c r="I149" t="s">
        <v>29</v>
      </c>
      <c r="J149" t="s">
        <v>30</v>
      </c>
      <c r="K149" t="s">
        <v>31</v>
      </c>
      <c r="L149" t="s">
        <v>30</v>
      </c>
      <c r="M149" t="s">
        <v>31</v>
      </c>
      <c r="N149">
        <v>507</v>
      </c>
      <c r="O149">
        <v>343</v>
      </c>
      <c r="P149">
        <v>315</v>
      </c>
      <c r="Q149">
        <v>1165</v>
      </c>
      <c r="R149" s="15">
        <v>44667</v>
      </c>
      <c r="S149" t="s">
        <v>32</v>
      </c>
      <c r="T149" t="s">
        <v>29</v>
      </c>
      <c r="U149">
        <v>1166691</v>
      </c>
    </row>
    <row r="150" spans="1:21" ht="14.25" customHeight="1" x14ac:dyDescent="0.35">
      <c r="A150" t="s">
        <v>642</v>
      </c>
      <c r="B150" t="s">
        <v>643</v>
      </c>
      <c r="C150" t="s">
        <v>23</v>
      </c>
      <c r="D150" t="s">
        <v>65</v>
      </c>
      <c r="E150" t="s">
        <v>233</v>
      </c>
      <c r="F150" t="s">
        <v>644</v>
      </c>
      <c r="G150" t="s">
        <v>645</v>
      </c>
      <c r="H150" t="s">
        <v>38</v>
      </c>
      <c r="I150" t="s">
        <v>31</v>
      </c>
      <c r="J150" t="s">
        <v>38</v>
      </c>
      <c r="K150" t="s">
        <v>31</v>
      </c>
      <c r="L150" t="s">
        <v>38</v>
      </c>
      <c r="M150" t="s">
        <v>31</v>
      </c>
      <c r="N150">
        <v>270</v>
      </c>
      <c r="O150">
        <v>204</v>
      </c>
      <c r="P150">
        <v>205</v>
      </c>
      <c r="Q150">
        <v>679</v>
      </c>
      <c r="R150" s="15">
        <v>44667</v>
      </c>
      <c r="S150" t="s">
        <v>38</v>
      </c>
      <c r="T150" t="s">
        <v>31</v>
      </c>
      <c r="U150">
        <v>900075</v>
      </c>
    </row>
    <row r="151" spans="1:21" ht="14.25" customHeight="1" x14ac:dyDescent="0.35">
      <c r="A151" t="s">
        <v>646</v>
      </c>
      <c r="B151" t="s">
        <v>647</v>
      </c>
      <c r="C151" t="s">
        <v>23</v>
      </c>
      <c r="D151" t="s">
        <v>65</v>
      </c>
      <c r="E151" t="s">
        <v>596</v>
      </c>
      <c r="F151" t="s">
        <v>648</v>
      </c>
      <c r="G151" t="s">
        <v>649</v>
      </c>
      <c r="H151" t="s">
        <v>28</v>
      </c>
      <c r="I151" t="s">
        <v>29</v>
      </c>
      <c r="J151" t="s">
        <v>30</v>
      </c>
      <c r="K151" t="s">
        <v>31</v>
      </c>
      <c r="L151" t="s">
        <v>38</v>
      </c>
      <c r="M151" t="s">
        <v>31</v>
      </c>
      <c r="N151">
        <v>537</v>
      </c>
      <c r="O151">
        <v>306</v>
      </c>
      <c r="P151">
        <v>225</v>
      </c>
      <c r="Q151">
        <v>1068</v>
      </c>
      <c r="R151" s="15">
        <v>44667</v>
      </c>
      <c r="S151" t="s">
        <v>32</v>
      </c>
      <c r="T151" t="s">
        <v>29</v>
      </c>
      <c r="U151">
        <v>909832</v>
      </c>
    </row>
    <row r="152" spans="1:21" ht="14.25" customHeight="1" x14ac:dyDescent="0.35">
      <c r="A152" t="s">
        <v>650</v>
      </c>
      <c r="B152" t="s">
        <v>651</v>
      </c>
      <c r="C152" t="s">
        <v>23</v>
      </c>
      <c r="D152" t="s">
        <v>65</v>
      </c>
      <c r="E152" t="s">
        <v>652</v>
      </c>
      <c r="F152" t="s">
        <v>653</v>
      </c>
      <c r="G152" t="s">
        <v>654</v>
      </c>
      <c r="H152" t="s">
        <v>28</v>
      </c>
      <c r="I152" t="s">
        <v>29</v>
      </c>
      <c r="J152" t="s">
        <v>30</v>
      </c>
      <c r="K152" t="s">
        <v>31</v>
      </c>
      <c r="L152" t="s">
        <v>30</v>
      </c>
      <c r="M152" t="s">
        <v>31</v>
      </c>
      <c r="N152">
        <v>510</v>
      </c>
      <c r="O152">
        <v>310</v>
      </c>
      <c r="P152">
        <v>325</v>
      </c>
      <c r="Q152">
        <v>1145</v>
      </c>
      <c r="R152" s="15">
        <v>44668</v>
      </c>
      <c r="S152" t="s">
        <v>32</v>
      </c>
      <c r="T152" t="s">
        <v>29</v>
      </c>
      <c r="U152">
        <v>277948</v>
      </c>
    </row>
    <row r="153" spans="1:21" ht="14.25" customHeight="1" x14ac:dyDescent="0.35">
      <c r="A153" t="s">
        <v>655</v>
      </c>
      <c r="B153" t="s">
        <v>656</v>
      </c>
      <c r="C153" t="s">
        <v>23</v>
      </c>
      <c r="D153" t="s">
        <v>65</v>
      </c>
      <c r="E153" t="s">
        <v>91</v>
      </c>
      <c r="F153" t="s">
        <v>657</v>
      </c>
      <c r="G153" t="s">
        <v>658</v>
      </c>
      <c r="H153" t="s">
        <v>599</v>
      </c>
      <c r="I153" t="s">
        <v>600</v>
      </c>
      <c r="J153" t="s">
        <v>30</v>
      </c>
      <c r="K153" t="s">
        <v>31</v>
      </c>
      <c r="L153" t="s">
        <v>30</v>
      </c>
      <c r="M153" t="s">
        <v>31</v>
      </c>
      <c r="N153">
        <v>605</v>
      </c>
      <c r="O153">
        <v>365</v>
      </c>
      <c r="P153">
        <v>300</v>
      </c>
      <c r="Q153">
        <v>1270</v>
      </c>
      <c r="R153" s="15">
        <v>44667</v>
      </c>
      <c r="S153" t="s">
        <v>28</v>
      </c>
      <c r="T153" t="s">
        <v>29</v>
      </c>
      <c r="U153">
        <v>1058290</v>
      </c>
    </row>
    <row r="154" spans="1:21" ht="14.25" customHeight="1" x14ac:dyDescent="0.35">
      <c r="A154" t="s">
        <v>659</v>
      </c>
      <c r="B154" t="s">
        <v>660</v>
      </c>
      <c r="C154" t="s">
        <v>23</v>
      </c>
      <c r="D154" t="s">
        <v>65</v>
      </c>
      <c r="E154" t="s">
        <v>224</v>
      </c>
      <c r="F154" t="s">
        <v>661</v>
      </c>
      <c r="G154" t="s">
        <v>662</v>
      </c>
      <c r="H154" t="s">
        <v>30</v>
      </c>
      <c r="I154" t="s">
        <v>31</v>
      </c>
      <c r="J154" t="s">
        <v>38</v>
      </c>
      <c r="K154" t="s">
        <v>31</v>
      </c>
      <c r="L154" t="s">
        <v>38</v>
      </c>
      <c r="M154" t="s">
        <v>31</v>
      </c>
      <c r="N154">
        <v>375</v>
      </c>
      <c r="O154">
        <v>237</v>
      </c>
      <c r="P154">
        <v>200</v>
      </c>
      <c r="Q154">
        <v>812</v>
      </c>
      <c r="R154" s="15">
        <v>44768</v>
      </c>
      <c r="S154" t="s">
        <v>30</v>
      </c>
      <c r="T154" t="s">
        <v>31</v>
      </c>
      <c r="U154">
        <v>1156375</v>
      </c>
    </row>
    <row r="155" spans="1:21" ht="14.25" customHeight="1" x14ac:dyDescent="0.35">
      <c r="A155" t="s">
        <v>663</v>
      </c>
      <c r="B155" t="s">
        <v>664</v>
      </c>
      <c r="C155" t="s">
        <v>23</v>
      </c>
      <c r="D155" t="s">
        <v>65</v>
      </c>
      <c r="E155" t="s">
        <v>81</v>
      </c>
      <c r="F155" t="s">
        <v>665</v>
      </c>
      <c r="G155" t="s">
        <v>666</v>
      </c>
      <c r="H155" t="s">
        <v>38</v>
      </c>
      <c r="I155" t="s">
        <v>31</v>
      </c>
      <c r="J155" t="s">
        <v>38</v>
      </c>
      <c r="K155" t="s">
        <v>31</v>
      </c>
      <c r="L155" t="s">
        <v>38</v>
      </c>
      <c r="M155" t="s">
        <v>31</v>
      </c>
      <c r="N155">
        <v>280</v>
      </c>
      <c r="O155">
        <v>234</v>
      </c>
      <c r="P155">
        <v>220</v>
      </c>
      <c r="Q155">
        <v>734</v>
      </c>
      <c r="R155" s="15">
        <v>44723</v>
      </c>
      <c r="S155" t="s">
        <v>38</v>
      </c>
      <c r="T155" t="s">
        <v>31</v>
      </c>
      <c r="U155">
        <v>858877</v>
      </c>
    </row>
    <row r="156" spans="1:21" ht="14.25" customHeight="1" x14ac:dyDescent="0.35">
      <c r="A156" t="s">
        <v>667</v>
      </c>
      <c r="B156" t="s">
        <v>668</v>
      </c>
      <c r="C156" t="s">
        <v>23</v>
      </c>
      <c r="D156" t="s">
        <v>65</v>
      </c>
      <c r="E156" t="s">
        <v>233</v>
      </c>
      <c r="F156" t="s">
        <v>669</v>
      </c>
      <c r="G156" t="s">
        <v>670</v>
      </c>
      <c r="H156" t="s">
        <v>28</v>
      </c>
      <c r="I156" t="s">
        <v>29</v>
      </c>
      <c r="J156" t="s">
        <v>30</v>
      </c>
      <c r="K156" t="s">
        <v>31</v>
      </c>
      <c r="L156" t="s">
        <v>30</v>
      </c>
      <c r="M156" t="s">
        <v>31</v>
      </c>
      <c r="N156">
        <v>500</v>
      </c>
      <c r="O156">
        <v>300</v>
      </c>
      <c r="P156">
        <v>300</v>
      </c>
      <c r="Q156">
        <v>1100</v>
      </c>
      <c r="R156" s="15">
        <v>44667</v>
      </c>
      <c r="S156" t="s">
        <v>32</v>
      </c>
      <c r="T156" t="s">
        <v>29</v>
      </c>
      <c r="U156">
        <v>723254</v>
      </c>
    </row>
    <row r="157" spans="1:21" ht="14.25" customHeight="1" x14ac:dyDescent="0.35">
      <c r="A157" t="s">
        <v>671</v>
      </c>
      <c r="B157" t="s">
        <v>672</v>
      </c>
      <c r="C157" t="s">
        <v>23</v>
      </c>
      <c r="D157" t="s">
        <v>65</v>
      </c>
      <c r="E157" t="s">
        <v>91</v>
      </c>
      <c r="F157" t="s">
        <v>673</v>
      </c>
      <c r="G157" t="s">
        <v>674</v>
      </c>
      <c r="H157" t="s">
        <v>28</v>
      </c>
      <c r="I157" t="s">
        <v>29</v>
      </c>
      <c r="J157" t="s">
        <v>30</v>
      </c>
      <c r="K157" t="s">
        <v>31</v>
      </c>
      <c r="L157" t="s">
        <v>30</v>
      </c>
      <c r="M157" t="s">
        <v>31</v>
      </c>
      <c r="N157">
        <v>530</v>
      </c>
      <c r="O157">
        <v>305</v>
      </c>
      <c r="P157">
        <v>305</v>
      </c>
      <c r="Q157">
        <v>1140</v>
      </c>
      <c r="R157" s="15">
        <v>44667</v>
      </c>
      <c r="S157" t="s">
        <v>32</v>
      </c>
      <c r="T157" t="s">
        <v>29</v>
      </c>
      <c r="U157">
        <v>877890</v>
      </c>
    </row>
    <row r="158" spans="1:21" ht="14.25" customHeight="1" x14ac:dyDescent="0.35">
      <c r="A158" t="s">
        <v>675</v>
      </c>
      <c r="B158" t="s">
        <v>676</v>
      </c>
      <c r="C158" t="s">
        <v>23</v>
      </c>
      <c r="D158" t="s">
        <v>65</v>
      </c>
      <c r="E158" t="s">
        <v>55</v>
      </c>
      <c r="F158" t="s">
        <v>677</v>
      </c>
      <c r="G158" t="s">
        <v>678</v>
      </c>
      <c r="H158" t="s">
        <v>38</v>
      </c>
      <c r="I158" t="s">
        <v>31</v>
      </c>
      <c r="J158" t="s">
        <v>38</v>
      </c>
      <c r="K158" t="s">
        <v>31</v>
      </c>
      <c r="L158" t="s">
        <v>38</v>
      </c>
      <c r="M158" t="s">
        <v>31</v>
      </c>
      <c r="N158">
        <v>265</v>
      </c>
      <c r="O158">
        <v>228</v>
      </c>
      <c r="P158">
        <v>200</v>
      </c>
      <c r="Q158">
        <v>693</v>
      </c>
      <c r="R158" s="15">
        <v>44667</v>
      </c>
      <c r="S158" t="s">
        <v>38</v>
      </c>
      <c r="T158" t="s">
        <v>31</v>
      </c>
      <c r="U158">
        <v>1590895</v>
      </c>
    </row>
    <row r="159" spans="1:21" ht="14.25" customHeight="1" x14ac:dyDescent="0.35">
      <c r="A159" t="s">
        <v>679</v>
      </c>
      <c r="B159" t="s">
        <v>680</v>
      </c>
      <c r="C159" t="s">
        <v>23</v>
      </c>
      <c r="D159" t="s">
        <v>65</v>
      </c>
      <c r="E159" t="s">
        <v>25</v>
      </c>
      <c r="F159" t="s">
        <v>681</v>
      </c>
      <c r="G159" t="s">
        <v>682</v>
      </c>
      <c r="H159" t="s">
        <v>38</v>
      </c>
      <c r="I159" t="s">
        <v>31</v>
      </c>
      <c r="J159" t="s">
        <v>38</v>
      </c>
      <c r="K159" t="s">
        <v>31</v>
      </c>
      <c r="L159" t="s">
        <v>38</v>
      </c>
      <c r="M159" t="s">
        <v>31</v>
      </c>
      <c r="N159">
        <v>210</v>
      </c>
      <c r="O159">
        <v>263</v>
      </c>
      <c r="P159">
        <v>205</v>
      </c>
      <c r="Q159">
        <v>678</v>
      </c>
      <c r="R159" s="15">
        <v>44668</v>
      </c>
      <c r="S159" t="s">
        <v>38</v>
      </c>
      <c r="T159" t="s">
        <v>31</v>
      </c>
      <c r="U159">
        <v>1001082</v>
      </c>
    </row>
    <row r="160" spans="1:21" ht="14.25" customHeight="1" x14ac:dyDescent="0.35">
      <c r="A160" t="s">
        <v>683</v>
      </c>
      <c r="B160" t="s">
        <v>684</v>
      </c>
      <c r="C160" t="s">
        <v>23</v>
      </c>
      <c r="D160" t="s">
        <v>65</v>
      </c>
      <c r="E160" t="s">
        <v>596</v>
      </c>
      <c r="F160" t="s">
        <v>685</v>
      </c>
      <c r="G160" t="s">
        <v>686</v>
      </c>
      <c r="H160" t="s">
        <v>38</v>
      </c>
      <c r="I160" t="s">
        <v>31</v>
      </c>
      <c r="J160" t="s">
        <v>38</v>
      </c>
      <c r="K160" t="s">
        <v>31</v>
      </c>
      <c r="L160" t="s">
        <v>38</v>
      </c>
      <c r="M160" t="s">
        <v>31</v>
      </c>
      <c r="N160">
        <v>235</v>
      </c>
      <c r="O160">
        <v>208</v>
      </c>
      <c r="P160">
        <v>215</v>
      </c>
      <c r="Q160">
        <v>658</v>
      </c>
      <c r="R160" s="15">
        <v>44668</v>
      </c>
      <c r="S160" t="s">
        <v>38</v>
      </c>
      <c r="T160" t="s">
        <v>31</v>
      </c>
      <c r="U160">
        <v>935703</v>
      </c>
    </row>
    <row r="161" spans="1:21" ht="14.25" customHeight="1" x14ac:dyDescent="0.35">
      <c r="A161" t="s">
        <v>687</v>
      </c>
      <c r="B161" t="s">
        <v>688</v>
      </c>
      <c r="C161" t="s">
        <v>23</v>
      </c>
      <c r="D161" t="s">
        <v>65</v>
      </c>
      <c r="E161" t="s">
        <v>124</v>
      </c>
      <c r="F161" t="s">
        <v>689</v>
      </c>
      <c r="G161" t="s">
        <v>690</v>
      </c>
      <c r="H161" t="s">
        <v>38</v>
      </c>
      <c r="I161" t="s">
        <v>31</v>
      </c>
      <c r="J161" t="s">
        <v>38</v>
      </c>
      <c r="K161" t="s">
        <v>31</v>
      </c>
      <c r="L161" t="s">
        <v>38</v>
      </c>
      <c r="M161" t="s">
        <v>31</v>
      </c>
      <c r="N161">
        <v>215</v>
      </c>
      <c r="O161">
        <v>236</v>
      </c>
      <c r="P161">
        <v>215</v>
      </c>
      <c r="Q161">
        <v>666</v>
      </c>
      <c r="R161" s="15">
        <v>44668</v>
      </c>
      <c r="S161" t="s">
        <v>38</v>
      </c>
      <c r="T161" t="s">
        <v>31</v>
      </c>
      <c r="U161">
        <v>1093557</v>
      </c>
    </row>
    <row r="162" spans="1:21" ht="14.25" customHeight="1" x14ac:dyDescent="0.35">
      <c r="A162" t="s">
        <v>691</v>
      </c>
      <c r="B162" t="s">
        <v>692</v>
      </c>
      <c r="C162" t="s">
        <v>23</v>
      </c>
      <c r="D162" t="s">
        <v>65</v>
      </c>
      <c r="E162" t="s">
        <v>25</v>
      </c>
      <c r="F162" t="s">
        <v>693</v>
      </c>
      <c r="G162" t="s">
        <v>694</v>
      </c>
      <c r="H162" t="s">
        <v>30</v>
      </c>
      <c r="I162" t="s">
        <v>31</v>
      </c>
      <c r="J162" t="s">
        <v>30</v>
      </c>
      <c r="K162" t="s">
        <v>31</v>
      </c>
      <c r="L162" t="s">
        <v>38</v>
      </c>
      <c r="M162" t="s">
        <v>31</v>
      </c>
      <c r="N162">
        <v>360</v>
      </c>
      <c r="O162">
        <v>300</v>
      </c>
      <c r="P162">
        <v>225</v>
      </c>
      <c r="Q162">
        <v>885</v>
      </c>
      <c r="R162" s="15">
        <v>44668</v>
      </c>
      <c r="S162" t="s">
        <v>30</v>
      </c>
      <c r="T162" t="s">
        <v>31</v>
      </c>
      <c r="U162">
        <v>712515</v>
      </c>
    </row>
    <row r="163" spans="1:21" ht="14.25" customHeight="1" x14ac:dyDescent="0.35">
      <c r="A163" t="s">
        <v>695</v>
      </c>
      <c r="B163" t="s">
        <v>696</v>
      </c>
      <c r="C163" t="s">
        <v>23</v>
      </c>
      <c r="D163" t="s">
        <v>65</v>
      </c>
      <c r="E163" t="s">
        <v>330</v>
      </c>
      <c r="F163" t="s">
        <v>697</v>
      </c>
      <c r="G163" t="s">
        <v>698</v>
      </c>
      <c r="H163" t="s">
        <v>28</v>
      </c>
      <c r="I163" t="s">
        <v>29</v>
      </c>
      <c r="J163" t="s">
        <v>30</v>
      </c>
      <c r="K163" t="s">
        <v>31</v>
      </c>
      <c r="L163" t="s">
        <v>30</v>
      </c>
      <c r="M163" t="s">
        <v>31</v>
      </c>
      <c r="N163">
        <v>519</v>
      </c>
      <c r="O163">
        <v>307</v>
      </c>
      <c r="P163">
        <v>300</v>
      </c>
      <c r="Q163">
        <v>1126</v>
      </c>
      <c r="R163" s="15">
        <v>44667</v>
      </c>
      <c r="S163" t="s">
        <v>32</v>
      </c>
      <c r="T163" t="s">
        <v>29</v>
      </c>
      <c r="U163">
        <v>352541</v>
      </c>
    </row>
    <row r="164" spans="1:21" ht="14.25" customHeight="1" x14ac:dyDescent="0.35">
      <c r="A164" t="s">
        <v>699</v>
      </c>
      <c r="B164" t="s">
        <v>700</v>
      </c>
      <c r="C164" t="s">
        <v>23</v>
      </c>
      <c r="D164" t="s">
        <v>65</v>
      </c>
      <c r="E164" t="s">
        <v>607</v>
      </c>
      <c r="F164" t="s">
        <v>701</v>
      </c>
      <c r="G164" t="s">
        <v>702</v>
      </c>
      <c r="H164" t="s">
        <v>28</v>
      </c>
      <c r="I164" t="s">
        <v>29</v>
      </c>
      <c r="J164" t="s">
        <v>38</v>
      </c>
      <c r="K164" t="s">
        <v>31</v>
      </c>
      <c r="L164" t="s">
        <v>30</v>
      </c>
      <c r="M164" t="s">
        <v>31</v>
      </c>
      <c r="N164">
        <v>513</v>
      </c>
      <c r="O164">
        <v>271</v>
      </c>
      <c r="P164">
        <v>300</v>
      </c>
      <c r="Q164">
        <v>1084</v>
      </c>
      <c r="R164" s="15">
        <v>44668</v>
      </c>
      <c r="S164" t="s">
        <v>32</v>
      </c>
      <c r="T164" t="s">
        <v>29</v>
      </c>
      <c r="U164">
        <v>1539838</v>
      </c>
    </row>
    <row r="165" spans="1:21" ht="14.25" customHeight="1" x14ac:dyDescent="0.35">
      <c r="A165" t="s">
        <v>703</v>
      </c>
      <c r="B165" t="s">
        <v>704</v>
      </c>
      <c r="C165" t="s">
        <v>23</v>
      </c>
      <c r="D165" t="s">
        <v>65</v>
      </c>
      <c r="E165" t="s">
        <v>596</v>
      </c>
      <c r="F165" t="s">
        <v>705</v>
      </c>
      <c r="G165" t="s">
        <v>706</v>
      </c>
      <c r="H165" t="s">
        <v>28</v>
      </c>
      <c r="I165" t="s">
        <v>29</v>
      </c>
      <c r="J165" t="s">
        <v>30</v>
      </c>
      <c r="K165" t="s">
        <v>31</v>
      </c>
      <c r="L165" t="s">
        <v>30</v>
      </c>
      <c r="M165" t="s">
        <v>31</v>
      </c>
      <c r="N165">
        <v>500</v>
      </c>
      <c r="O165">
        <v>302</v>
      </c>
      <c r="P165">
        <v>305</v>
      </c>
      <c r="Q165">
        <v>1107</v>
      </c>
      <c r="R165" s="15">
        <v>44668</v>
      </c>
      <c r="S165" t="s">
        <v>32</v>
      </c>
      <c r="T165" t="s">
        <v>29</v>
      </c>
      <c r="U165">
        <v>1065088</v>
      </c>
    </row>
    <row r="166" spans="1:21" ht="14.25" customHeight="1" x14ac:dyDescent="0.35">
      <c r="A166" t="s">
        <v>707</v>
      </c>
      <c r="B166" t="s">
        <v>708</v>
      </c>
      <c r="C166" t="s">
        <v>23</v>
      </c>
      <c r="D166" t="s">
        <v>65</v>
      </c>
      <c r="E166" t="s">
        <v>709</v>
      </c>
      <c r="F166" t="s">
        <v>710</v>
      </c>
      <c r="G166" t="s">
        <v>711</v>
      </c>
      <c r="H166" t="s">
        <v>28</v>
      </c>
      <c r="I166" t="s">
        <v>29</v>
      </c>
      <c r="J166" t="s">
        <v>30</v>
      </c>
      <c r="K166" t="s">
        <v>31</v>
      </c>
      <c r="L166" t="s">
        <v>30</v>
      </c>
      <c r="M166" t="s">
        <v>31</v>
      </c>
      <c r="N166">
        <v>515</v>
      </c>
      <c r="O166">
        <v>300</v>
      </c>
      <c r="P166">
        <v>305</v>
      </c>
      <c r="Q166">
        <v>1120</v>
      </c>
      <c r="R166" s="15">
        <v>44669</v>
      </c>
      <c r="S166" t="s">
        <v>32</v>
      </c>
      <c r="T166" t="s">
        <v>29</v>
      </c>
      <c r="U166">
        <v>1065696</v>
      </c>
    </row>
    <row r="167" spans="1:21" ht="14.25" customHeight="1" x14ac:dyDescent="0.35">
      <c r="A167" t="s">
        <v>712</v>
      </c>
      <c r="B167" t="s">
        <v>713</v>
      </c>
      <c r="C167" t="s">
        <v>23</v>
      </c>
      <c r="D167" t="s">
        <v>65</v>
      </c>
      <c r="E167" t="s">
        <v>25</v>
      </c>
      <c r="F167" t="s">
        <v>714</v>
      </c>
      <c r="G167" t="s">
        <v>715</v>
      </c>
      <c r="H167" t="s">
        <v>38</v>
      </c>
      <c r="I167" t="s">
        <v>31</v>
      </c>
      <c r="J167" t="s">
        <v>30</v>
      </c>
      <c r="K167" t="s">
        <v>31</v>
      </c>
      <c r="L167" t="s">
        <v>30</v>
      </c>
      <c r="M167" t="s">
        <v>31</v>
      </c>
      <c r="N167">
        <v>295</v>
      </c>
      <c r="O167">
        <v>362</v>
      </c>
      <c r="P167">
        <v>355</v>
      </c>
      <c r="Q167">
        <v>1012</v>
      </c>
      <c r="R167" s="15">
        <v>44681</v>
      </c>
      <c r="S167" t="s">
        <v>32</v>
      </c>
      <c r="T167" t="s">
        <v>29</v>
      </c>
      <c r="U167">
        <v>1652044</v>
      </c>
    </row>
    <row r="168" spans="1:21" ht="14.25" customHeight="1" x14ac:dyDescent="0.35">
      <c r="A168" t="s">
        <v>716</v>
      </c>
      <c r="B168" t="s">
        <v>717</v>
      </c>
      <c r="C168" t="s">
        <v>23</v>
      </c>
      <c r="D168" t="s">
        <v>65</v>
      </c>
      <c r="E168" t="s">
        <v>55</v>
      </c>
      <c r="F168" t="s">
        <v>718</v>
      </c>
      <c r="G168" t="s">
        <v>719</v>
      </c>
      <c r="H168" t="s">
        <v>38</v>
      </c>
      <c r="I168" t="s">
        <v>31</v>
      </c>
      <c r="J168" t="s">
        <v>38</v>
      </c>
      <c r="K168" t="s">
        <v>31</v>
      </c>
      <c r="L168" t="s">
        <v>38</v>
      </c>
      <c r="M168" t="s">
        <v>31</v>
      </c>
      <c r="N168">
        <v>215</v>
      </c>
      <c r="O168">
        <v>200</v>
      </c>
      <c r="P168">
        <v>215</v>
      </c>
      <c r="Q168">
        <v>630</v>
      </c>
      <c r="R168" s="15">
        <v>44669</v>
      </c>
      <c r="S168" t="s">
        <v>38</v>
      </c>
      <c r="T168" t="s">
        <v>31</v>
      </c>
      <c r="U168">
        <v>1048286</v>
      </c>
    </row>
    <row r="169" spans="1:21" ht="14.25" customHeight="1" x14ac:dyDescent="0.35">
      <c r="A169" t="s">
        <v>720</v>
      </c>
      <c r="B169" t="s">
        <v>721</v>
      </c>
      <c r="C169" t="s">
        <v>23</v>
      </c>
      <c r="D169" t="s">
        <v>65</v>
      </c>
      <c r="E169" t="s">
        <v>189</v>
      </c>
      <c r="F169" t="s">
        <v>722</v>
      </c>
      <c r="G169" t="s">
        <v>723</v>
      </c>
      <c r="H169" t="s">
        <v>28</v>
      </c>
      <c r="I169" t="s">
        <v>29</v>
      </c>
      <c r="J169" t="s">
        <v>30</v>
      </c>
      <c r="K169" t="s">
        <v>31</v>
      </c>
      <c r="L169" t="s">
        <v>30</v>
      </c>
      <c r="M169" t="s">
        <v>31</v>
      </c>
      <c r="N169">
        <v>500</v>
      </c>
      <c r="O169">
        <v>300</v>
      </c>
      <c r="P169">
        <v>300</v>
      </c>
      <c r="Q169">
        <v>1100</v>
      </c>
      <c r="R169" s="15">
        <v>44669</v>
      </c>
      <c r="S169" t="s">
        <v>32</v>
      </c>
      <c r="T169" t="s">
        <v>29</v>
      </c>
      <c r="U169">
        <v>827054</v>
      </c>
    </row>
    <row r="170" spans="1:21" ht="14.25" customHeight="1" x14ac:dyDescent="0.35">
      <c r="A170" t="s">
        <v>724</v>
      </c>
      <c r="B170" t="s">
        <v>725</v>
      </c>
      <c r="C170" t="s">
        <v>23</v>
      </c>
      <c r="D170" t="s">
        <v>65</v>
      </c>
      <c r="E170" t="s">
        <v>189</v>
      </c>
      <c r="F170" t="s">
        <v>726</v>
      </c>
      <c r="G170" t="s">
        <v>727</v>
      </c>
      <c r="H170" t="s">
        <v>28</v>
      </c>
      <c r="I170" t="s">
        <v>29</v>
      </c>
      <c r="J170" t="s">
        <v>30</v>
      </c>
      <c r="K170" t="s">
        <v>31</v>
      </c>
      <c r="L170" t="s">
        <v>30</v>
      </c>
      <c r="M170" t="s">
        <v>31</v>
      </c>
      <c r="N170">
        <v>510</v>
      </c>
      <c r="O170">
        <v>325</v>
      </c>
      <c r="P170">
        <v>315</v>
      </c>
      <c r="Q170">
        <v>1150</v>
      </c>
      <c r="R170" s="15">
        <v>44669</v>
      </c>
      <c r="S170" t="s">
        <v>32</v>
      </c>
      <c r="T170" t="s">
        <v>29</v>
      </c>
      <c r="U170">
        <v>707549</v>
      </c>
    </row>
    <row r="171" spans="1:21" ht="14.25" customHeight="1" x14ac:dyDescent="0.35">
      <c r="A171" t="s">
        <v>728</v>
      </c>
      <c r="B171" t="s">
        <v>729</v>
      </c>
      <c r="C171" t="s">
        <v>23</v>
      </c>
      <c r="D171" t="s">
        <v>65</v>
      </c>
      <c r="E171" t="s">
        <v>415</v>
      </c>
      <c r="F171" t="s">
        <v>730</v>
      </c>
      <c r="G171" t="s">
        <v>731</v>
      </c>
      <c r="H171" t="s">
        <v>28</v>
      </c>
      <c r="I171" t="s">
        <v>29</v>
      </c>
      <c r="J171" t="s">
        <v>30</v>
      </c>
      <c r="K171" t="s">
        <v>31</v>
      </c>
      <c r="L171" t="s">
        <v>30</v>
      </c>
      <c r="M171" t="s">
        <v>31</v>
      </c>
      <c r="N171">
        <v>520</v>
      </c>
      <c r="O171">
        <v>307</v>
      </c>
      <c r="P171">
        <v>300</v>
      </c>
      <c r="Q171">
        <v>1127</v>
      </c>
      <c r="R171" s="15">
        <v>44669</v>
      </c>
      <c r="S171" t="s">
        <v>32</v>
      </c>
      <c r="T171" t="s">
        <v>29</v>
      </c>
      <c r="U171">
        <v>1103982</v>
      </c>
    </row>
    <row r="172" spans="1:21" ht="14.25" customHeight="1" x14ac:dyDescent="0.35">
      <c r="A172" t="s">
        <v>732</v>
      </c>
      <c r="B172" t="s">
        <v>733</v>
      </c>
      <c r="C172" t="s">
        <v>23</v>
      </c>
      <c r="D172" t="s">
        <v>65</v>
      </c>
      <c r="E172" t="s">
        <v>25</v>
      </c>
      <c r="F172" t="s">
        <v>734</v>
      </c>
      <c r="G172" t="s">
        <v>735</v>
      </c>
      <c r="H172" t="s">
        <v>38</v>
      </c>
      <c r="I172" t="s">
        <v>31</v>
      </c>
      <c r="J172" t="s">
        <v>38</v>
      </c>
      <c r="K172" t="s">
        <v>31</v>
      </c>
      <c r="L172" t="s">
        <v>38</v>
      </c>
      <c r="M172" t="s">
        <v>31</v>
      </c>
      <c r="N172">
        <v>205</v>
      </c>
      <c r="O172">
        <v>232</v>
      </c>
      <c r="P172">
        <v>215</v>
      </c>
      <c r="Q172">
        <v>652</v>
      </c>
      <c r="R172" s="15">
        <v>44673</v>
      </c>
      <c r="S172" t="s">
        <v>38</v>
      </c>
      <c r="T172" t="s">
        <v>31</v>
      </c>
      <c r="U172">
        <v>1326801</v>
      </c>
    </row>
    <row r="173" spans="1:21" ht="14.25" customHeight="1" x14ac:dyDescent="0.35">
      <c r="A173" t="s">
        <v>736</v>
      </c>
      <c r="B173" t="s">
        <v>737</v>
      </c>
      <c r="C173" t="s">
        <v>23</v>
      </c>
      <c r="D173" t="s">
        <v>65</v>
      </c>
      <c r="E173" t="s">
        <v>224</v>
      </c>
      <c r="F173" t="s">
        <v>738</v>
      </c>
      <c r="G173" t="s">
        <v>739</v>
      </c>
      <c r="H173" t="s">
        <v>38</v>
      </c>
      <c r="I173" t="s">
        <v>31</v>
      </c>
      <c r="J173" t="s">
        <v>38</v>
      </c>
      <c r="K173" t="s">
        <v>31</v>
      </c>
      <c r="L173" t="s">
        <v>38</v>
      </c>
      <c r="M173" t="s">
        <v>31</v>
      </c>
      <c r="N173">
        <v>230</v>
      </c>
      <c r="O173">
        <v>213</v>
      </c>
      <c r="P173">
        <v>210</v>
      </c>
      <c r="Q173">
        <v>653</v>
      </c>
      <c r="R173" s="15">
        <v>44669</v>
      </c>
      <c r="S173" t="s">
        <v>38</v>
      </c>
      <c r="T173" t="s">
        <v>31</v>
      </c>
      <c r="U173">
        <v>1278021</v>
      </c>
    </row>
    <row r="174" spans="1:21" ht="14.25" customHeight="1" x14ac:dyDescent="0.35">
      <c r="A174" t="s">
        <v>740</v>
      </c>
      <c r="B174" t="s">
        <v>741</v>
      </c>
      <c r="C174" t="s">
        <v>23</v>
      </c>
      <c r="D174" t="s">
        <v>65</v>
      </c>
      <c r="E174" t="s">
        <v>742</v>
      </c>
      <c r="F174" t="s">
        <v>743</v>
      </c>
      <c r="G174" t="s">
        <v>744</v>
      </c>
      <c r="H174" t="s">
        <v>28</v>
      </c>
      <c r="I174" t="s">
        <v>29</v>
      </c>
      <c r="J174" t="s">
        <v>30</v>
      </c>
      <c r="K174" t="s">
        <v>31</v>
      </c>
      <c r="L174" t="s">
        <v>30</v>
      </c>
      <c r="M174" t="s">
        <v>31</v>
      </c>
      <c r="N174">
        <v>515</v>
      </c>
      <c r="O174">
        <v>344</v>
      </c>
      <c r="P174">
        <v>300</v>
      </c>
      <c r="Q174">
        <v>1159</v>
      </c>
      <c r="R174" s="15">
        <v>44669</v>
      </c>
      <c r="S174" t="s">
        <v>32</v>
      </c>
      <c r="T174" t="s">
        <v>29</v>
      </c>
      <c r="U174">
        <v>865752</v>
      </c>
    </row>
    <row r="175" spans="1:21" ht="14.25" customHeight="1" x14ac:dyDescent="0.35">
      <c r="A175" t="s">
        <v>745</v>
      </c>
      <c r="B175" t="s">
        <v>746</v>
      </c>
      <c r="C175" t="s">
        <v>23</v>
      </c>
      <c r="D175" t="s">
        <v>65</v>
      </c>
      <c r="E175" t="s">
        <v>107</v>
      </c>
      <c r="F175" t="s">
        <v>747</v>
      </c>
      <c r="G175" t="s">
        <v>748</v>
      </c>
      <c r="H175" t="s">
        <v>28</v>
      </c>
      <c r="I175" t="s">
        <v>29</v>
      </c>
      <c r="J175" t="s">
        <v>30</v>
      </c>
      <c r="K175" t="s">
        <v>31</v>
      </c>
      <c r="L175" t="s">
        <v>30</v>
      </c>
      <c r="M175" t="s">
        <v>31</v>
      </c>
      <c r="N175">
        <v>500</v>
      </c>
      <c r="O175">
        <v>300</v>
      </c>
      <c r="P175">
        <v>300</v>
      </c>
      <c r="Q175">
        <v>1100</v>
      </c>
      <c r="R175" s="15">
        <v>44669</v>
      </c>
      <c r="S175" t="s">
        <v>32</v>
      </c>
      <c r="T175" t="s">
        <v>29</v>
      </c>
      <c r="U175">
        <v>1682852</v>
      </c>
    </row>
    <row r="176" spans="1:21" ht="14.25" customHeight="1" x14ac:dyDescent="0.35">
      <c r="A176" t="s">
        <v>749</v>
      </c>
      <c r="B176" t="s">
        <v>750</v>
      </c>
      <c r="C176" t="s">
        <v>23</v>
      </c>
      <c r="D176" t="s">
        <v>65</v>
      </c>
      <c r="E176" t="s">
        <v>25</v>
      </c>
      <c r="F176" t="s">
        <v>751</v>
      </c>
      <c r="G176" t="s">
        <v>752</v>
      </c>
      <c r="H176" t="s">
        <v>38</v>
      </c>
      <c r="I176" t="s">
        <v>31</v>
      </c>
      <c r="J176" t="s">
        <v>30</v>
      </c>
      <c r="K176" t="s">
        <v>31</v>
      </c>
      <c r="L176" t="s">
        <v>30</v>
      </c>
      <c r="M176" t="s">
        <v>31</v>
      </c>
      <c r="N176">
        <v>245</v>
      </c>
      <c r="O176">
        <v>389</v>
      </c>
      <c r="P176">
        <v>311</v>
      </c>
      <c r="Q176">
        <v>945</v>
      </c>
      <c r="R176" s="15">
        <v>44669</v>
      </c>
      <c r="S176" t="s">
        <v>32</v>
      </c>
      <c r="T176" t="s">
        <v>29</v>
      </c>
      <c r="U176">
        <v>891103</v>
      </c>
    </row>
    <row r="177" spans="1:21" ht="14.25" customHeight="1" x14ac:dyDescent="0.35">
      <c r="A177" t="s">
        <v>753</v>
      </c>
      <c r="B177" t="s">
        <v>754</v>
      </c>
      <c r="C177" t="s">
        <v>23</v>
      </c>
      <c r="D177" t="s">
        <v>65</v>
      </c>
      <c r="E177" t="s">
        <v>189</v>
      </c>
      <c r="F177" t="s">
        <v>755</v>
      </c>
      <c r="G177" t="s">
        <v>756</v>
      </c>
      <c r="H177" t="s">
        <v>30</v>
      </c>
      <c r="I177" t="s">
        <v>31</v>
      </c>
      <c r="J177" t="s">
        <v>38</v>
      </c>
      <c r="K177" t="s">
        <v>31</v>
      </c>
      <c r="L177" t="s">
        <v>38</v>
      </c>
      <c r="M177" t="s">
        <v>31</v>
      </c>
      <c r="N177">
        <v>330</v>
      </c>
      <c r="O177">
        <v>287</v>
      </c>
      <c r="P177">
        <v>235</v>
      </c>
      <c r="Q177">
        <v>852</v>
      </c>
      <c r="R177" s="15">
        <v>44669</v>
      </c>
      <c r="S177" t="s">
        <v>30</v>
      </c>
      <c r="T177" t="s">
        <v>31</v>
      </c>
      <c r="U177">
        <v>1280452</v>
      </c>
    </row>
    <row r="178" spans="1:21" ht="14.25" customHeight="1" x14ac:dyDescent="0.35">
      <c r="A178" t="s">
        <v>757</v>
      </c>
      <c r="B178" t="s">
        <v>758</v>
      </c>
      <c r="C178" t="s">
        <v>23</v>
      </c>
      <c r="D178" t="s">
        <v>65</v>
      </c>
      <c r="E178" t="s">
        <v>91</v>
      </c>
      <c r="F178" t="s">
        <v>759</v>
      </c>
      <c r="G178" t="s">
        <v>760</v>
      </c>
      <c r="H178" t="s">
        <v>599</v>
      </c>
      <c r="I178" t="s">
        <v>600</v>
      </c>
      <c r="J178" t="s">
        <v>32</v>
      </c>
      <c r="K178" t="s">
        <v>29</v>
      </c>
      <c r="L178" t="s">
        <v>30</v>
      </c>
      <c r="M178" t="s">
        <v>31</v>
      </c>
      <c r="N178">
        <v>715</v>
      </c>
      <c r="O178">
        <v>443</v>
      </c>
      <c r="P178">
        <v>375</v>
      </c>
      <c r="Q178">
        <v>1533</v>
      </c>
      <c r="R178" s="15">
        <v>44678</v>
      </c>
      <c r="S178" t="s">
        <v>28</v>
      </c>
      <c r="T178" t="s">
        <v>29</v>
      </c>
      <c r="U178">
        <v>789019</v>
      </c>
    </row>
    <row r="179" spans="1:21" ht="14.25" customHeight="1" x14ac:dyDescent="0.35">
      <c r="A179" t="s">
        <v>761</v>
      </c>
      <c r="B179" t="s">
        <v>762</v>
      </c>
      <c r="C179" t="s">
        <v>23</v>
      </c>
      <c r="D179" t="s">
        <v>65</v>
      </c>
      <c r="E179" t="s">
        <v>189</v>
      </c>
      <c r="F179" t="s">
        <v>763</v>
      </c>
      <c r="G179" t="s">
        <v>764</v>
      </c>
      <c r="H179" t="s">
        <v>28</v>
      </c>
      <c r="I179" t="s">
        <v>29</v>
      </c>
      <c r="J179" t="s">
        <v>30</v>
      </c>
      <c r="K179" t="s">
        <v>31</v>
      </c>
      <c r="L179" t="s">
        <v>30</v>
      </c>
      <c r="M179" t="s">
        <v>31</v>
      </c>
      <c r="N179">
        <v>530</v>
      </c>
      <c r="O179">
        <v>330</v>
      </c>
      <c r="P179">
        <v>300</v>
      </c>
      <c r="Q179">
        <v>1160</v>
      </c>
      <c r="R179" s="15">
        <v>44669</v>
      </c>
      <c r="S179" t="s">
        <v>32</v>
      </c>
      <c r="T179" t="s">
        <v>29</v>
      </c>
      <c r="U179">
        <v>723125</v>
      </c>
    </row>
    <row r="180" spans="1:21" ht="14.25" customHeight="1" x14ac:dyDescent="0.35">
      <c r="A180" t="s">
        <v>765</v>
      </c>
      <c r="B180" t="s">
        <v>766</v>
      </c>
      <c r="C180" t="s">
        <v>23</v>
      </c>
      <c r="D180" t="s">
        <v>65</v>
      </c>
      <c r="E180" t="s">
        <v>224</v>
      </c>
      <c r="F180" t="s">
        <v>767</v>
      </c>
      <c r="G180" t="s">
        <v>768</v>
      </c>
      <c r="H180" t="s">
        <v>28</v>
      </c>
      <c r="I180" t="s">
        <v>29</v>
      </c>
      <c r="J180" t="s">
        <v>30</v>
      </c>
      <c r="K180" t="s">
        <v>31</v>
      </c>
      <c r="L180" t="s">
        <v>30</v>
      </c>
      <c r="M180" t="s">
        <v>31</v>
      </c>
      <c r="N180">
        <v>505</v>
      </c>
      <c r="O180">
        <v>310</v>
      </c>
      <c r="P180">
        <v>300</v>
      </c>
      <c r="Q180">
        <v>1115</v>
      </c>
      <c r="R180" s="15">
        <v>44669</v>
      </c>
      <c r="S180" t="s">
        <v>32</v>
      </c>
      <c r="T180" t="s">
        <v>29</v>
      </c>
      <c r="U180">
        <v>1120193</v>
      </c>
    </row>
    <row r="181" spans="1:21" ht="14.25" customHeight="1" x14ac:dyDescent="0.35">
      <c r="A181" t="s">
        <v>769</v>
      </c>
      <c r="B181" t="s">
        <v>770</v>
      </c>
      <c r="C181" t="s">
        <v>23</v>
      </c>
      <c r="D181" t="s">
        <v>65</v>
      </c>
      <c r="E181" t="s">
        <v>91</v>
      </c>
      <c r="F181" t="s">
        <v>771</v>
      </c>
      <c r="G181" t="s">
        <v>772</v>
      </c>
      <c r="H181" t="s">
        <v>28</v>
      </c>
      <c r="I181" t="s">
        <v>29</v>
      </c>
      <c r="J181" t="s">
        <v>30</v>
      </c>
      <c r="K181" t="s">
        <v>31</v>
      </c>
      <c r="L181" t="s">
        <v>30</v>
      </c>
      <c r="M181" t="s">
        <v>31</v>
      </c>
      <c r="N181">
        <v>505</v>
      </c>
      <c r="O181">
        <v>315</v>
      </c>
      <c r="P181">
        <v>305</v>
      </c>
      <c r="Q181">
        <v>1125</v>
      </c>
      <c r="R181" s="15">
        <v>44722</v>
      </c>
      <c r="S181" t="s">
        <v>32</v>
      </c>
      <c r="T181" t="s">
        <v>29</v>
      </c>
      <c r="U181">
        <v>849399</v>
      </c>
    </row>
    <row r="182" spans="1:21" ht="14.25" customHeight="1" x14ac:dyDescent="0.35">
      <c r="A182" t="s">
        <v>773</v>
      </c>
      <c r="B182" t="s">
        <v>774</v>
      </c>
      <c r="C182" t="s">
        <v>23</v>
      </c>
      <c r="D182" t="s">
        <v>65</v>
      </c>
      <c r="E182" t="s">
        <v>224</v>
      </c>
      <c r="F182" t="s">
        <v>775</v>
      </c>
      <c r="G182" t="s">
        <v>776</v>
      </c>
      <c r="H182" t="s">
        <v>38</v>
      </c>
      <c r="I182" t="s">
        <v>31</v>
      </c>
      <c r="J182" t="s">
        <v>38</v>
      </c>
      <c r="K182" t="s">
        <v>31</v>
      </c>
      <c r="L182" t="s">
        <v>38</v>
      </c>
      <c r="M182" t="s">
        <v>31</v>
      </c>
      <c r="N182">
        <v>250</v>
      </c>
      <c r="O182">
        <v>226</v>
      </c>
      <c r="P182">
        <v>225</v>
      </c>
      <c r="Q182">
        <v>701</v>
      </c>
      <c r="R182" s="15">
        <v>44669</v>
      </c>
      <c r="S182" t="s">
        <v>38</v>
      </c>
      <c r="T182" t="s">
        <v>31</v>
      </c>
      <c r="U182">
        <v>73124</v>
      </c>
    </row>
    <row r="183" spans="1:21" ht="14.25" customHeight="1" x14ac:dyDescent="0.35">
      <c r="A183" t="s">
        <v>777</v>
      </c>
      <c r="B183" t="s">
        <v>778</v>
      </c>
      <c r="C183" t="s">
        <v>23</v>
      </c>
      <c r="D183" t="s">
        <v>65</v>
      </c>
      <c r="E183" t="s">
        <v>46</v>
      </c>
      <c r="F183" t="s">
        <v>779</v>
      </c>
      <c r="G183" t="s">
        <v>780</v>
      </c>
      <c r="H183" t="s">
        <v>28</v>
      </c>
      <c r="I183" t="s">
        <v>29</v>
      </c>
      <c r="J183" t="s">
        <v>30</v>
      </c>
      <c r="K183" t="s">
        <v>31</v>
      </c>
      <c r="L183" t="s">
        <v>30</v>
      </c>
      <c r="M183" t="s">
        <v>31</v>
      </c>
      <c r="N183">
        <v>525</v>
      </c>
      <c r="O183">
        <v>303</v>
      </c>
      <c r="P183">
        <v>315</v>
      </c>
      <c r="Q183">
        <v>1143</v>
      </c>
      <c r="R183" s="15">
        <v>44669</v>
      </c>
      <c r="S183" t="s">
        <v>32</v>
      </c>
      <c r="T183" t="s">
        <v>29</v>
      </c>
      <c r="U183">
        <v>814453</v>
      </c>
    </row>
    <row r="184" spans="1:21" ht="14.25" customHeight="1" x14ac:dyDescent="0.35">
      <c r="A184" t="s">
        <v>781</v>
      </c>
      <c r="B184" t="s">
        <v>782</v>
      </c>
      <c r="C184" t="s">
        <v>23</v>
      </c>
      <c r="D184" t="s">
        <v>65</v>
      </c>
      <c r="E184" t="s">
        <v>189</v>
      </c>
      <c r="F184" t="s">
        <v>783</v>
      </c>
      <c r="G184" t="s">
        <v>784</v>
      </c>
      <c r="H184" t="s">
        <v>30</v>
      </c>
      <c r="I184" t="s">
        <v>31</v>
      </c>
      <c r="J184" t="s">
        <v>30</v>
      </c>
      <c r="K184" t="s">
        <v>31</v>
      </c>
      <c r="L184" t="s">
        <v>38</v>
      </c>
      <c r="M184" t="s">
        <v>31</v>
      </c>
      <c r="N184">
        <v>323</v>
      </c>
      <c r="O184">
        <v>301</v>
      </c>
      <c r="P184">
        <v>275</v>
      </c>
      <c r="Q184">
        <v>899</v>
      </c>
      <c r="R184" s="15">
        <v>44669</v>
      </c>
      <c r="S184" t="s">
        <v>30</v>
      </c>
      <c r="T184" t="s">
        <v>31</v>
      </c>
      <c r="U184">
        <v>1045810</v>
      </c>
    </row>
    <row r="185" spans="1:21" ht="14.25" customHeight="1" x14ac:dyDescent="0.35">
      <c r="A185" t="s">
        <v>785</v>
      </c>
      <c r="B185" t="s">
        <v>786</v>
      </c>
      <c r="C185" t="s">
        <v>23</v>
      </c>
      <c r="D185" t="s">
        <v>65</v>
      </c>
      <c r="E185" t="s">
        <v>107</v>
      </c>
      <c r="F185" t="s">
        <v>787</v>
      </c>
      <c r="G185" t="s">
        <v>788</v>
      </c>
      <c r="H185" t="s">
        <v>38</v>
      </c>
      <c r="I185" t="s">
        <v>31</v>
      </c>
      <c r="J185" t="s">
        <v>38</v>
      </c>
      <c r="K185" t="s">
        <v>31</v>
      </c>
      <c r="L185" t="s">
        <v>30</v>
      </c>
      <c r="M185" t="s">
        <v>31</v>
      </c>
      <c r="N185">
        <v>200</v>
      </c>
      <c r="O185">
        <v>273</v>
      </c>
      <c r="P185">
        <v>300</v>
      </c>
      <c r="Q185">
        <v>773</v>
      </c>
      <c r="R185" s="15">
        <v>44722</v>
      </c>
      <c r="S185" t="s">
        <v>30</v>
      </c>
      <c r="T185" t="s">
        <v>31</v>
      </c>
      <c r="U185">
        <v>1564824</v>
      </c>
    </row>
    <row r="186" spans="1:21" ht="14.25" customHeight="1" x14ac:dyDescent="0.35">
      <c r="A186" t="s">
        <v>789</v>
      </c>
      <c r="B186" t="s">
        <v>790</v>
      </c>
      <c r="C186" t="s">
        <v>23</v>
      </c>
      <c r="D186" t="s">
        <v>65</v>
      </c>
      <c r="E186" t="s">
        <v>25</v>
      </c>
      <c r="F186" t="s">
        <v>791</v>
      </c>
      <c r="G186" t="s">
        <v>792</v>
      </c>
      <c r="H186" t="s">
        <v>28</v>
      </c>
      <c r="I186" t="s">
        <v>29</v>
      </c>
      <c r="J186" t="s">
        <v>30</v>
      </c>
      <c r="K186" t="s">
        <v>31</v>
      </c>
      <c r="L186" t="s">
        <v>30</v>
      </c>
      <c r="M186" t="s">
        <v>31</v>
      </c>
      <c r="N186">
        <v>509</v>
      </c>
      <c r="O186">
        <v>300</v>
      </c>
      <c r="P186">
        <v>300</v>
      </c>
      <c r="Q186">
        <v>1109</v>
      </c>
      <c r="R186" s="15">
        <v>44669</v>
      </c>
      <c r="S186" t="s">
        <v>32</v>
      </c>
      <c r="T186" t="s">
        <v>29</v>
      </c>
      <c r="U186">
        <v>1564708</v>
      </c>
    </row>
    <row r="187" spans="1:21" ht="14.25" customHeight="1" x14ac:dyDescent="0.35">
      <c r="A187" t="s">
        <v>793</v>
      </c>
      <c r="B187" t="s">
        <v>794</v>
      </c>
      <c r="C187" t="s">
        <v>23</v>
      </c>
      <c r="D187" t="s">
        <v>65</v>
      </c>
      <c r="E187" t="s">
        <v>652</v>
      </c>
      <c r="F187" t="s">
        <v>795</v>
      </c>
      <c r="G187" t="s">
        <v>796</v>
      </c>
      <c r="H187" t="s">
        <v>32</v>
      </c>
      <c r="I187" t="s">
        <v>29</v>
      </c>
      <c r="J187" t="s">
        <v>32</v>
      </c>
      <c r="K187" t="s">
        <v>29</v>
      </c>
      <c r="L187" t="s">
        <v>38</v>
      </c>
      <c r="M187" t="s">
        <v>31</v>
      </c>
      <c r="N187">
        <v>467</v>
      </c>
      <c r="O187">
        <v>423</v>
      </c>
      <c r="P187">
        <v>280</v>
      </c>
      <c r="Q187">
        <v>1170</v>
      </c>
      <c r="R187" s="15">
        <v>44669</v>
      </c>
      <c r="S187" t="s">
        <v>32</v>
      </c>
      <c r="T187" t="s">
        <v>29</v>
      </c>
      <c r="U187">
        <v>878927</v>
      </c>
    </row>
    <row r="188" spans="1:21" ht="14.25" customHeight="1" x14ac:dyDescent="0.35">
      <c r="A188" t="s">
        <v>797</v>
      </c>
      <c r="B188" t="s">
        <v>798</v>
      </c>
      <c r="C188" t="s">
        <v>23</v>
      </c>
      <c r="D188" t="s">
        <v>65</v>
      </c>
      <c r="E188" t="s">
        <v>390</v>
      </c>
      <c r="F188" t="s">
        <v>799</v>
      </c>
      <c r="G188" t="s">
        <v>800</v>
      </c>
      <c r="H188" t="s">
        <v>28</v>
      </c>
      <c r="I188" t="s">
        <v>29</v>
      </c>
      <c r="J188" t="s">
        <v>30</v>
      </c>
      <c r="K188" t="s">
        <v>31</v>
      </c>
      <c r="L188" t="s">
        <v>30</v>
      </c>
      <c r="M188" t="s">
        <v>31</v>
      </c>
      <c r="N188">
        <v>568</v>
      </c>
      <c r="O188">
        <v>343</v>
      </c>
      <c r="P188">
        <v>305</v>
      </c>
      <c r="Q188">
        <v>1216</v>
      </c>
      <c r="R188" s="15">
        <v>44669</v>
      </c>
      <c r="S188" t="s">
        <v>28</v>
      </c>
      <c r="T188" t="s">
        <v>29</v>
      </c>
      <c r="U188">
        <v>75362</v>
      </c>
    </row>
    <row r="189" spans="1:21" ht="14.25" customHeight="1" x14ac:dyDescent="0.35">
      <c r="A189" t="s">
        <v>801</v>
      </c>
      <c r="B189" t="s">
        <v>802</v>
      </c>
      <c r="C189" t="s">
        <v>23</v>
      </c>
      <c r="D189" t="s">
        <v>65</v>
      </c>
      <c r="E189" t="s">
        <v>189</v>
      </c>
      <c r="F189" t="s">
        <v>803</v>
      </c>
      <c r="G189" t="s">
        <v>804</v>
      </c>
      <c r="H189" t="s">
        <v>28</v>
      </c>
      <c r="I189" t="s">
        <v>29</v>
      </c>
      <c r="J189" t="s">
        <v>30</v>
      </c>
      <c r="K189" t="s">
        <v>31</v>
      </c>
      <c r="L189" t="s">
        <v>30</v>
      </c>
      <c r="M189" t="s">
        <v>31</v>
      </c>
      <c r="N189">
        <v>505</v>
      </c>
      <c r="O189">
        <v>329</v>
      </c>
      <c r="P189">
        <v>305</v>
      </c>
      <c r="Q189">
        <v>1139</v>
      </c>
      <c r="R189" s="15">
        <v>44669</v>
      </c>
      <c r="S189" t="s">
        <v>32</v>
      </c>
      <c r="T189" t="s">
        <v>29</v>
      </c>
      <c r="U189">
        <v>1413447</v>
      </c>
    </row>
    <row r="190" spans="1:21" ht="14.25" customHeight="1" x14ac:dyDescent="0.35">
      <c r="A190" t="s">
        <v>805</v>
      </c>
      <c r="B190" t="s">
        <v>806</v>
      </c>
      <c r="C190" t="s">
        <v>23</v>
      </c>
      <c r="D190" t="s">
        <v>65</v>
      </c>
      <c r="E190" t="s">
        <v>596</v>
      </c>
      <c r="F190" t="s">
        <v>807</v>
      </c>
      <c r="G190" t="s">
        <v>808</v>
      </c>
      <c r="H190" t="s">
        <v>28</v>
      </c>
      <c r="I190" t="s">
        <v>29</v>
      </c>
      <c r="J190" t="s">
        <v>30</v>
      </c>
      <c r="K190" t="s">
        <v>31</v>
      </c>
      <c r="L190" t="s">
        <v>30</v>
      </c>
      <c r="M190" t="s">
        <v>31</v>
      </c>
      <c r="N190">
        <v>500</v>
      </c>
      <c r="O190">
        <v>300</v>
      </c>
      <c r="P190">
        <v>300</v>
      </c>
      <c r="Q190">
        <v>1100</v>
      </c>
      <c r="R190" s="15">
        <v>44669</v>
      </c>
      <c r="S190" t="s">
        <v>32</v>
      </c>
      <c r="T190" t="s">
        <v>29</v>
      </c>
      <c r="U190">
        <v>898173</v>
      </c>
    </row>
    <row r="191" spans="1:21" ht="14.25" customHeight="1" x14ac:dyDescent="0.35">
      <c r="A191" t="s">
        <v>809</v>
      </c>
      <c r="B191" t="s">
        <v>810</v>
      </c>
      <c r="C191" t="s">
        <v>23</v>
      </c>
      <c r="D191" t="s">
        <v>65</v>
      </c>
      <c r="E191" t="s">
        <v>91</v>
      </c>
      <c r="F191" t="s">
        <v>811</v>
      </c>
      <c r="G191" t="s">
        <v>812</v>
      </c>
      <c r="H191" t="s">
        <v>28</v>
      </c>
      <c r="I191" t="s">
        <v>29</v>
      </c>
      <c r="J191" t="s">
        <v>30</v>
      </c>
      <c r="K191" t="s">
        <v>31</v>
      </c>
      <c r="L191" t="s">
        <v>38</v>
      </c>
      <c r="M191" t="s">
        <v>31</v>
      </c>
      <c r="N191">
        <v>500</v>
      </c>
      <c r="O191">
        <v>300</v>
      </c>
      <c r="P191">
        <v>200</v>
      </c>
      <c r="Q191">
        <v>1000</v>
      </c>
      <c r="R191" s="15">
        <v>44768</v>
      </c>
      <c r="S191" t="s">
        <v>32</v>
      </c>
      <c r="T191" t="s">
        <v>29</v>
      </c>
      <c r="U191">
        <v>723531</v>
      </c>
    </row>
    <row r="192" spans="1:21" ht="14.25" customHeight="1" x14ac:dyDescent="0.35">
      <c r="A192" t="s">
        <v>813</v>
      </c>
      <c r="B192" t="s">
        <v>814</v>
      </c>
      <c r="C192" t="s">
        <v>23</v>
      </c>
      <c r="D192" t="s">
        <v>65</v>
      </c>
      <c r="E192" t="s">
        <v>76</v>
      </c>
      <c r="F192" t="s">
        <v>815</v>
      </c>
      <c r="G192" t="s">
        <v>816</v>
      </c>
      <c r="H192" t="s">
        <v>28</v>
      </c>
      <c r="I192" t="s">
        <v>29</v>
      </c>
      <c r="J192" t="s">
        <v>30</v>
      </c>
      <c r="K192" t="s">
        <v>31</v>
      </c>
      <c r="L192" t="s">
        <v>30</v>
      </c>
      <c r="M192" t="s">
        <v>31</v>
      </c>
      <c r="N192">
        <v>555</v>
      </c>
      <c r="O192">
        <v>320</v>
      </c>
      <c r="P192">
        <v>300</v>
      </c>
      <c r="Q192">
        <v>1175</v>
      </c>
      <c r="R192" s="15">
        <v>44669</v>
      </c>
      <c r="S192" t="s">
        <v>32</v>
      </c>
      <c r="T192" t="s">
        <v>29</v>
      </c>
      <c r="U192">
        <v>1126328</v>
      </c>
    </row>
    <row r="193" spans="1:21" ht="14.25" customHeight="1" x14ac:dyDescent="0.35">
      <c r="A193" t="s">
        <v>817</v>
      </c>
      <c r="B193" t="s">
        <v>818</v>
      </c>
      <c r="C193" t="s">
        <v>23</v>
      </c>
      <c r="D193" t="s">
        <v>65</v>
      </c>
      <c r="E193" t="s">
        <v>596</v>
      </c>
      <c r="F193" t="s">
        <v>819</v>
      </c>
      <c r="G193" t="s">
        <v>820</v>
      </c>
      <c r="H193" t="s">
        <v>30</v>
      </c>
      <c r="I193" t="s">
        <v>31</v>
      </c>
      <c r="J193" t="s">
        <v>30</v>
      </c>
      <c r="K193" t="s">
        <v>31</v>
      </c>
      <c r="L193" t="s">
        <v>30</v>
      </c>
      <c r="M193" t="s">
        <v>31</v>
      </c>
      <c r="N193">
        <v>375</v>
      </c>
      <c r="O193">
        <v>325</v>
      </c>
      <c r="P193">
        <v>300</v>
      </c>
      <c r="Q193">
        <v>1000</v>
      </c>
      <c r="R193" s="15">
        <v>44670</v>
      </c>
      <c r="S193" t="s">
        <v>32</v>
      </c>
      <c r="T193" t="s">
        <v>29</v>
      </c>
      <c r="U193">
        <v>745732</v>
      </c>
    </row>
    <row r="194" spans="1:21" ht="14.25" customHeight="1" x14ac:dyDescent="0.35">
      <c r="A194" t="s">
        <v>821</v>
      </c>
      <c r="B194" t="s">
        <v>822</v>
      </c>
      <c r="C194" t="s">
        <v>23</v>
      </c>
      <c r="D194" t="s">
        <v>65</v>
      </c>
      <c r="E194" t="s">
        <v>321</v>
      </c>
      <c r="F194" t="s">
        <v>823</v>
      </c>
      <c r="G194" t="s">
        <v>824</v>
      </c>
      <c r="H194" t="s">
        <v>38</v>
      </c>
      <c r="I194" t="s">
        <v>31</v>
      </c>
      <c r="J194" t="s">
        <v>38</v>
      </c>
      <c r="K194" t="s">
        <v>31</v>
      </c>
      <c r="L194" t="s">
        <v>38</v>
      </c>
      <c r="M194" t="s">
        <v>31</v>
      </c>
      <c r="N194">
        <v>250</v>
      </c>
      <c r="O194">
        <v>251</v>
      </c>
      <c r="P194">
        <v>215</v>
      </c>
      <c r="Q194">
        <v>716</v>
      </c>
      <c r="R194" s="15">
        <v>44670</v>
      </c>
      <c r="S194" t="s">
        <v>38</v>
      </c>
      <c r="T194" t="s">
        <v>31</v>
      </c>
      <c r="U194">
        <v>1034054</v>
      </c>
    </row>
    <row r="195" spans="1:21" ht="14.25" customHeight="1" x14ac:dyDescent="0.35">
      <c r="A195" t="s">
        <v>825</v>
      </c>
      <c r="B195" t="s">
        <v>826</v>
      </c>
      <c r="C195" t="s">
        <v>23</v>
      </c>
      <c r="D195" t="s">
        <v>65</v>
      </c>
      <c r="E195" t="s">
        <v>189</v>
      </c>
      <c r="F195" t="s">
        <v>827</v>
      </c>
      <c r="G195" t="s">
        <v>828</v>
      </c>
      <c r="H195" t="s">
        <v>32</v>
      </c>
      <c r="I195" t="s">
        <v>29</v>
      </c>
      <c r="J195" t="s">
        <v>30</v>
      </c>
      <c r="K195" t="s">
        <v>31</v>
      </c>
      <c r="L195" t="s">
        <v>30</v>
      </c>
      <c r="M195" t="s">
        <v>31</v>
      </c>
      <c r="N195">
        <v>409</v>
      </c>
      <c r="O195">
        <v>300</v>
      </c>
      <c r="P195">
        <v>300</v>
      </c>
      <c r="Q195">
        <v>1009</v>
      </c>
      <c r="R195" s="15">
        <v>44670</v>
      </c>
      <c r="S195" t="s">
        <v>32</v>
      </c>
      <c r="T195" t="s">
        <v>29</v>
      </c>
      <c r="U195">
        <v>804328</v>
      </c>
    </row>
    <row r="196" spans="1:21" ht="14.25" customHeight="1" x14ac:dyDescent="0.35">
      <c r="A196" t="s">
        <v>829</v>
      </c>
      <c r="B196" t="s">
        <v>830</v>
      </c>
      <c r="C196" t="s">
        <v>23</v>
      </c>
      <c r="D196" t="s">
        <v>65</v>
      </c>
      <c r="E196" t="s">
        <v>709</v>
      </c>
      <c r="F196" t="s">
        <v>831</v>
      </c>
      <c r="G196" t="s">
        <v>832</v>
      </c>
      <c r="H196" t="s">
        <v>28</v>
      </c>
      <c r="I196" t="s">
        <v>29</v>
      </c>
      <c r="J196" t="s">
        <v>30</v>
      </c>
      <c r="K196" t="s">
        <v>31</v>
      </c>
      <c r="L196" t="s">
        <v>30</v>
      </c>
      <c r="M196" t="s">
        <v>31</v>
      </c>
      <c r="N196">
        <v>525</v>
      </c>
      <c r="O196">
        <v>306</v>
      </c>
      <c r="P196">
        <v>313</v>
      </c>
      <c r="Q196">
        <v>1144</v>
      </c>
      <c r="R196" s="15">
        <v>44669</v>
      </c>
      <c r="S196" t="s">
        <v>32</v>
      </c>
      <c r="T196" t="s">
        <v>29</v>
      </c>
      <c r="U196">
        <v>945841</v>
      </c>
    </row>
    <row r="197" spans="1:21" ht="14.25" customHeight="1" x14ac:dyDescent="0.35">
      <c r="A197" t="s">
        <v>833</v>
      </c>
      <c r="B197" t="s">
        <v>834</v>
      </c>
      <c r="C197" t="s">
        <v>23</v>
      </c>
      <c r="D197" t="s">
        <v>65</v>
      </c>
      <c r="E197" t="s">
        <v>742</v>
      </c>
      <c r="F197" t="s">
        <v>835</v>
      </c>
      <c r="G197" t="s">
        <v>836</v>
      </c>
      <c r="H197" t="s">
        <v>599</v>
      </c>
      <c r="I197" t="s">
        <v>600</v>
      </c>
      <c r="J197" t="s">
        <v>30</v>
      </c>
      <c r="K197" t="s">
        <v>31</v>
      </c>
      <c r="L197" t="s">
        <v>30</v>
      </c>
      <c r="M197" t="s">
        <v>31</v>
      </c>
      <c r="N197">
        <v>719</v>
      </c>
      <c r="O197">
        <v>340</v>
      </c>
      <c r="P197">
        <v>358</v>
      </c>
      <c r="Q197">
        <v>1417</v>
      </c>
      <c r="R197" s="15">
        <v>44669</v>
      </c>
      <c r="S197" t="s">
        <v>28</v>
      </c>
      <c r="T197" t="s">
        <v>29</v>
      </c>
      <c r="U197">
        <v>77476</v>
      </c>
    </row>
    <row r="198" spans="1:21" ht="14.25" customHeight="1" x14ac:dyDescent="0.35">
      <c r="A198" t="s">
        <v>837</v>
      </c>
      <c r="B198" t="s">
        <v>838</v>
      </c>
      <c r="C198" t="s">
        <v>23</v>
      </c>
      <c r="D198" t="s">
        <v>65</v>
      </c>
      <c r="E198" t="s">
        <v>55</v>
      </c>
      <c r="F198" t="s">
        <v>839</v>
      </c>
      <c r="G198" t="s">
        <v>840</v>
      </c>
      <c r="H198" t="s">
        <v>32</v>
      </c>
      <c r="I198" t="s">
        <v>29</v>
      </c>
      <c r="J198" t="s">
        <v>30</v>
      </c>
      <c r="K198" t="s">
        <v>31</v>
      </c>
      <c r="L198" t="s">
        <v>38</v>
      </c>
      <c r="M198" t="s">
        <v>31</v>
      </c>
      <c r="N198">
        <v>475</v>
      </c>
      <c r="O198">
        <v>385</v>
      </c>
      <c r="P198">
        <v>295</v>
      </c>
      <c r="Q198">
        <v>1155</v>
      </c>
      <c r="R198" s="15">
        <v>44670</v>
      </c>
      <c r="S198" t="s">
        <v>32</v>
      </c>
      <c r="T198" t="s">
        <v>29</v>
      </c>
      <c r="U198">
        <v>829224</v>
      </c>
    </row>
    <row r="199" spans="1:21" ht="14.25" customHeight="1" x14ac:dyDescent="0.35">
      <c r="A199" t="s">
        <v>841</v>
      </c>
      <c r="B199" t="s">
        <v>842</v>
      </c>
      <c r="C199" t="s">
        <v>23</v>
      </c>
      <c r="D199" t="s">
        <v>65</v>
      </c>
      <c r="E199" t="s">
        <v>321</v>
      </c>
      <c r="F199" t="s">
        <v>843</v>
      </c>
      <c r="G199" t="s">
        <v>844</v>
      </c>
      <c r="H199" t="s">
        <v>28</v>
      </c>
      <c r="I199" t="s">
        <v>29</v>
      </c>
      <c r="J199" t="s">
        <v>30</v>
      </c>
      <c r="K199" t="s">
        <v>31</v>
      </c>
      <c r="L199" t="s">
        <v>30</v>
      </c>
      <c r="M199" t="s">
        <v>31</v>
      </c>
      <c r="N199">
        <v>575</v>
      </c>
      <c r="O199">
        <v>372</v>
      </c>
      <c r="P199">
        <v>365</v>
      </c>
      <c r="Q199">
        <v>1312</v>
      </c>
      <c r="R199" s="15">
        <v>44670</v>
      </c>
      <c r="S199" t="s">
        <v>28</v>
      </c>
      <c r="T199" t="s">
        <v>29</v>
      </c>
      <c r="U199">
        <v>910606</v>
      </c>
    </row>
    <row r="200" spans="1:21" ht="14.25" customHeight="1" x14ac:dyDescent="0.35">
      <c r="A200" t="s">
        <v>845</v>
      </c>
      <c r="B200" t="s">
        <v>846</v>
      </c>
      <c r="C200" t="s">
        <v>23</v>
      </c>
      <c r="D200" t="s">
        <v>65</v>
      </c>
      <c r="E200" t="s">
        <v>189</v>
      </c>
      <c r="F200" t="s">
        <v>847</v>
      </c>
      <c r="G200" t="s">
        <v>848</v>
      </c>
      <c r="H200" t="s">
        <v>28</v>
      </c>
      <c r="I200" t="s">
        <v>29</v>
      </c>
      <c r="J200" t="s">
        <v>30</v>
      </c>
      <c r="K200" t="s">
        <v>31</v>
      </c>
      <c r="L200" t="s">
        <v>30</v>
      </c>
      <c r="M200" t="s">
        <v>31</v>
      </c>
      <c r="N200">
        <v>535</v>
      </c>
      <c r="O200">
        <v>310</v>
      </c>
      <c r="P200">
        <v>305</v>
      </c>
      <c r="Q200">
        <v>1150</v>
      </c>
      <c r="R200" s="15">
        <v>44670</v>
      </c>
      <c r="S200" t="s">
        <v>32</v>
      </c>
      <c r="T200" t="s">
        <v>29</v>
      </c>
      <c r="U200">
        <v>1604778</v>
      </c>
    </row>
    <row r="201" spans="1:21" ht="14.25" customHeight="1" x14ac:dyDescent="0.35">
      <c r="A201" t="s">
        <v>849</v>
      </c>
      <c r="B201" t="s">
        <v>850</v>
      </c>
      <c r="C201" t="s">
        <v>23</v>
      </c>
      <c r="D201" t="s">
        <v>65</v>
      </c>
      <c r="E201" t="s">
        <v>91</v>
      </c>
      <c r="F201" t="s">
        <v>851</v>
      </c>
      <c r="G201" t="s">
        <v>852</v>
      </c>
      <c r="H201" t="s">
        <v>28</v>
      </c>
      <c r="I201" t="s">
        <v>29</v>
      </c>
      <c r="J201" t="s">
        <v>30</v>
      </c>
      <c r="K201" t="s">
        <v>31</v>
      </c>
      <c r="L201" t="s">
        <v>30</v>
      </c>
      <c r="M201" t="s">
        <v>31</v>
      </c>
      <c r="N201">
        <v>550</v>
      </c>
      <c r="O201">
        <v>302</v>
      </c>
      <c r="P201">
        <v>308</v>
      </c>
      <c r="Q201">
        <v>1160</v>
      </c>
      <c r="R201" s="15">
        <v>44670</v>
      </c>
      <c r="S201" t="s">
        <v>32</v>
      </c>
      <c r="T201" t="s">
        <v>29</v>
      </c>
      <c r="U201">
        <v>857005</v>
      </c>
    </row>
    <row r="202" spans="1:21" ht="14.25" customHeight="1" x14ac:dyDescent="0.35">
      <c r="A202" t="s">
        <v>853</v>
      </c>
      <c r="B202" t="s">
        <v>854</v>
      </c>
      <c r="C202" t="s">
        <v>23</v>
      </c>
      <c r="D202" t="s">
        <v>65</v>
      </c>
      <c r="E202" t="s">
        <v>55</v>
      </c>
      <c r="F202" t="s">
        <v>855</v>
      </c>
      <c r="G202" t="s">
        <v>856</v>
      </c>
      <c r="H202" t="s">
        <v>30</v>
      </c>
      <c r="I202" t="s">
        <v>31</v>
      </c>
      <c r="J202" t="s">
        <v>30</v>
      </c>
      <c r="K202" t="s">
        <v>31</v>
      </c>
      <c r="L202" t="s">
        <v>38</v>
      </c>
      <c r="M202" t="s">
        <v>31</v>
      </c>
      <c r="N202">
        <v>371</v>
      </c>
      <c r="O202">
        <v>300</v>
      </c>
      <c r="P202">
        <v>220</v>
      </c>
      <c r="Q202">
        <v>891</v>
      </c>
      <c r="R202" s="15">
        <v>44669</v>
      </c>
      <c r="S202" t="s">
        <v>30</v>
      </c>
      <c r="T202" t="s">
        <v>31</v>
      </c>
      <c r="U202">
        <v>921738</v>
      </c>
    </row>
    <row r="203" spans="1:21" ht="14.25" customHeight="1" x14ac:dyDescent="0.35">
      <c r="A203" t="s">
        <v>857</v>
      </c>
      <c r="B203" t="s">
        <v>858</v>
      </c>
      <c r="C203" t="s">
        <v>23</v>
      </c>
      <c r="D203" t="s">
        <v>65</v>
      </c>
      <c r="E203" t="s">
        <v>91</v>
      </c>
      <c r="F203" t="s">
        <v>859</v>
      </c>
      <c r="G203" t="s">
        <v>860</v>
      </c>
      <c r="H203" t="s">
        <v>30</v>
      </c>
      <c r="I203" t="s">
        <v>31</v>
      </c>
      <c r="J203" t="s">
        <v>38</v>
      </c>
      <c r="K203" t="s">
        <v>31</v>
      </c>
      <c r="L203" t="s">
        <v>38</v>
      </c>
      <c r="M203" t="s">
        <v>31</v>
      </c>
      <c r="N203">
        <v>370</v>
      </c>
      <c r="O203">
        <v>244</v>
      </c>
      <c r="P203">
        <v>285</v>
      </c>
      <c r="Q203">
        <v>899</v>
      </c>
      <c r="R203" s="15">
        <v>44669</v>
      </c>
      <c r="S203" t="s">
        <v>30</v>
      </c>
      <c r="T203" t="s">
        <v>31</v>
      </c>
      <c r="U203">
        <v>1633917</v>
      </c>
    </row>
    <row r="204" spans="1:21" ht="14.25" customHeight="1" x14ac:dyDescent="0.35">
      <c r="A204" t="s">
        <v>861</v>
      </c>
      <c r="B204" t="s">
        <v>862</v>
      </c>
      <c r="C204" t="s">
        <v>23</v>
      </c>
      <c r="D204" t="s">
        <v>65</v>
      </c>
      <c r="E204" t="s">
        <v>107</v>
      </c>
      <c r="F204" t="s">
        <v>863</v>
      </c>
      <c r="G204" t="s">
        <v>864</v>
      </c>
      <c r="H204" t="s">
        <v>28</v>
      </c>
      <c r="I204" t="s">
        <v>29</v>
      </c>
      <c r="J204" t="s">
        <v>30</v>
      </c>
      <c r="K204" t="s">
        <v>31</v>
      </c>
      <c r="L204" t="s">
        <v>30</v>
      </c>
      <c r="M204" t="s">
        <v>31</v>
      </c>
      <c r="N204">
        <v>505</v>
      </c>
      <c r="O204">
        <v>327</v>
      </c>
      <c r="P204">
        <v>305</v>
      </c>
      <c r="Q204">
        <v>1137</v>
      </c>
      <c r="R204" s="15">
        <v>44670</v>
      </c>
      <c r="S204" t="s">
        <v>32</v>
      </c>
      <c r="T204" t="s">
        <v>29</v>
      </c>
      <c r="U204">
        <v>872589</v>
      </c>
    </row>
    <row r="205" spans="1:21" ht="14.25" customHeight="1" x14ac:dyDescent="0.35">
      <c r="A205" t="s">
        <v>865</v>
      </c>
      <c r="B205" t="s">
        <v>866</v>
      </c>
      <c r="C205" t="s">
        <v>23</v>
      </c>
      <c r="D205" t="s">
        <v>65</v>
      </c>
      <c r="E205" t="s">
        <v>107</v>
      </c>
      <c r="F205" t="s">
        <v>867</v>
      </c>
      <c r="G205" t="s">
        <v>868</v>
      </c>
      <c r="H205" t="s">
        <v>28</v>
      </c>
      <c r="I205" t="s">
        <v>29</v>
      </c>
      <c r="J205" t="s">
        <v>30</v>
      </c>
      <c r="K205" t="s">
        <v>31</v>
      </c>
      <c r="L205" t="s">
        <v>30</v>
      </c>
      <c r="M205" t="s">
        <v>31</v>
      </c>
      <c r="N205">
        <v>575</v>
      </c>
      <c r="O205">
        <v>312</v>
      </c>
      <c r="P205">
        <v>328</v>
      </c>
      <c r="Q205">
        <v>1215</v>
      </c>
      <c r="R205" s="15">
        <v>44667</v>
      </c>
      <c r="S205" t="s">
        <v>28</v>
      </c>
      <c r="T205" t="s">
        <v>29</v>
      </c>
      <c r="U205">
        <v>318154</v>
      </c>
    </row>
    <row r="206" spans="1:21" ht="14.25" customHeight="1" x14ac:dyDescent="0.35">
      <c r="A206" t="s">
        <v>869</v>
      </c>
      <c r="B206" t="s">
        <v>870</v>
      </c>
      <c r="C206" t="s">
        <v>23</v>
      </c>
      <c r="D206" t="s">
        <v>65</v>
      </c>
      <c r="E206" t="s">
        <v>91</v>
      </c>
      <c r="F206" t="s">
        <v>871</v>
      </c>
      <c r="G206" t="s">
        <v>872</v>
      </c>
      <c r="H206" t="s">
        <v>28</v>
      </c>
      <c r="I206" t="s">
        <v>29</v>
      </c>
      <c r="J206" t="s">
        <v>30</v>
      </c>
      <c r="K206" t="s">
        <v>31</v>
      </c>
      <c r="L206" t="s">
        <v>30</v>
      </c>
      <c r="M206" t="s">
        <v>31</v>
      </c>
      <c r="N206">
        <v>525</v>
      </c>
      <c r="O206">
        <v>316</v>
      </c>
      <c r="P206">
        <v>315</v>
      </c>
      <c r="Q206">
        <v>1156</v>
      </c>
      <c r="R206" s="15">
        <v>44670</v>
      </c>
      <c r="S206" t="s">
        <v>32</v>
      </c>
      <c r="T206" t="s">
        <v>29</v>
      </c>
      <c r="U206">
        <v>883241</v>
      </c>
    </row>
    <row r="207" spans="1:21" ht="14.25" customHeight="1" x14ac:dyDescent="0.35">
      <c r="A207" t="s">
        <v>873</v>
      </c>
      <c r="B207" t="s">
        <v>874</v>
      </c>
      <c r="C207" t="s">
        <v>23</v>
      </c>
      <c r="D207" t="s">
        <v>65</v>
      </c>
      <c r="E207" t="s">
        <v>91</v>
      </c>
      <c r="F207" t="s">
        <v>875</v>
      </c>
      <c r="G207" t="s">
        <v>876</v>
      </c>
      <c r="H207" t="s">
        <v>28</v>
      </c>
      <c r="I207" t="s">
        <v>29</v>
      </c>
      <c r="J207" t="s">
        <v>30</v>
      </c>
      <c r="K207" t="s">
        <v>31</v>
      </c>
      <c r="L207" t="s">
        <v>30</v>
      </c>
      <c r="M207" t="s">
        <v>31</v>
      </c>
      <c r="N207">
        <v>540</v>
      </c>
      <c r="O207">
        <v>355</v>
      </c>
      <c r="P207">
        <v>300</v>
      </c>
      <c r="Q207">
        <v>1195</v>
      </c>
      <c r="R207" s="15">
        <v>44670</v>
      </c>
      <c r="S207" t="s">
        <v>32</v>
      </c>
      <c r="T207" t="s">
        <v>29</v>
      </c>
      <c r="U207">
        <v>1137789</v>
      </c>
    </row>
    <row r="208" spans="1:21" ht="14.25" customHeight="1" x14ac:dyDescent="0.35">
      <c r="A208" t="s">
        <v>877</v>
      </c>
      <c r="B208" t="s">
        <v>878</v>
      </c>
      <c r="C208" t="s">
        <v>23</v>
      </c>
      <c r="D208" t="s">
        <v>65</v>
      </c>
      <c r="E208" t="s">
        <v>133</v>
      </c>
      <c r="F208" t="s">
        <v>879</v>
      </c>
      <c r="G208" t="s">
        <v>880</v>
      </c>
      <c r="H208" t="s">
        <v>28</v>
      </c>
      <c r="I208" t="s">
        <v>29</v>
      </c>
      <c r="J208" t="s">
        <v>38</v>
      </c>
      <c r="K208" t="s">
        <v>31</v>
      </c>
      <c r="L208" t="s">
        <v>30</v>
      </c>
      <c r="M208" t="s">
        <v>31</v>
      </c>
      <c r="N208">
        <v>510</v>
      </c>
      <c r="O208">
        <v>268</v>
      </c>
      <c r="P208">
        <v>300</v>
      </c>
      <c r="Q208">
        <v>1078</v>
      </c>
      <c r="R208" s="15">
        <v>44667</v>
      </c>
      <c r="S208" t="s">
        <v>32</v>
      </c>
      <c r="T208" t="s">
        <v>29</v>
      </c>
      <c r="U208">
        <v>842023</v>
      </c>
    </row>
    <row r="209" spans="1:21" ht="14.25" customHeight="1" x14ac:dyDescent="0.35">
      <c r="A209" t="s">
        <v>881</v>
      </c>
      <c r="B209" t="s">
        <v>882</v>
      </c>
      <c r="C209" t="s">
        <v>23</v>
      </c>
      <c r="D209" t="s">
        <v>65</v>
      </c>
      <c r="E209" t="s">
        <v>189</v>
      </c>
      <c r="F209" t="s">
        <v>883</v>
      </c>
      <c r="G209" t="s">
        <v>884</v>
      </c>
      <c r="H209" t="s">
        <v>28</v>
      </c>
      <c r="I209" t="s">
        <v>29</v>
      </c>
      <c r="J209" t="s">
        <v>30</v>
      </c>
      <c r="K209" t="s">
        <v>31</v>
      </c>
      <c r="L209" t="s">
        <v>30</v>
      </c>
      <c r="M209" t="s">
        <v>31</v>
      </c>
      <c r="N209">
        <v>507</v>
      </c>
      <c r="O209">
        <v>328</v>
      </c>
      <c r="P209">
        <v>315</v>
      </c>
      <c r="Q209">
        <v>1150</v>
      </c>
      <c r="R209" s="15">
        <v>44670</v>
      </c>
      <c r="S209" t="s">
        <v>32</v>
      </c>
      <c r="T209" t="s">
        <v>29</v>
      </c>
      <c r="U209">
        <v>97210</v>
      </c>
    </row>
    <row r="210" spans="1:21" ht="14.25" customHeight="1" x14ac:dyDescent="0.35">
      <c r="A210" t="s">
        <v>885</v>
      </c>
      <c r="B210" t="s">
        <v>886</v>
      </c>
      <c r="C210" t="s">
        <v>23</v>
      </c>
      <c r="D210" t="s">
        <v>65</v>
      </c>
      <c r="E210" t="s">
        <v>189</v>
      </c>
      <c r="F210" t="s">
        <v>887</v>
      </c>
      <c r="G210" t="s">
        <v>888</v>
      </c>
      <c r="H210" t="s">
        <v>28</v>
      </c>
      <c r="I210" t="s">
        <v>29</v>
      </c>
      <c r="J210" t="s">
        <v>30</v>
      </c>
      <c r="K210" t="s">
        <v>31</v>
      </c>
      <c r="L210" t="s">
        <v>38</v>
      </c>
      <c r="M210" t="s">
        <v>31</v>
      </c>
      <c r="N210">
        <v>515</v>
      </c>
      <c r="O210">
        <v>303</v>
      </c>
      <c r="P210">
        <v>270</v>
      </c>
      <c r="Q210">
        <v>1088</v>
      </c>
      <c r="R210" s="15">
        <v>44670</v>
      </c>
      <c r="S210" t="s">
        <v>32</v>
      </c>
      <c r="T210" t="s">
        <v>29</v>
      </c>
      <c r="U210">
        <v>4127</v>
      </c>
    </row>
    <row r="211" spans="1:21" ht="14.25" customHeight="1" x14ac:dyDescent="0.35">
      <c r="A211" t="s">
        <v>889</v>
      </c>
      <c r="B211" t="s">
        <v>890</v>
      </c>
      <c r="C211" t="s">
        <v>23</v>
      </c>
      <c r="D211" t="s">
        <v>65</v>
      </c>
      <c r="E211" t="s">
        <v>96</v>
      </c>
      <c r="F211" t="s">
        <v>891</v>
      </c>
      <c r="G211" t="s">
        <v>892</v>
      </c>
      <c r="H211" t="s">
        <v>28</v>
      </c>
      <c r="I211" t="s">
        <v>29</v>
      </c>
      <c r="J211" t="s">
        <v>32</v>
      </c>
      <c r="K211" t="s">
        <v>29</v>
      </c>
      <c r="L211" t="s">
        <v>30</v>
      </c>
      <c r="M211" t="s">
        <v>31</v>
      </c>
      <c r="N211">
        <v>550</v>
      </c>
      <c r="O211">
        <v>415</v>
      </c>
      <c r="P211">
        <v>315</v>
      </c>
      <c r="Q211">
        <v>1280</v>
      </c>
      <c r="R211" s="15">
        <v>44670</v>
      </c>
      <c r="S211" t="s">
        <v>28</v>
      </c>
      <c r="T211" t="s">
        <v>29</v>
      </c>
      <c r="U211">
        <v>864749</v>
      </c>
    </row>
    <row r="212" spans="1:21" ht="14.25" customHeight="1" x14ac:dyDescent="0.35">
      <c r="A212" t="s">
        <v>893</v>
      </c>
      <c r="B212" t="s">
        <v>894</v>
      </c>
      <c r="C212" t="s">
        <v>23</v>
      </c>
      <c r="D212" t="s">
        <v>65</v>
      </c>
      <c r="E212" t="s">
        <v>224</v>
      </c>
      <c r="F212" t="s">
        <v>895</v>
      </c>
      <c r="G212" t="s">
        <v>896</v>
      </c>
      <c r="H212" t="s">
        <v>28</v>
      </c>
      <c r="I212" t="s">
        <v>29</v>
      </c>
      <c r="J212" t="s">
        <v>30</v>
      </c>
      <c r="K212" t="s">
        <v>31</v>
      </c>
      <c r="L212" t="s">
        <v>30</v>
      </c>
      <c r="M212" t="s">
        <v>31</v>
      </c>
      <c r="N212">
        <v>510</v>
      </c>
      <c r="O212">
        <v>325</v>
      </c>
      <c r="P212">
        <v>310</v>
      </c>
      <c r="Q212">
        <v>1145</v>
      </c>
      <c r="R212" s="15">
        <v>44670</v>
      </c>
      <c r="S212" t="s">
        <v>32</v>
      </c>
      <c r="T212" t="s">
        <v>29</v>
      </c>
      <c r="U212">
        <v>1113169</v>
      </c>
    </row>
    <row r="213" spans="1:21" ht="14.25" customHeight="1" x14ac:dyDescent="0.35">
      <c r="A213" t="s">
        <v>897</v>
      </c>
      <c r="B213" t="s">
        <v>898</v>
      </c>
      <c r="C213" t="s">
        <v>23</v>
      </c>
      <c r="D213" t="s">
        <v>65</v>
      </c>
      <c r="E213" t="s">
        <v>25</v>
      </c>
      <c r="F213" t="s">
        <v>899</v>
      </c>
      <c r="G213" t="s">
        <v>900</v>
      </c>
      <c r="H213" t="s">
        <v>38</v>
      </c>
      <c r="I213" t="s">
        <v>31</v>
      </c>
      <c r="J213" t="s">
        <v>30</v>
      </c>
      <c r="K213" t="s">
        <v>31</v>
      </c>
      <c r="L213" t="s">
        <v>30</v>
      </c>
      <c r="M213" t="s">
        <v>31</v>
      </c>
      <c r="N213">
        <v>225</v>
      </c>
      <c r="O213">
        <v>307</v>
      </c>
      <c r="P213">
        <v>310</v>
      </c>
      <c r="Q213">
        <v>842</v>
      </c>
      <c r="R213" s="15">
        <v>44670</v>
      </c>
      <c r="S213" t="s">
        <v>30</v>
      </c>
      <c r="T213" t="s">
        <v>31</v>
      </c>
      <c r="U213">
        <v>946581</v>
      </c>
    </row>
    <row r="214" spans="1:21" ht="14.25" customHeight="1" x14ac:dyDescent="0.35">
      <c r="A214" t="s">
        <v>901</v>
      </c>
      <c r="B214" t="s">
        <v>902</v>
      </c>
      <c r="C214" t="s">
        <v>23</v>
      </c>
      <c r="D214" t="s">
        <v>65</v>
      </c>
      <c r="E214" t="s">
        <v>35</v>
      </c>
      <c r="F214" t="s">
        <v>903</v>
      </c>
      <c r="G214" t="s">
        <v>904</v>
      </c>
      <c r="H214" t="s">
        <v>28</v>
      </c>
      <c r="I214" t="s">
        <v>29</v>
      </c>
      <c r="J214" t="s">
        <v>905</v>
      </c>
      <c r="K214" t="s">
        <v>906</v>
      </c>
      <c r="L214" t="s">
        <v>38</v>
      </c>
      <c r="M214" t="s">
        <v>31</v>
      </c>
      <c r="N214">
        <v>555</v>
      </c>
      <c r="O214">
        <v>160</v>
      </c>
      <c r="P214">
        <v>278</v>
      </c>
      <c r="Q214">
        <v>993</v>
      </c>
      <c r="R214" s="15">
        <v>44670</v>
      </c>
      <c r="S214" t="s">
        <v>32</v>
      </c>
      <c r="T214" t="s">
        <v>29</v>
      </c>
      <c r="U214">
        <v>1318605</v>
      </c>
    </row>
    <row r="215" spans="1:21" ht="14.25" customHeight="1" x14ac:dyDescent="0.35">
      <c r="A215" t="s">
        <v>907</v>
      </c>
      <c r="B215" t="s">
        <v>908</v>
      </c>
      <c r="C215" t="s">
        <v>23</v>
      </c>
      <c r="D215" t="s">
        <v>65</v>
      </c>
      <c r="E215" t="s">
        <v>596</v>
      </c>
      <c r="F215" t="s">
        <v>909</v>
      </c>
      <c r="G215" t="s">
        <v>910</v>
      </c>
      <c r="H215" t="s">
        <v>28</v>
      </c>
      <c r="I215" t="s">
        <v>29</v>
      </c>
      <c r="J215" t="s">
        <v>30</v>
      </c>
      <c r="K215" t="s">
        <v>31</v>
      </c>
      <c r="L215" t="s">
        <v>38</v>
      </c>
      <c r="M215" t="s">
        <v>31</v>
      </c>
      <c r="N215">
        <v>500</v>
      </c>
      <c r="O215">
        <v>300</v>
      </c>
      <c r="P215">
        <v>200</v>
      </c>
      <c r="Q215">
        <v>1000</v>
      </c>
      <c r="R215" s="15">
        <v>44821</v>
      </c>
      <c r="S215" t="s">
        <v>32</v>
      </c>
      <c r="T215" t="s">
        <v>29</v>
      </c>
      <c r="U215">
        <v>916365</v>
      </c>
    </row>
    <row r="216" spans="1:21" ht="14.25" customHeight="1" x14ac:dyDescent="0.35">
      <c r="A216" t="s">
        <v>911</v>
      </c>
      <c r="B216" t="s">
        <v>912</v>
      </c>
      <c r="C216" t="s">
        <v>23</v>
      </c>
      <c r="D216" t="s">
        <v>65</v>
      </c>
      <c r="E216" t="s">
        <v>189</v>
      </c>
      <c r="F216" t="s">
        <v>913</v>
      </c>
      <c r="G216" t="s">
        <v>914</v>
      </c>
      <c r="H216" t="s">
        <v>28</v>
      </c>
      <c r="I216" t="s">
        <v>29</v>
      </c>
      <c r="J216" t="s">
        <v>30</v>
      </c>
      <c r="K216" t="s">
        <v>31</v>
      </c>
      <c r="L216" t="s">
        <v>30</v>
      </c>
      <c r="M216" t="s">
        <v>31</v>
      </c>
      <c r="N216">
        <v>500</v>
      </c>
      <c r="O216">
        <v>300</v>
      </c>
      <c r="P216">
        <v>300</v>
      </c>
      <c r="Q216">
        <v>1100</v>
      </c>
      <c r="R216" s="15">
        <v>44670</v>
      </c>
      <c r="S216" t="s">
        <v>32</v>
      </c>
      <c r="T216" t="s">
        <v>29</v>
      </c>
      <c r="U216">
        <v>97476</v>
      </c>
    </row>
    <row r="217" spans="1:21" ht="14.25" customHeight="1" x14ac:dyDescent="0.35">
      <c r="A217" t="s">
        <v>915</v>
      </c>
      <c r="B217" t="s">
        <v>916</v>
      </c>
      <c r="C217" t="s">
        <v>23</v>
      </c>
      <c r="D217" t="s">
        <v>65</v>
      </c>
      <c r="E217" t="s">
        <v>917</v>
      </c>
      <c r="F217" t="s">
        <v>918</v>
      </c>
      <c r="G217" t="s">
        <v>919</v>
      </c>
      <c r="H217" t="s">
        <v>30</v>
      </c>
      <c r="I217" t="s">
        <v>31</v>
      </c>
      <c r="J217" t="s">
        <v>30</v>
      </c>
      <c r="K217" t="s">
        <v>31</v>
      </c>
      <c r="L217" t="s">
        <v>38</v>
      </c>
      <c r="M217" t="s">
        <v>31</v>
      </c>
      <c r="N217">
        <v>342</v>
      </c>
      <c r="O217">
        <v>331</v>
      </c>
      <c r="P217">
        <v>230</v>
      </c>
      <c r="Q217">
        <v>903</v>
      </c>
      <c r="R217" s="15">
        <v>44670</v>
      </c>
      <c r="S217" t="s">
        <v>32</v>
      </c>
      <c r="T217" t="s">
        <v>29</v>
      </c>
      <c r="U217">
        <v>1283699</v>
      </c>
    </row>
    <row r="218" spans="1:21" ht="14.25" customHeight="1" x14ac:dyDescent="0.35">
      <c r="A218" t="s">
        <v>920</v>
      </c>
      <c r="B218" t="s">
        <v>921</v>
      </c>
      <c r="C218" t="s">
        <v>23</v>
      </c>
      <c r="D218" t="s">
        <v>65</v>
      </c>
      <c r="E218" t="s">
        <v>71</v>
      </c>
      <c r="F218" t="s">
        <v>922</v>
      </c>
      <c r="G218" t="s">
        <v>923</v>
      </c>
      <c r="H218" t="s">
        <v>38</v>
      </c>
      <c r="I218" t="s">
        <v>31</v>
      </c>
      <c r="J218" t="s">
        <v>38</v>
      </c>
      <c r="K218" t="s">
        <v>31</v>
      </c>
      <c r="L218" t="s">
        <v>38</v>
      </c>
      <c r="M218" t="s">
        <v>31</v>
      </c>
      <c r="N218">
        <v>205</v>
      </c>
      <c r="O218">
        <v>203</v>
      </c>
      <c r="P218">
        <v>221</v>
      </c>
      <c r="Q218">
        <v>629</v>
      </c>
      <c r="R218" s="15">
        <v>44670</v>
      </c>
      <c r="S218" t="s">
        <v>38</v>
      </c>
      <c r="T218" t="s">
        <v>31</v>
      </c>
      <c r="U218">
        <v>100517</v>
      </c>
    </row>
    <row r="219" spans="1:21" ht="14.25" customHeight="1" x14ac:dyDescent="0.35">
      <c r="A219" t="s">
        <v>924</v>
      </c>
      <c r="B219" t="s">
        <v>925</v>
      </c>
      <c r="C219" t="s">
        <v>23</v>
      </c>
      <c r="D219" t="s">
        <v>65</v>
      </c>
      <c r="E219" t="s">
        <v>926</v>
      </c>
      <c r="F219" t="s">
        <v>927</v>
      </c>
      <c r="G219" t="s">
        <v>928</v>
      </c>
      <c r="H219" t="s">
        <v>599</v>
      </c>
      <c r="I219" t="s">
        <v>600</v>
      </c>
      <c r="J219" t="s">
        <v>30</v>
      </c>
      <c r="K219" t="s">
        <v>31</v>
      </c>
      <c r="L219" t="s">
        <v>30</v>
      </c>
      <c r="M219" t="s">
        <v>31</v>
      </c>
      <c r="N219">
        <v>615</v>
      </c>
      <c r="O219">
        <v>366</v>
      </c>
      <c r="P219">
        <v>300</v>
      </c>
      <c r="Q219">
        <v>1281</v>
      </c>
      <c r="R219" s="15">
        <v>44670</v>
      </c>
      <c r="S219" t="s">
        <v>28</v>
      </c>
      <c r="T219" t="s">
        <v>29</v>
      </c>
      <c r="U219">
        <v>1442145</v>
      </c>
    </row>
    <row r="220" spans="1:21" ht="14.25" customHeight="1" x14ac:dyDescent="0.35">
      <c r="A220" t="s">
        <v>929</v>
      </c>
      <c r="B220" t="s">
        <v>930</v>
      </c>
      <c r="C220" t="s">
        <v>23</v>
      </c>
      <c r="D220" t="s">
        <v>65</v>
      </c>
      <c r="E220" t="s">
        <v>596</v>
      </c>
      <c r="F220" t="s">
        <v>931</v>
      </c>
      <c r="G220" t="s">
        <v>932</v>
      </c>
      <c r="H220" t="s">
        <v>38</v>
      </c>
      <c r="I220" t="s">
        <v>31</v>
      </c>
      <c r="J220" t="s">
        <v>38</v>
      </c>
      <c r="K220" t="s">
        <v>31</v>
      </c>
      <c r="L220" t="s">
        <v>38</v>
      </c>
      <c r="M220" t="s">
        <v>31</v>
      </c>
      <c r="N220">
        <v>205</v>
      </c>
      <c r="O220">
        <v>242</v>
      </c>
      <c r="P220">
        <v>200</v>
      </c>
      <c r="Q220">
        <v>647</v>
      </c>
      <c r="R220" s="15">
        <v>44670</v>
      </c>
      <c r="S220" t="s">
        <v>38</v>
      </c>
      <c r="T220" t="s">
        <v>31</v>
      </c>
      <c r="U220">
        <v>1403568</v>
      </c>
    </row>
    <row r="221" spans="1:21" ht="14.25" customHeight="1" x14ac:dyDescent="0.35">
      <c r="A221" t="s">
        <v>933</v>
      </c>
      <c r="B221" t="s">
        <v>934</v>
      </c>
      <c r="C221" t="s">
        <v>23</v>
      </c>
      <c r="D221" t="s">
        <v>65</v>
      </c>
      <c r="E221" t="s">
        <v>107</v>
      </c>
      <c r="F221" t="s">
        <v>935</v>
      </c>
      <c r="G221" t="s">
        <v>936</v>
      </c>
      <c r="H221" t="s">
        <v>28</v>
      </c>
      <c r="I221" t="s">
        <v>29</v>
      </c>
      <c r="J221" t="s">
        <v>30</v>
      </c>
      <c r="K221" t="s">
        <v>31</v>
      </c>
      <c r="L221" t="s">
        <v>30</v>
      </c>
      <c r="M221" t="s">
        <v>31</v>
      </c>
      <c r="N221">
        <v>500</v>
      </c>
      <c r="O221">
        <v>300</v>
      </c>
      <c r="P221">
        <v>300</v>
      </c>
      <c r="Q221">
        <v>1100</v>
      </c>
      <c r="R221" s="15">
        <v>44670</v>
      </c>
      <c r="S221" t="s">
        <v>32</v>
      </c>
      <c r="T221" t="s">
        <v>29</v>
      </c>
      <c r="U221">
        <v>875320</v>
      </c>
    </row>
    <row r="222" spans="1:21" ht="14.25" customHeight="1" x14ac:dyDescent="0.35">
      <c r="A222" t="s">
        <v>937</v>
      </c>
      <c r="B222" t="s">
        <v>938</v>
      </c>
      <c r="C222" t="s">
        <v>23</v>
      </c>
      <c r="D222" t="s">
        <v>65</v>
      </c>
      <c r="E222" t="s">
        <v>215</v>
      </c>
      <c r="F222" t="s">
        <v>939</v>
      </c>
      <c r="G222" t="s">
        <v>940</v>
      </c>
      <c r="H222" t="s">
        <v>28</v>
      </c>
      <c r="I222" t="s">
        <v>29</v>
      </c>
      <c r="J222" t="s">
        <v>30</v>
      </c>
      <c r="K222" t="s">
        <v>31</v>
      </c>
      <c r="L222" t="s">
        <v>38</v>
      </c>
      <c r="M222" t="s">
        <v>31</v>
      </c>
      <c r="N222">
        <v>500</v>
      </c>
      <c r="O222">
        <v>300</v>
      </c>
      <c r="P222">
        <v>200</v>
      </c>
      <c r="Q222">
        <v>1000</v>
      </c>
      <c r="R222" s="15">
        <v>44828</v>
      </c>
      <c r="S222" t="s">
        <v>32</v>
      </c>
      <c r="T222" t="s">
        <v>29</v>
      </c>
      <c r="U222">
        <v>1792044</v>
      </c>
    </row>
    <row r="223" spans="1:21" ht="14.25" customHeight="1" x14ac:dyDescent="0.35">
      <c r="A223" t="s">
        <v>941</v>
      </c>
      <c r="B223" t="s">
        <v>942</v>
      </c>
      <c r="C223" t="s">
        <v>23</v>
      </c>
      <c r="D223" t="s">
        <v>65</v>
      </c>
      <c r="E223" t="s">
        <v>91</v>
      </c>
      <c r="F223" t="s">
        <v>943</v>
      </c>
      <c r="G223" t="s">
        <v>944</v>
      </c>
      <c r="H223" t="s">
        <v>28</v>
      </c>
      <c r="I223" t="s">
        <v>29</v>
      </c>
      <c r="J223" t="s">
        <v>30</v>
      </c>
      <c r="K223" t="s">
        <v>31</v>
      </c>
      <c r="L223" t="s">
        <v>30</v>
      </c>
      <c r="M223" t="s">
        <v>31</v>
      </c>
      <c r="N223">
        <v>548</v>
      </c>
      <c r="O223">
        <v>354</v>
      </c>
      <c r="P223">
        <v>325</v>
      </c>
      <c r="Q223">
        <v>1227</v>
      </c>
      <c r="R223" s="15">
        <v>44670</v>
      </c>
      <c r="S223" t="s">
        <v>28</v>
      </c>
      <c r="T223" t="s">
        <v>29</v>
      </c>
      <c r="U223">
        <v>1014473</v>
      </c>
    </row>
    <row r="224" spans="1:21" ht="14.25" customHeight="1" x14ac:dyDescent="0.35">
      <c r="A224" t="s">
        <v>945</v>
      </c>
      <c r="B224" t="s">
        <v>946</v>
      </c>
      <c r="C224" t="s">
        <v>23</v>
      </c>
      <c r="D224" t="s">
        <v>65</v>
      </c>
      <c r="E224" t="s">
        <v>596</v>
      </c>
      <c r="F224" t="s">
        <v>947</v>
      </c>
      <c r="G224" t="s">
        <v>948</v>
      </c>
      <c r="H224" t="s">
        <v>28</v>
      </c>
      <c r="I224" t="s">
        <v>29</v>
      </c>
      <c r="J224" t="s">
        <v>30</v>
      </c>
      <c r="K224" t="s">
        <v>31</v>
      </c>
      <c r="L224" t="s">
        <v>30</v>
      </c>
      <c r="M224" t="s">
        <v>31</v>
      </c>
      <c r="N224">
        <v>515</v>
      </c>
      <c r="O224">
        <v>325</v>
      </c>
      <c r="P224">
        <v>300</v>
      </c>
      <c r="Q224">
        <v>1140</v>
      </c>
      <c r="R224" s="15">
        <v>44670</v>
      </c>
      <c r="S224" t="s">
        <v>32</v>
      </c>
      <c r="T224" t="s">
        <v>29</v>
      </c>
      <c r="U224">
        <v>1618921</v>
      </c>
    </row>
    <row r="225" spans="1:21" ht="14.25" customHeight="1" x14ac:dyDescent="0.35">
      <c r="A225" t="s">
        <v>949</v>
      </c>
      <c r="B225" t="s">
        <v>950</v>
      </c>
      <c r="C225" t="s">
        <v>23</v>
      </c>
      <c r="D225" t="s">
        <v>65</v>
      </c>
      <c r="E225" t="s">
        <v>91</v>
      </c>
      <c r="F225" t="s">
        <v>951</v>
      </c>
      <c r="G225" t="s">
        <v>952</v>
      </c>
      <c r="H225" t="s">
        <v>28</v>
      </c>
      <c r="I225" t="s">
        <v>29</v>
      </c>
      <c r="J225" t="s">
        <v>30</v>
      </c>
      <c r="K225" t="s">
        <v>31</v>
      </c>
      <c r="L225" t="s">
        <v>30</v>
      </c>
      <c r="M225" t="s">
        <v>31</v>
      </c>
      <c r="N225">
        <v>545</v>
      </c>
      <c r="O225">
        <v>359</v>
      </c>
      <c r="P225">
        <v>325</v>
      </c>
      <c r="Q225">
        <v>1229</v>
      </c>
      <c r="R225" s="15">
        <v>44669</v>
      </c>
      <c r="S225" t="s">
        <v>28</v>
      </c>
      <c r="T225" t="s">
        <v>29</v>
      </c>
      <c r="U225">
        <v>1002047</v>
      </c>
    </row>
    <row r="226" spans="1:21" ht="14.25" customHeight="1" x14ac:dyDescent="0.35">
      <c r="A226" t="s">
        <v>953</v>
      </c>
      <c r="B226" t="s">
        <v>954</v>
      </c>
      <c r="C226" t="s">
        <v>23</v>
      </c>
      <c r="D226" t="s">
        <v>65</v>
      </c>
      <c r="E226" t="s">
        <v>330</v>
      </c>
      <c r="F226" t="s">
        <v>955</v>
      </c>
      <c r="G226" t="s">
        <v>956</v>
      </c>
      <c r="H226" t="s">
        <v>38</v>
      </c>
      <c r="I226" t="s">
        <v>31</v>
      </c>
      <c r="J226" t="s">
        <v>38</v>
      </c>
      <c r="K226" t="s">
        <v>31</v>
      </c>
      <c r="L226" t="s">
        <v>38</v>
      </c>
      <c r="M226" t="s">
        <v>31</v>
      </c>
      <c r="N226">
        <v>223</v>
      </c>
      <c r="O226">
        <v>201</v>
      </c>
      <c r="P226">
        <v>205</v>
      </c>
      <c r="Q226">
        <v>629</v>
      </c>
      <c r="R226" s="15">
        <v>44671</v>
      </c>
      <c r="S226" t="s">
        <v>38</v>
      </c>
      <c r="T226" t="s">
        <v>31</v>
      </c>
      <c r="U226">
        <v>72903</v>
      </c>
    </row>
    <row r="227" spans="1:21" ht="14.25" customHeight="1" x14ac:dyDescent="0.35">
      <c r="A227" t="s">
        <v>957</v>
      </c>
      <c r="B227" t="s">
        <v>958</v>
      </c>
      <c r="C227" t="s">
        <v>23</v>
      </c>
      <c r="D227" t="s">
        <v>65</v>
      </c>
      <c r="E227" t="s">
        <v>124</v>
      </c>
      <c r="F227" t="s">
        <v>959</v>
      </c>
      <c r="G227" t="s">
        <v>960</v>
      </c>
      <c r="H227" t="s">
        <v>28</v>
      </c>
      <c r="I227" t="s">
        <v>29</v>
      </c>
      <c r="J227" t="s">
        <v>30</v>
      </c>
      <c r="K227" t="s">
        <v>31</v>
      </c>
      <c r="L227" t="s">
        <v>30</v>
      </c>
      <c r="M227" t="s">
        <v>31</v>
      </c>
      <c r="N227">
        <v>530</v>
      </c>
      <c r="O227">
        <v>318</v>
      </c>
      <c r="P227">
        <v>305</v>
      </c>
      <c r="Q227">
        <v>1153</v>
      </c>
      <c r="R227" s="15">
        <v>44668</v>
      </c>
      <c r="S227" t="s">
        <v>32</v>
      </c>
      <c r="T227" t="s">
        <v>29</v>
      </c>
      <c r="U227">
        <v>818479</v>
      </c>
    </row>
    <row r="228" spans="1:21" ht="14.25" customHeight="1" x14ac:dyDescent="0.35">
      <c r="A228" t="s">
        <v>961</v>
      </c>
      <c r="B228" t="s">
        <v>962</v>
      </c>
      <c r="C228" t="s">
        <v>23</v>
      </c>
      <c r="D228" t="s">
        <v>65</v>
      </c>
      <c r="E228" t="s">
        <v>96</v>
      </c>
      <c r="F228" t="s">
        <v>963</v>
      </c>
      <c r="G228" t="s">
        <v>964</v>
      </c>
      <c r="H228" t="s">
        <v>30</v>
      </c>
      <c r="I228" t="s">
        <v>31</v>
      </c>
      <c r="J228" t="s">
        <v>30</v>
      </c>
      <c r="K228" t="s">
        <v>31</v>
      </c>
      <c r="L228" t="s">
        <v>30</v>
      </c>
      <c r="M228" t="s">
        <v>31</v>
      </c>
      <c r="N228">
        <v>320</v>
      </c>
      <c r="O228">
        <v>317</v>
      </c>
      <c r="P228">
        <v>300</v>
      </c>
      <c r="Q228">
        <v>937</v>
      </c>
      <c r="R228" s="15">
        <v>44671</v>
      </c>
      <c r="S228" t="s">
        <v>32</v>
      </c>
      <c r="T228" t="s">
        <v>29</v>
      </c>
      <c r="U228">
        <v>877212</v>
      </c>
    </row>
    <row r="229" spans="1:21" ht="14.25" customHeight="1" x14ac:dyDescent="0.35">
      <c r="A229" t="s">
        <v>965</v>
      </c>
      <c r="B229" t="s">
        <v>966</v>
      </c>
      <c r="C229" t="s">
        <v>23</v>
      </c>
      <c r="D229" t="s">
        <v>24</v>
      </c>
      <c r="E229" t="s">
        <v>596</v>
      </c>
      <c r="F229" t="s">
        <v>967</v>
      </c>
      <c r="G229" t="s">
        <v>968</v>
      </c>
      <c r="H229" t="s">
        <v>38</v>
      </c>
      <c r="I229" t="s">
        <v>31</v>
      </c>
      <c r="J229" t="s">
        <v>38</v>
      </c>
      <c r="K229" t="s">
        <v>31</v>
      </c>
      <c r="L229" t="s">
        <v>38</v>
      </c>
      <c r="M229" t="s">
        <v>31</v>
      </c>
      <c r="N229">
        <v>264</v>
      </c>
      <c r="O229">
        <v>261</v>
      </c>
      <c r="P229">
        <v>210</v>
      </c>
      <c r="Q229">
        <v>735</v>
      </c>
      <c r="R229" s="15">
        <v>44667</v>
      </c>
      <c r="S229" t="s">
        <v>38</v>
      </c>
      <c r="T229" t="s">
        <v>31</v>
      </c>
      <c r="U229">
        <v>1158449</v>
      </c>
    </row>
    <row r="230" spans="1:21" ht="14.25" customHeight="1" x14ac:dyDescent="0.35">
      <c r="A230" t="s">
        <v>969</v>
      </c>
      <c r="B230" t="s">
        <v>970</v>
      </c>
      <c r="C230" t="s">
        <v>23</v>
      </c>
      <c r="D230" t="s">
        <v>65</v>
      </c>
      <c r="E230" t="s">
        <v>138</v>
      </c>
      <c r="F230" t="s">
        <v>971</v>
      </c>
      <c r="G230" t="s">
        <v>972</v>
      </c>
      <c r="H230" t="s">
        <v>38</v>
      </c>
      <c r="I230" t="s">
        <v>31</v>
      </c>
      <c r="J230" t="s">
        <v>38</v>
      </c>
      <c r="K230" t="s">
        <v>31</v>
      </c>
      <c r="L230" t="s">
        <v>38</v>
      </c>
      <c r="M230" t="s">
        <v>31</v>
      </c>
      <c r="N230">
        <v>200</v>
      </c>
      <c r="O230">
        <v>200</v>
      </c>
      <c r="P230">
        <v>200</v>
      </c>
      <c r="Q230">
        <v>600</v>
      </c>
      <c r="R230" s="15">
        <v>44671</v>
      </c>
      <c r="S230" t="s">
        <v>38</v>
      </c>
      <c r="T230" t="s">
        <v>31</v>
      </c>
      <c r="U230">
        <v>109380</v>
      </c>
    </row>
    <row r="231" spans="1:21" ht="14.25" customHeight="1" x14ac:dyDescent="0.35">
      <c r="A231" t="s">
        <v>973</v>
      </c>
      <c r="B231" t="s">
        <v>974</v>
      </c>
      <c r="C231" t="s">
        <v>23</v>
      </c>
      <c r="D231" t="s">
        <v>65</v>
      </c>
      <c r="E231" t="s">
        <v>55</v>
      </c>
      <c r="F231" t="s">
        <v>975</v>
      </c>
      <c r="G231" t="s">
        <v>976</v>
      </c>
      <c r="H231" t="s">
        <v>38</v>
      </c>
      <c r="I231" t="s">
        <v>31</v>
      </c>
      <c r="J231" t="s">
        <v>38</v>
      </c>
      <c r="K231" t="s">
        <v>31</v>
      </c>
      <c r="L231" t="s">
        <v>38</v>
      </c>
      <c r="M231" t="s">
        <v>31</v>
      </c>
      <c r="N231">
        <v>225</v>
      </c>
      <c r="O231">
        <v>201</v>
      </c>
      <c r="P231">
        <v>200</v>
      </c>
      <c r="Q231">
        <v>626</v>
      </c>
      <c r="R231" s="15">
        <v>44671</v>
      </c>
      <c r="S231" t="s">
        <v>38</v>
      </c>
      <c r="T231" t="s">
        <v>31</v>
      </c>
      <c r="U231">
        <v>1174922</v>
      </c>
    </row>
    <row r="232" spans="1:21" ht="14.25" customHeight="1" x14ac:dyDescent="0.35">
      <c r="A232" t="s">
        <v>977</v>
      </c>
      <c r="B232" t="s">
        <v>978</v>
      </c>
      <c r="C232" t="s">
        <v>23</v>
      </c>
      <c r="D232" t="s">
        <v>24</v>
      </c>
      <c r="E232" t="s">
        <v>133</v>
      </c>
      <c r="F232" t="s">
        <v>979</v>
      </c>
      <c r="G232" t="s">
        <v>980</v>
      </c>
      <c r="H232" t="s">
        <v>28</v>
      </c>
      <c r="I232" t="s">
        <v>29</v>
      </c>
      <c r="J232" t="s">
        <v>38</v>
      </c>
      <c r="K232" t="s">
        <v>31</v>
      </c>
      <c r="L232" t="s">
        <v>38</v>
      </c>
      <c r="M232" t="s">
        <v>31</v>
      </c>
      <c r="N232">
        <v>573</v>
      </c>
      <c r="O232">
        <v>231</v>
      </c>
      <c r="P232">
        <v>233</v>
      </c>
      <c r="Q232">
        <v>1037</v>
      </c>
      <c r="R232" s="15">
        <v>44667</v>
      </c>
      <c r="S232" t="s">
        <v>32</v>
      </c>
      <c r="T232" t="s">
        <v>29</v>
      </c>
      <c r="U232">
        <v>1090872</v>
      </c>
    </row>
    <row r="233" spans="1:21" ht="14.25" customHeight="1" x14ac:dyDescent="0.35">
      <c r="A233" t="s">
        <v>981</v>
      </c>
      <c r="B233" t="s">
        <v>982</v>
      </c>
      <c r="C233" t="s">
        <v>23</v>
      </c>
      <c r="D233" t="s">
        <v>24</v>
      </c>
      <c r="E233" t="s">
        <v>107</v>
      </c>
      <c r="F233" t="s">
        <v>983</v>
      </c>
      <c r="G233" t="s">
        <v>984</v>
      </c>
      <c r="H233" t="s">
        <v>28</v>
      </c>
      <c r="I233" t="s">
        <v>29</v>
      </c>
      <c r="J233" t="s">
        <v>30</v>
      </c>
      <c r="K233" t="s">
        <v>31</v>
      </c>
      <c r="L233" t="s">
        <v>30</v>
      </c>
      <c r="M233" t="s">
        <v>31</v>
      </c>
      <c r="N233">
        <v>505</v>
      </c>
      <c r="O233">
        <v>317</v>
      </c>
      <c r="P233">
        <v>300</v>
      </c>
      <c r="Q233">
        <v>1122</v>
      </c>
      <c r="R233" s="15">
        <v>44667</v>
      </c>
      <c r="S233" t="s">
        <v>32</v>
      </c>
      <c r="T233" t="s">
        <v>29</v>
      </c>
      <c r="U233">
        <v>1551152</v>
      </c>
    </row>
    <row r="234" spans="1:21" ht="14.25" customHeight="1" x14ac:dyDescent="0.35">
      <c r="A234" t="s">
        <v>985</v>
      </c>
      <c r="B234" t="s">
        <v>986</v>
      </c>
      <c r="C234" t="s">
        <v>23</v>
      </c>
      <c r="D234" t="s">
        <v>24</v>
      </c>
      <c r="E234" t="s">
        <v>124</v>
      </c>
      <c r="F234" t="s">
        <v>987</v>
      </c>
      <c r="G234" t="s">
        <v>988</v>
      </c>
      <c r="H234" t="s">
        <v>28</v>
      </c>
      <c r="I234" t="s">
        <v>29</v>
      </c>
      <c r="J234" t="s">
        <v>30</v>
      </c>
      <c r="K234" t="s">
        <v>31</v>
      </c>
      <c r="L234" t="s">
        <v>30</v>
      </c>
      <c r="M234" t="s">
        <v>31</v>
      </c>
      <c r="N234">
        <v>505</v>
      </c>
      <c r="O234">
        <v>300</v>
      </c>
      <c r="P234">
        <v>315</v>
      </c>
      <c r="Q234">
        <v>1120</v>
      </c>
      <c r="R234" s="15">
        <v>44667</v>
      </c>
      <c r="S234" t="s">
        <v>32</v>
      </c>
      <c r="T234" t="s">
        <v>29</v>
      </c>
      <c r="U234">
        <v>1140859</v>
      </c>
    </row>
    <row r="235" spans="1:21" ht="14.25" customHeight="1" x14ac:dyDescent="0.35">
      <c r="A235" t="s">
        <v>989</v>
      </c>
      <c r="B235" t="s">
        <v>990</v>
      </c>
      <c r="C235" t="s">
        <v>23</v>
      </c>
      <c r="D235" t="s">
        <v>24</v>
      </c>
      <c r="E235" t="s">
        <v>415</v>
      </c>
      <c r="F235" t="s">
        <v>991</v>
      </c>
      <c r="G235" t="s">
        <v>992</v>
      </c>
      <c r="H235" t="s">
        <v>28</v>
      </c>
      <c r="I235" t="s">
        <v>29</v>
      </c>
      <c r="J235" t="s">
        <v>30</v>
      </c>
      <c r="K235" t="s">
        <v>31</v>
      </c>
      <c r="L235" t="s">
        <v>30</v>
      </c>
      <c r="M235" t="s">
        <v>31</v>
      </c>
      <c r="N235">
        <v>587</v>
      </c>
      <c r="O235">
        <v>353</v>
      </c>
      <c r="P235">
        <v>305</v>
      </c>
      <c r="Q235">
        <v>1245</v>
      </c>
      <c r="R235" s="15">
        <v>44667</v>
      </c>
      <c r="S235" t="s">
        <v>28</v>
      </c>
      <c r="T235" t="s">
        <v>29</v>
      </c>
      <c r="U235">
        <v>7084</v>
      </c>
    </row>
    <row r="236" spans="1:21" ht="14.25" customHeight="1" x14ac:dyDescent="0.35">
      <c r="A236" t="s">
        <v>993</v>
      </c>
      <c r="B236" t="s">
        <v>994</v>
      </c>
      <c r="C236" t="s">
        <v>23</v>
      </c>
      <c r="D236" t="s">
        <v>24</v>
      </c>
      <c r="E236" t="s">
        <v>124</v>
      </c>
      <c r="F236" t="s">
        <v>995</v>
      </c>
      <c r="G236" t="s">
        <v>996</v>
      </c>
      <c r="H236" t="s">
        <v>28</v>
      </c>
      <c r="I236" t="s">
        <v>29</v>
      </c>
      <c r="J236" t="s">
        <v>30</v>
      </c>
      <c r="K236" t="s">
        <v>31</v>
      </c>
      <c r="L236" t="s">
        <v>30</v>
      </c>
      <c r="M236" t="s">
        <v>31</v>
      </c>
      <c r="N236">
        <v>515</v>
      </c>
      <c r="O236">
        <v>305</v>
      </c>
      <c r="P236">
        <v>305</v>
      </c>
      <c r="Q236">
        <v>1125</v>
      </c>
      <c r="R236" s="15">
        <v>44667</v>
      </c>
      <c r="S236" t="s">
        <v>32</v>
      </c>
      <c r="T236" t="s">
        <v>29</v>
      </c>
      <c r="U236">
        <v>1800</v>
      </c>
    </row>
    <row r="237" spans="1:21" ht="14.25" customHeight="1" x14ac:dyDescent="0.35">
      <c r="A237" t="s">
        <v>997</v>
      </c>
      <c r="B237" t="s">
        <v>998</v>
      </c>
      <c r="C237" t="s">
        <v>23</v>
      </c>
      <c r="D237" t="s">
        <v>24</v>
      </c>
      <c r="E237" t="s">
        <v>330</v>
      </c>
      <c r="F237" t="s">
        <v>999</v>
      </c>
      <c r="G237" t="s">
        <v>1000</v>
      </c>
      <c r="H237" t="s">
        <v>28</v>
      </c>
      <c r="I237" t="s">
        <v>29</v>
      </c>
      <c r="J237" t="s">
        <v>30</v>
      </c>
      <c r="K237" t="s">
        <v>31</v>
      </c>
      <c r="L237" t="s">
        <v>30</v>
      </c>
      <c r="M237" t="s">
        <v>31</v>
      </c>
      <c r="N237">
        <v>562</v>
      </c>
      <c r="O237">
        <v>345</v>
      </c>
      <c r="P237">
        <v>300</v>
      </c>
      <c r="Q237">
        <v>1207</v>
      </c>
      <c r="R237" s="15">
        <v>44667</v>
      </c>
      <c r="S237" t="s">
        <v>28</v>
      </c>
      <c r="T237" t="s">
        <v>29</v>
      </c>
      <c r="U237">
        <v>1002910</v>
      </c>
    </row>
    <row r="238" spans="1:21" ht="14.25" customHeight="1" x14ac:dyDescent="0.35">
      <c r="A238" t="s">
        <v>1001</v>
      </c>
      <c r="B238" t="s">
        <v>1002</v>
      </c>
      <c r="C238" t="s">
        <v>23</v>
      </c>
      <c r="D238" t="s">
        <v>24</v>
      </c>
      <c r="E238" t="s">
        <v>330</v>
      </c>
      <c r="F238" t="s">
        <v>1003</v>
      </c>
      <c r="G238" t="s">
        <v>1004</v>
      </c>
      <c r="H238" t="s">
        <v>28</v>
      </c>
      <c r="I238" t="s">
        <v>29</v>
      </c>
      <c r="J238" t="s">
        <v>30</v>
      </c>
      <c r="K238" t="s">
        <v>31</v>
      </c>
      <c r="L238" t="s">
        <v>30</v>
      </c>
      <c r="M238" t="s">
        <v>31</v>
      </c>
      <c r="N238">
        <v>525</v>
      </c>
      <c r="O238">
        <v>326</v>
      </c>
      <c r="P238">
        <v>370</v>
      </c>
      <c r="Q238">
        <v>1221</v>
      </c>
      <c r="R238" s="15">
        <v>44667</v>
      </c>
      <c r="S238" t="s">
        <v>28</v>
      </c>
      <c r="T238" t="s">
        <v>29</v>
      </c>
      <c r="U238">
        <v>874761</v>
      </c>
    </row>
    <row r="239" spans="1:21" ht="14.25" customHeight="1" x14ac:dyDescent="0.35">
      <c r="A239" t="s">
        <v>1005</v>
      </c>
      <c r="B239" t="s">
        <v>1006</v>
      </c>
      <c r="C239" t="s">
        <v>23</v>
      </c>
      <c r="D239" t="s">
        <v>24</v>
      </c>
      <c r="E239" t="s">
        <v>76</v>
      </c>
      <c r="F239" t="s">
        <v>1007</v>
      </c>
      <c r="G239" t="s">
        <v>1008</v>
      </c>
      <c r="H239" t="s">
        <v>32</v>
      </c>
      <c r="I239" t="s">
        <v>29</v>
      </c>
      <c r="J239" t="s">
        <v>30</v>
      </c>
      <c r="K239" t="s">
        <v>31</v>
      </c>
      <c r="L239" t="s">
        <v>38</v>
      </c>
      <c r="M239" t="s">
        <v>31</v>
      </c>
      <c r="N239">
        <v>454</v>
      </c>
      <c r="O239">
        <v>300</v>
      </c>
      <c r="P239">
        <v>235</v>
      </c>
      <c r="Q239">
        <v>989</v>
      </c>
      <c r="R239" s="15">
        <v>44667</v>
      </c>
      <c r="S239" t="s">
        <v>32</v>
      </c>
      <c r="T239" t="s">
        <v>29</v>
      </c>
      <c r="U239">
        <v>4977</v>
      </c>
    </row>
    <row r="240" spans="1:21" ht="14.25" customHeight="1" x14ac:dyDescent="0.35">
      <c r="A240" t="s">
        <v>1009</v>
      </c>
      <c r="B240" t="s">
        <v>1010</v>
      </c>
      <c r="C240" t="s">
        <v>23</v>
      </c>
      <c r="D240" t="s">
        <v>24</v>
      </c>
      <c r="E240" t="s">
        <v>91</v>
      </c>
      <c r="F240" t="s">
        <v>1011</v>
      </c>
      <c r="G240" t="s">
        <v>1012</v>
      </c>
      <c r="H240" t="s">
        <v>28</v>
      </c>
      <c r="I240" t="s">
        <v>29</v>
      </c>
      <c r="J240" t="s">
        <v>30</v>
      </c>
      <c r="K240" t="s">
        <v>31</v>
      </c>
      <c r="L240" t="s">
        <v>30</v>
      </c>
      <c r="M240" t="s">
        <v>31</v>
      </c>
      <c r="N240">
        <v>515</v>
      </c>
      <c r="O240">
        <v>360</v>
      </c>
      <c r="P240">
        <v>305</v>
      </c>
      <c r="Q240">
        <v>1180</v>
      </c>
      <c r="R240" s="15">
        <v>44667</v>
      </c>
      <c r="S240" t="s">
        <v>32</v>
      </c>
      <c r="T240" t="s">
        <v>29</v>
      </c>
      <c r="U240">
        <v>1467373</v>
      </c>
    </row>
    <row r="241" spans="1:21" ht="14.25" customHeight="1" x14ac:dyDescent="0.35">
      <c r="A241" t="s">
        <v>1013</v>
      </c>
      <c r="B241" t="s">
        <v>1014</v>
      </c>
      <c r="C241" t="s">
        <v>23</v>
      </c>
      <c r="D241" t="s">
        <v>24</v>
      </c>
      <c r="E241" t="s">
        <v>76</v>
      </c>
      <c r="F241" t="s">
        <v>1015</v>
      </c>
      <c r="G241" t="s">
        <v>1016</v>
      </c>
      <c r="H241" t="s">
        <v>28</v>
      </c>
      <c r="I241" t="s">
        <v>29</v>
      </c>
      <c r="J241" t="s">
        <v>30</v>
      </c>
      <c r="K241" t="s">
        <v>31</v>
      </c>
      <c r="L241" t="s">
        <v>30</v>
      </c>
      <c r="M241" t="s">
        <v>31</v>
      </c>
      <c r="N241">
        <v>530</v>
      </c>
      <c r="O241">
        <v>344</v>
      </c>
      <c r="P241">
        <v>310</v>
      </c>
      <c r="Q241">
        <v>1184</v>
      </c>
      <c r="R241" s="15">
        <v>44667</v>
      </c>
      <c r="S241" t="s">
        <v>32</v>
      </c>
      <c r="T241" t="s">
        <v>29</v>
      </c>
      <c r="U241">
        <v>354190</v>
      </c>
    </row>
    <row r="242" spans="1:21" ht="14.25" customHeight="1" x14ac:dyDescent="0.35">
      <c r="A242" t="s">
        <v>1017</v>
      </c>
      <c r="B242" t="s">
        <v>1018</v>
      </c>
      <c r="C242" t="s">
        <v>23</v>
      </c>
      <c r="D242" t="s">
        <v>24</v>
      </c>
      <c r="E242" t="s">
        <v>76</v>
      </c>
      <c r="F242" t="s">
        <v>1019</v>
      </c>
      <c r="G242" t="s">
        <v>1020</v>
      </c>
      <c r="H242" t="s">
        <v>32</v>
      </c>
      <c r="I242" t="s">
        <v>29</v>
      </c>
      <c r="J242" t="s">
        <v>30</v>
      </c>
      <c r="K242" t="s">
        <v>31</v>
      </c>
      <c r="L242" t="s">
        <v>30</v>
      </c>
      <c r="M242" t="s">
        <v>31</v>
      </c>
      <c r="N242">
        <v>438</v>
      </c>
      <c r="O242">
        <v>316</v>
      </c>
      <c r="P242">
        <v>300</v>
      </c>
      <c r="Q242">
        <v>1054</v>
      </c>
      <c r="R242" s="15">
        <v>44667</v>
      </c>
      <c r="S242" t="s">
        <v>32</v>
      </c>
      <c r="T242" t="s">
        <v>29</v>
      </c>
      <c r="U242">
        <v>1267238</v>
      </c>
    </row>
    <row r="243" spans="1:21" ht="14.25" customHeight="1" x14ac:dyDescent="0.35">
      <c r="A243" t="s">
        <v>1021</v>
      </c>
      <c r="B243" t="s">
        <v>1022</v>
      </c>
      <c r="C243" t="s">
        <v>23</v>
      </c>
      <c r="D243" t="s">
        <v>24</v>
      </c>
      <c r="E243" t="s">
        <v>71</v>
      </c>
      <c r="F243" t="s">
        <v>1023</v>
      </c>
      <c r="G243" t="s">
        <v>1024</v>
      </c>
      <c r="H243" t="s">
        <v>28</v>
      </c>
      <c r="I243" t="s">
        <v>29</v>
      </c>
      <c r="J243" t="s">
        <v>30</v>
      </c>
      <c r="K243" t="s">
        <v>31</v>
      </c>
      <c r="L243" t="s">
        <v>38</v>
      </c>
      <c r="M243" t="s">
        <v>31</v>
      </c>
      <c r="N243">
        <v>515</v>
      </c>
      <c r="O243">
        <v>303</v>
      </c>
      <c r="P243">
        <v>259</v>
      </c>
      <c r="Q243">
        <v>1077</v>
      </c>
      <c r="R243" s="15">
        <v>44667</v>
      </c>
      <c r="S243" t="s">
        <v>32</v>
      </c>
      <c r="T243" t="s">
        <v>29</v>
      </c>
      <c r="U243">
        <v>766421</v>
      </c>
    </row>
    <row r="244" spans="1:21" ht="14.25" customHeight="1" x14ac:dyDescent="0.35">
      <c r="A244" t="s">
        <v>1025</v>
      </c>
      <c r="B244" t="s">
        <v>1026</v>
      </c>
      <c r="C244" t="s">
        <v>23</v>
      </c>
      <c r="D244" t="s">
        <v>24</v>
      </c>
      <c r="E244" t="s">
        <v>258</v>
      </c>
      <c r="F244" t="s">
        <v>1027</v>
      </c>
      <c r="G244" t="s">
        <v>1028</v>
      </c>
      <c r="H244" t="s">
        <v>28</v>
      </c>
      <c r="I244" t="s">
        <v>29</v>
      </c>
      <c r="J244" t="s">
        <v>30</v>
      </c>
      <c r="K244" t="s">
        <v>31</v>
      </c>
      <c r="L244" t="s">
        <v>30</v>
      </c>
      <c r="M244" t="s">
        <v>31</v>
      </c>
      <c r="N244">
        <v>545</v>
      </c>
      <c r="O244">
        <v>322</v>
      </c>
      <c r="P244">
        <v>315</v>
      </c>
      <c r="Q244">
        <v>1182</v>
      </c>
      <c r="R244" s="15">
        <v>44667</v>
      </c>
      <c r="S244" t="s">
        <v>32</v>
      </c>
      <c r="T244" t="s">
        <v>29</v>
      </c>
      <c r="U244">
        <v>915913</v>
      </c>
    </row>
    <row r="245" spans="1:21" ht="14.25" customHeight="1" x14ac:dyDescent="0.35">
      <c r="A245" t="s">
        <v>1029</v>
      </c>
      <c r="B245" t="s">
        <v>1030</v>
      </c>
      <c r="C245" t="s">
        <v>23</v>
      </c>
      <c r="D245" t="s">
        <v>24</v>
      </c>
      <c r="E245" t="s">
        <v>76</v>
      </c>
      <c r="F245" t="s">
        <v>1031</v>
      </c>
      <c r="G245" t="s">
        <v>1032</v>
      </c>
      <c r="H245" t="s">
        <v>28</v>
      </c>
      <c r="I245" t="s">
        <v>29</v>
      </c>
      <c r="J245" t="s">
        <v>30</v>
      </c>
      <c r="K245" t="s">
        <v>31</v>
      </c>
      <c r="L245" t="s">
        <v>30</v>
      </c>
      <c r="M245" t="s">
        <v>31</v>
      </c>
      <c r="N245">
        <v>518</v>
      </c>
      <c r="O245">
        <v>323</v>
      </c>
      <c r="P245">
        <v>310</v>
      </c>
      <c r="Q245">
        <v>1151</v>
      </c>
      <c r="R245" s="15">
        <v>44667</v>
      </c>
      <c r="S245" t="s">
        <v>32</v>
      </c>
      <c r="T245" t="s">
        <v>29</v>
      </c>
      <c r="U245">
        <v>5272</v>
      </c>
    </row>
    <row r="246" spans="1:21" ht="14.25" customHeight="1" x14ac:dyDescent="0.35">
      <c r="A246" t="s">
        <v>1033</v>
      </c>
      <c r="B246" t="s">
        <v>1034</v>
      </c>
      <c r="C246" t="s">
        <v>23</v>
      </c>
      <c r="D246" t="s">
        <v>24</v>
      </c>
      <c r="E246" t="s">
        <v>76</v>
      </c>
      <c r="F246" t="s">
        <v>1035</v>
      </c>
      <c r="G246" t="s">
        <v>1036</v>
      </c>
      <c r="H246" t="s">
        <v>28</v>
      </c>
      <c r="I246" t="s">
        <v>29</v>
      </c>
      <c r="J246" t="s">
        <v>30</v>
      </c>
      <c r="K246" t="s">
        <v>31</v>
      </c>
      <c r="L246" t="s">
        <v>38</v>
      </c>
      <c r="M246" t="s">
        <v>31</v>
      </c>
      <c r="N246">
        <v>530</v>
      </c>
      <c r="O246">
        <v>300</v>
      </c>
      <c r="P246">
        <v>220</v>
      </c>
      <c r="Q246">
        <v>1050</v>
      </c>
      <c r="R246" s="15">
        <v>44667</v>
      </c>
      <c r="S246" t="s">
        <v>32</v>
      </c>
      <c r="T246" t="s">
        <v>29</v>
      </c>
      <c r="U246">
        <v>899051</v>
      </c>
    </row>
    <row r="247" spans="1:21" ht="14.25" customHeight="1" x14ac:dyDescent="0.35">
      <c r="A247" t="s">
        <v>1037</v>
      </c>
      <c r="B247" t="s">
        <v>1038</v>
      </c>
      <c r="C247" t="s">
        <v>23</v>
      </c>
      <c r="D247" t="s">
        <v>24</v>
      </c>
      <c r="E247" t="s">
        <v>86</v>
      </c>
      <c r="F247" t="s">
        <v>1039</v>
      </c>
      <c r="G247" t="s">
        <v>1040</v>
      </c>
      <c r="H247" t="s">
        <v>28</v>
      </c>
      <c r="I247" t="s">
        <v>29</v>
      </c>
      <c r="J247" t="s">
        <v>30</v>
      </c>
      <c r="K247" t="s">
        <v>31</v>
      </c>
      <c r="L247" t="s">
        <v>30</v>
      </c>
      <c r="M247" t="s">
        <v>31</v>
      </c>
      <c r="N247">
        <v>542</v>
      </c>
      <c r="O247">
        <v>322</v>
      </c>
      <c r="P247">
        <v>315</v>
      </c>
      <c r="Q247">
        <v>1179</v>
      </c>
      <c r="R247" s="15">
        <v>44667</v>
      </c>
      <c r="S247" t="s">
        <v>32</v>
      </c>
      <c r="T247" t="s">
        <v>29</v>
      </c>
      <c r="U247">
        <v>1579241</v>
      </c>
    </row>
    <row r="248" spans="1:21" ht="14.25" customHeight="1" x14ac:dyDescent="0.35">
      <c r="A248" t="s">
        <v>1041</v>
      </c>
      <c r="B248" t="s">
        <v>1042</v>
      </c>
      <c r="C248" t="s">
        <v>23</v>
      </c>
      <c r="D248" t="s">
        <v>24</v>
      </c>
      <c r="E248" t="s">
        <v>224</v>
      </c>
      <c r="F248" t="s">
        <v>1043</v>
      </c>
      <c r="G248" t="s">
        <v>1044</v>
      </c>
      <c r="H248" t="s">
        <v>30</v>
      </c>
      <c r="I248" t="s">
        <v>31</v>
      </c>
      <c r="J248" t="s">
        <v>30</v>
      </c>
      <c r="K248" t="s">
        <v>31</v>
      </c>
      <c r="L248" t="s">
        <v>38</v>
      </c>
      <c r="M248" t="s">
        <v>31</v>
      </c>
      <c r="N248">
        <v>396</v>
      </c>
      <c r="O248">
        <v>308</v>
      </c>
      <c r="P248">
        <v>267</v>
      </c>
      <c r="Q248">
        <v>971</v>
      </c>
      <c r="R248" s="15">
        <v>44667</v>
      </c>
      <c r="S248" t="s">
        <v>32</v>
      </c>
      <c r="T248" t="s">
        <v>29</v>
      </c>
      <c r="U248">
        <v>820027</v>
      </c>
    </row>
    <row r="249" spans="1:21" ht="14.25" customHeight="1" x14ac:dyDescent="0.35">
      <c r="A249" t="s">
        <v>1045</v>
      </c>
      <c r="B249" t="s">
        <v>1046</v>
      </c>
      <c r="C249" t="s">
        <v>23</v>
      </c>
      <c r="D249" t="s">
        <v>24</v>
      </c>
      <c r="E249" t="s">
        <v>96</v>
      </c>
      <c r="F249" t="s">
        <v>1047</v>
      </c>
      <c r="G249" t="s">
        <v>1048</v>
      </c>
      <c r="H249" t="s">
        <v>28</v>
      </c>
      <c r="I249" t="s">
        <v>29</v>
      </c>
      <c r="J249" t="s">
        <v>30</v>
      </c>
      <c r="K249" t="s">
        <v>31</v>
      </c>
      <c r="L249" t="s">
        <v>38</v>
      </c>
      <c r="M249" t="s">
        <v>31</v>
      </c>
      <c r="N249">
        <v>540</v>
      </c>
      <c r="O249">
        <v>329</v>
      </c>
      <c r="P249">
        <v>270</v>
      </c>
      <c r="Q249">
        <v>1139</v>
      </c>
      <c r="R249" s="15">
        <v>44667</v>
      </c>
      <c r="S249" t="s">
        <v>32</v>
      </c>
      <c r="T249" t="s">
        <v>29</v>
      </c>
      <c r="U249">
        <v>1037868</v>
      </c>
    </row>
    <row r="250" spans="1:21" ht="14.25" customHeight="1" x14ac:dyDescent="0.35">
      <c r="A250" t="s">
        <v>1049</v>
      </c>
      <c r="B250" t="s">
        <v>1050</v>
      </c>
      <c r="C250" t="s">
        <v>23</v>
      </c>
      <c r="D250" t="s">
        <v>24</v>
      </c>
      <c r="E250" t="s">
        <v>321</v>
      </c>
      <c r="F250" t="s">
        <v>1051</v>
      </c>
      <c r="G250" t="s">
        <v>1052</v>
      </c>
      <c r="H250" t="s">
        <v>28</v>
      </c>
      <c r="I250" t="s">
        <v>29</v>
      </c>
      <c r="J250" t="s">
        <v>30</v>
      </c>
      <c r="K250" t="s">
        <v>31</v>
      </c>
      <c r="L250" t="s">
        <v>30</v>
      </c>
      <c r="M250" t="s">
        <v>31</v>
      </c>
      <c r="N250">
        <v>530</v>
      </c>
      <c r="O250">
        <v>333</v>
      </c>
      <c r="P250">
        <v>305</v>
      </c>
      <c r="Q250">
        <v>1168</v>
      </c>
      <c r="R250" s="15">
        <v>44667</v>
      </c>
      <c r="S250" t="s">
        <v>32</v>
      </c>
      <c r="T250" t="s">
        <v>29</v>
      </c>
      <c r="U250">
        <v>1053507</v>
      </c>
    </row>
    <row r="251" spans="1:21" ht="14.25" customHeight="1" x14ac:dyDescent="0.35">
      <c r="A251" t="s">
        <v>1053</v>
      </c>
      <c r="B251" t="s">
        <v>1054</v>
      </c>
      <c r="C251" t="s">
        <v>23</v>
      </c>
      <c r="D251" t="s">
        <v>24</v>
      </c>
      <c r="E251" t="s">
        <v>86</v>
      </c>
      <c r="F251" t="s">
        <v>1055</v>
      </c>
      <c r="G251" t="s">
        <v>1056</v>
      </c>
      <c r="H251" t="s">
        <v>28</v>
      </c>
      <c r="I251" t="s">
        <v>29</v>
      </c>
      <c r="J251" t="s">
        <v>30</v>
      </c>
      <c r="K251" t="s">
        <v>31</v>
      </c>
      <c r="L251" t="s">
        <v>30</v>
      </c>
      <c r="M251" t="s">
        <v>31</v>
      </c>
      <c r="N251">
        <v>510</v>
      </c>
      <c r="O251">
        <v>315</v>
      </c>
      <c r="P251">
        <v>310</v>
      </c>
      <c r="Q251">
        <v>1135</v>
      </c>
      <c r="R251" s="15">
        <v>44667</v>
      </c>
      <c r="S251" t="s">
        <v>32</v>
      </c>
      <c r="T251" t="s">
        <v>29</v>
      </c>
      <c r="U251">
        <v>91142</v>
      </c>
    </row>
    <row r="252" spans="1:21" ht="14.25" customHeight="1" x14ac:dyDescent="0.35">
      <c r="A252" t="s">
        <v>1057</v>
      </c>
      <c r="B252" t="s">
        <v>1058</v>
      </c>
      <c r="C252" t="s">
        <v>23</v>
      </c>
      <c r="D252" t="s">
        <v>24</v>
      </c>
      <c r="E252" t="s">
        <v>258</v>
      </c>
      <c r="F252" t="s">
        <v>1059</v>
      </c>
      <c r="G252" t="s">
        <v>1060</v>
      </c>
      <c r="H252" t="s">
        <v>599</v>
      </c>
      <c r="I252" t="s">
        <v>600</v>
      </c>
      <c r="J252" t="s">
        <v>32</v>
      </c>
      <c r="K252" t="s">
        <v>29</v>
      </c>
      <c r="L252" t="s">
        <v>30</v>
      </c>
      <c r="M252" t="s">
        <v>31</v>
      </c>
      <c r="N252">
        <v>700</v>
      </c>
      <c r="O252">
        <v>442</v>
      </c>
      <c r="P252">
        <v>300</v>
      </c>
      <c r="Q252">
        <v>1442</v>
      </c>
      <c r="R252" s="15">
        <v>44667</v>
      </c>
      <c r="S252" t="s">
        <v>28</v>
      </c>
      <c r="T252" t="s">
        <v>29</v>
      </c>
      <c r="U252">
        <v>2969</v>
      </c>
    </row>
    <row r="253" spans="1:21" ht="14.25" customHeight="1" x14ac:dyDescent="0.35">
      <c r="A253" t="s">
        <v>1061</v>
      </c>
      <c r="B253" t="s">
        <v>1062</v>
      </c>
      <c r="C253" t="s">
        <v>23</v>
      </c>
      <c r="D253" t="s">
        <v>24</v>
      </c>
      <c r="E253" t="s">
        <v>76</v>
      </c>
      <c r="F253" t="s">
        <v>1063</v>
      </c>
      <c r="G253" t="s">
        <v>1064</v>
      </c>
      <c r="H253" t="s">
        <v>32</v>
      </c>
      <c r="I253" t="s">
        <v>29</v>
      </c>
      <c r="J253" t="s">
        <v>30</v>
      </c>
      <c r="K253" t="s">
        <v>31</v>
      </c>
      <c r="L253" t="s">
        <v>38</v>
      </c>
      <c r="M253" t="s">
        <v>31</v>
      </c>
      <c r="N253">
        <v>485</v>
      </c>
      <c r="O253">
        <v>304</v>
      </c>
      <c r="P253">
        <v>288</v>
      </c>
      <c r="Q253">
        <v>1077</v>
      </c>
      <c r="R253" s="15">
        <v>44667</v>
      </c>
      <c r="S253" t="s">
        <v>32</v>
      </c>
      <c r="T253" t="s">
        <v>29</v>
      </c>
      <c r="U253">
        <v>315293</v>
      </c>
    </row>
    <row r="254" spans="1:21" ht="14.25" customHeight="1" x14ac:dyDescent="0.35">
      <c r="A254" t="s">
        <v>1065</v>
      </c>
      <c r="B254" t="s">
        <v>1066</v>
      </c>
      <c r="C254" t="s">
        <v>23</v>
      </c>
      <c r="D254" t="s">
        <v>24</v>
      </c>
      <c r="E254" t="s">
        <v>81</v>
      </c>
      <c r="F254" t="s">
        <v>1067</v>
      </c>
      <c r="G254" t="s">
        <v>1068</v>
      </c>
      <c r="H254" t="s">
        <v>32</v>
      </c>
      <c r="I254" t="s">
        <v>29</v>
      </c>
      <c r="J254" t="s">
        <v>30</v>
      </c>
      <c r="K254" t="s">
        <v>31</v>
      </c>
      <c r="L254" t="s">
        <v>38</v>
      </c>
      <c r="M254" t="s">
        <v>31</v>
      </c>
      <c r="N254">
        <v>444</v>
      </c>
      <c r="O254">
        <v>310</v>
      </c>
      <c r="P254">
        <v>295</v>
      </c>
      <c r="Q254">
        <v>1049</v>
      </c>
      <c r="R254" s="15">
        <v>44667</v>
      </c>
      <c r="S254" t="s">
        <v>32</v>
      </c>
      <c r="T254" t="s">
        <v>29</v>
      </c>
      <c r="U254">
        <v>1596532</v>
      </c>
    </row>
    <row r="255" spans="1:21" ht="14.25" customHeight="1" x14ac:dyDescent="0.35">
      <c r="A255" t="s">
        <v>1069</v>
      </c>
      <c r="B255" t="s">
        <v>1070</v>
      </c>
      <c r="C255" t="s">
        <v>23</v>
      </c>
      <c r="D255" t="s">
        <v>24</v>
      </c>
      <c r="E255" t="s">
        <v>96</v>
      </c>
      <c r="F255" t="s">
        <v>1071</v>
      </c>
      <c r="G255" t="s">
        <v>1072</v>
      </c>
      <c r="H255" t="s">
        <v>28</v>
      </c>
      <c r="I255" t="s">
        <v>29</v>
      </c>
      <c r="J255" t="s">
        <v>30</v>
      </c>
      <c r="K255" t="s">
        <v>31</v>
      </c>
      <c r="L255" t="s">
        <v>32</v>
      </c>
      <c r="M255" t="s">
        <v>29</v>
      </c>
      <c r="N255">
        <v>512</v>
      </c>
      <c r="O255">
        <v>303</v>
      </c>
      <c r="P255">
        <v>475</v>
      </c>
      <c r="Q255">
        <v>1290</v>
      </c>
      <c r="R255" s="15">
        <v>44667</v>
      </c>
      <c r="S255" t="s">
        <v>28</v>
      </c>
      <c r="T255" t="s">
        <v>29</v>
      </c>
      <c r="U255">
        <v>820313</v>
      </c>
    </row>
    <row r="256" spans="1:21" ht="14.25" customHeight="1" x14ac:dyDescent="0.35">
      <c r="A256" t="s">
        <v>1073</v>
      </c>
      <c r="B256" t="s">
        <v>1074</v>
      </c>
      <c r="C256" t="s">
        <v>23</v>
      </c>
      <c r="D256" t="s">
        <v>24</v>
      </c>
      <c r="E256" t="s">
        <v>330</v>
      </c>
      <c r="F256" t="s">
        <v>1075</v>
      </c>
      <c r="G256" t="s">
        <v>1076</v>
      </c>
      <c r="H256" t="s">
        <v>28</v>
      </c>
      <c r="I256" t="s">
        <v>29</v>
      </c>
      <c r="J256" t="s">
        <v>30</v>
      </c>
      <c r="K256" t="s">
        <v>31</v>
      </c>
      <c r="L256" t="s">
        <v>30</v>
      </c>
      <c r="M256" t="s">
        <v>31</v>
      </c>
      <c r="N256">
        <v>572</v>
      </c>
      <c r="O256">
        <v>368</v>
      </c>
      <c r="P256">
        <v>315</v>
      </c>
      <c r="Q256">
        <v>1255</v>
      </c>
      <c r="R256" s="15">
        <v>44667</v>
      </c>
      <c r="S256" t="s">
        <v>28</v>
      </c>
      <c r="T256" t="s">
        <v>29</v>
      </c>
      <c r="U256">
        <v>731802</v>
      </c>
    </row>
    <row r="257" spans="1:21" ht="14.25" customHeight="1" x14ac:dyDescent="0.35">
      <c r="A257" t="s">
        <v>1077</v>
      </c>
      <c r="B257" t="s">
        <v>1078</v>
      </c>
      <c r="C257" t="s">
        <v>23</v>
      </c>
      <c r="D257" t="s">
        <v>24</v>
      </c>
      <c r="E257" t="s">
        <v>330</v>
      </c>
      <c r="F257" t="s">
        <v>1079</v>
      </c>
      <c r="G257" t="s">
        <v>1080</v>
      </c>
      <c r="H257" t="s">
        <v>599</v>
      </c>
      <c r="I257" t="s">
        <v>600</v>
      </c>
      <c r="J257" t="s">
        <v>30</v>
      </c>
      <c r="K257" t="s">
        <v>31</v>
      </c>
      <c r="L257" t="s">
        <v>30</v>
      </c>
      <c r="M257" t="s">
        <v>31</v>
      </c>
      <c r="N257">
        <v>653</v>
      </c>
      <c r="O257">
        <v>395</v>
      </c>
      <c r="P257">
        <v>300</v>
      </c>
      <c r="Q257">
        <v>1348</v>
      </c>
      <c r="R257" s="15">
        <v>44667</v>
      </c>
      <c r="S257" t="s">
        <v>28</v>
      </c>
      <c r="T257" t="s">
        <v>29</v>
      </c>
      <c r="U257">
        <v>1410636</v>
      </c>
    </row>
    <row r="258" spans="1:21" ht="14.25" customHeight="1" x14ac:dyDescent="0.35">
      <c r="A258" t="s">
        <v>1081</v>
      </c>
      <c r="B258" t="s">
        <v>1082</v>
      </c>
      <c r="C258" t="s">
        <v>23</v>
      </c>
      <c r="D258" t="s">
        <v>24</v>
      </c>
      <c r="E258" t="s">
        <v>321</v>
      </c>
      <c r="F258" t="s">
        <v>1083</v>
      </c>
      <c r="G258" t="s">
        <v>1084</v>
      </c>
      <c r="H258" t="s">
        <v>599</v>
      </c>
      <c r="I258" t="s">
        <v>600</v>
      </c>
      <c r="J258" t="s">
        <v>30</v>
      </c>
      <c r="K258" t="s">
        <v>31</v>
      </c>
      <c r="L258" t="s">
        <v>30</v>
      </c>
      <c r="M258" t="s">
        <v>31</v>
      </c>
      <c r="N258">
        <v>600</v>
      </c>
      <c r="O258">
        <v>337</v>
      </c>
      <c r="P258">
        <v>345</v>
      </c>
      <c r="Q258">
        <v>1282</v>
      </c>
      <c r="R258" s="15">
        <v>44667</v>
      </c>
      <c r="S258" t="s">
        <v>28</v>
      </c>
      <c r="T258" t="s">
        <v>29</v>
      </c>
      <c r="U258">
        <v>1035443</v>
      </c>
    </row>
    <row r="259" spans="1:21" ht="14.25" customHeight="1" x14ac:dyDescent="0.35">
      <c r="A259" t="s">
        <v>1085</v>
      </c>
      <c r="B259" t="s">
        <v>1086</v>
      </c>
      <c r="C259" t="s">
        <v>23</v>
      </c>
      <c r="D259" t="s">
        <v>24</v>
      </c>
      <c r="E259" t="s">
        <v>1087</v>
      </c>
      <c r="F259" t="s">
        <v>1088</v>
      </c>
      <c r="G259" t="s">
        <v>1089</v>
      </c>
      <c r="H259" t="s">
        <v>28</v>
      </c>
      <c r="I259" t="s">
        <v>29</v>
      </c>
      <c r="J259" t="s">
        <v>30</v>
      </c>
      <c r="K259" t="s">
        <v>31</v>
      </c>
      <c r="L259" t="s">
        <v>30</v>
      </c>
      <c r="M259" t="s">
        <v>31</v>
      </c>
      <c r="N259">
        <v>555</v>
      </c>
      <c r="O259">
        <v>339</v>
      </c>
      <c r="P259">
        <v>310</v>
      </c>
      <c r="Q259">
        <v>1204</v>
      </c>
      <c r="R259" s="15">
        <v>44722</v>
      </c>
      <c r="S259" t="s">
        <v>28</v>
      </c>
      <c r="T259" t="s">
        <v>29</v>
      </c>
      <c r="U259">
        <v>1521332</v>
      </c>
    </row>
    <row r="260" spans="1:21" ht="14.25" customHeight="1" x14ac:dyDescent="0.35">
      <c r="A260" t="s">
        <v>1090</v>
      </c>
      <c r="B260" t="s">
        <v>1091</v>
      </c>
      <c r="C260" t="s">
        <v>23</v>
      </c>
      <c r="D260" t="s">
        <v>24</v>
      </c>
      <c r="E260" t="s">
        <v>321</v>
      </c>
      <c r="F260" t="s">
        <v>1092</v>
      </c>
      <c r="G260" t="s">
        <v>1093</v>
      </c>
      <c r="H260" t="s">
        <v>28</v>
      </c>
      <c r="I260" t="s">
        <v>29</v>
      </c>
      <c r="J260" t="s">
        <v>30</v>
      </c>
      <c r="K260" t="s">
        <v>31</v>
      </c>
      <c r="L260" t="s">
        <v>38</v>
      </c>
      <c r="M260" t="s">
        <v>31</v>
      </c>
      <c r="N260">
        <v>500</v>
      </c>
      <c r="O260">
        <v>300</v>
      </c>
      <c r="P260">
        <v>298</v>
      </c>
      <c r="Q260">
        <v>1098</v>
      </c>
      <c r="R260" s="15">
        <v>44667</v>
      </c>
      <c r="S260" t="s">
        <v>32</v>
      </c>
      <c r="T260" t="s">
        <v>29</v>
      </c>
      <c r="U260">
        <v>915912</v>
      </c>
    </row>
    <row r="261" spans="1:21" ht="14.25" customHeight="1" x14ac:dyDescent="0.35">
      <c r="A261" t="s">
        <v>1094</v>
      </c>
      <c r="B261" t="s">
        <v>1095</v>
      </c>
      <c r="C261" t="s">
        <v>23</v>
      </c>
      <c r="D261" t="s">
        <v>24</v>
      </c>
      <c r="E261" t="s">
        <v>1096</v>
      </c>
      <c r="F261" t="s">
        <v>1097</v>
      </c>
      <c r="G261" t="s">
        <v>1098</v>
      </c>
      <c r="H261" t="s">
        <v>28</v>
      </c>
      <c r="I261" t="s">
        <v>29</v>
      </c>
      <c r="J261" t="s">
        <v>30</v>
      </c>
      <c r="K261" t="s">
        <v>31</v>
      </c>
      <c r="L261" t="s">
        <v>30</v>
      </c>
      <c r="M261" t="s">
        <v>31</v>
      </c>
      <c r="N261">
        <v>535</v>
      </c>
      <c r="O261">
        <v>347</v>
      </c>
      <c r="P261">
        <v>325</v>
      </c>
      <c r="Q261">
        <v>1207</v>
      </c>
      <c r="R261" s="15">
        <v>44667</v>
      </c>
      <c r="S261" t="s">
        <v>28</v>
      </c>
      <c r="T261" t="s">
        <v>29</v>
      </c>
      <c r="U261">
        <v>8818</v>
      </c>
    </row>
    <row r="262" spans="1:21" ht="14.25" customHeight="1" x14ac:dyDescent="0.35">
      <c r="A262" t="s">
        <v>1099</v>
      </c>
      <c r="B262" t="s">
        <v>1100</v>
      </c>
      <c r="C262" t="s">
        <v>23</v>
      </c>
      <c r="D262" t="s">
        <v>24</v>
      </c>
      <c r="E262" t="s">
        <v>1101</v>
      </c>
      <c r="F262" t="s">
        <v>1102</v>
      </c>
      <c r="G262" t="s">
        <v>1103</v>
      </c>
      <c r="H262" t="s">
        <v>38</v>
      </c>
      <c r="I262" t="s">
        <v>31</v>
      </c>
      <c r="J262" t="s">
        <v>38</v>
      </c>
      <c r="K262" t="s">
        <v>31</v>
      </c>
      <c r="L262" t="s">
        <v>38</v>
      </c>
      <c r="M262" t="s">
        <v>31</v>
      </c>
      <c r="N262">
        <v>220</v>
      </c>
      <c r="O262">
        <v>224</v>
      </c>
      <c r="P262">
        <v>235</v>
      </c>
      <c r="Q262">
        <v>679</v>
      </c>
      <c r="R262" s="15">
        <v>44825</v>
      </c>
      <c r="S262" t="s">
        <v>38</v>
      </c>
      <c r="T262" t="s">
        <v>31</v>
      </c>
      <c r="U262">
        <v>12927</v>
      </c>
    </row>
    <row r="263" spans="1:21" ht="14.25" customHeight="1" x14ac:dyDescent="0.35">
      <c r="A263" t="s">
        <v>1104</v>
      </c>
      <c r="B263" t="s">
        <v>1105</v>
      </c>
      <c r="C263" t="s">
        <v>23</v>
      </c>
      <c r="D263" t="s">
        <v>24</v>
      </c>
      <c r="E263" t="s">
        <v>138</v>
      </c>
      <c r="F263" t="s">
        <v>1106</v>
      </c>
      <c r="G263" t="s">
        <v>1107</v>
      </c>
      <c r="H263" t="s">
        <v>38</v>
      </c>
      <c r="I263" t="s">
        <v>31</v>
      </c>
      <c r="J263" t="s">
        <v>30</v>
      </c>
      <c r="K263" t="s">
        <v>31</v>
      </c>
      <c r="L263" t="s">
        <v>38</v>
      </c>
      <c r="M263" t="s">
        <v>31</v>
      </c>
      <c r="N263">
        <v>220</v>
      </c>
      <c r="O263">
        <v>394</v>
      </c>
      <c r="P263">
        <v>265</v>
      </c>
      <c r="Q263">
        <v>879</v>
      </c>
      <c r="R263" s="15">
        <v>44667</v>
      </c>
      <c r="S263" t="s">
        <v>30</v>
      </c>
      <c r="T263" t="s">
        <v>31</v>
      </c>
      <c r="U263">
        <v>70858</v>
      </c>
    </row>
    <row r="264" spans="1:21" ht="14.25" customHeight="1" x14ac:dyDescent="0.35">
      <c r="A264" t="s">
        <v>1108</v>
      </c>
      <c r="B264" t="s">
        <v>1109</v>
      </c>
      <c r="C264" t="s">
        <v>23</v>
      </c>
      <c r="D264" t="s">
        <v>24</v>
      </c>
      <c r="E264" t="s">
        <v>124</v>
      </c>
      <c r="F264" t="s">
        <v>1110</v>
      </c>
      <c r="G264" t="s">
        <v>1111</v>
      </c>
      <c r="H264" t="s">
        <v>28</v>
      </c>
      <c r="I264" t="s">
        <v>29</v>
      </c>
      <c r="J264" t="s">
        <v>30</v>
      </c>
      <c r="K264" t="s">
        <v>31</v>
      </c>
      <c r="L264" t="s">
        <v>30</v>
      </c>
      <c r="M264" t="s">
        <v>31</v>
      </c>
      <c r="N264">
        <v>500</v>
      </c>
      <c r="O264">
        <v>316</v>
      </c>
      <c r="P264">
        <v>300</v>
      </c>
      <c r="Q264">
        <v>1116</v>
      </c>
      <c r="R264" s="15">
        <v>44667</v>
      </c>
      <c r="S264" t="s">
        <v>32</v>
      </c>
      <c r="T264" t="s">
        <v>29</v>
      </c>
      <c r="U264">
        <v>10456</v>
      </c>
    </row>
    <row r="265" spans="1:21" ht="14.25" customHeight="1" x14ac:dyDescent="0.35">
      <c r="A265" t="s">
        <v>1112</v>
      </c>
      <c r="B265" t="s">
        <v>1113</v>
      </c>
      <c r="C265" t="s">
        <v>23</v>
      </c>
      <c r="D265" t="s">
        <v>24</v>
      </c>
      <c r="E265" t="s">
        <v>596</v>
      </c>
      <c r="F265" t="s">
        <v>1114</v>
      </c>
      <c r="G265" t="s">
        <v>1115</v>
      </c>
      <c r="H265" t="s">
        <v>28</v>
      </c>
      <c r="I265" t="s">
        <v>29</v>
      </c>
      <c r="J265" t="s">
        <v>30</v>
      </c>
      <c r="K265" t="s">
        <v>31</v>
      </c>
      <c r="L265" t="s">
        <v>30</v>
      </c>
      <c r="M265" t="s">
        <v>31</v>
      </c>
      <c r="N265">
        <v>525</v>
      </c>
      <c r="O265">
        <v>303</v>
      </c>
      <c r="P265">
        <v>300</v>
      </c>
      <c r="Q265">
        <v>1128</v>
      </c>
      <c r="R265" s="15">
        <v>44723</v>
      </c>
      <c r="S265" t="s">
        <v>32</v>
      </c>
      <c r="T265" t="s">
        <v>29</v>
      </c>
      <c r="U265">
        <v>701985</v>
      </c>
    </row>
    <row r="266" spans="1:21" ht="14.25" customHeight="1" x14ac:dyDescent="0.35">
      <c r="A266" t="s">
        <v>1116</v>
      </c>
      <c r="B266" t="s">
        <v>1117</v>
      </c>
      <c r="C266" t="s">
        <v>23</v>
      </c>
      <c r="D266" t="s">
        <v>24</v>
      </c>
      <c r="E266" t="s">
        <v>124</v>
      </c>
      <c r="F266" t="s">
        <v>1118</v>
      </c>
      <c r="G266" t="s">
        <v>1119</v>
      </c>
      <c r="H266" t="s">
        <v>599</v>
      </c>
      <c r="I266" t="s">
        <v>600</v>
      </c>
      <c r="J266" t="s">
        <v>30</v>
      </c>
      <c r="K266" t="s">
        <v>31</v>
      </c>
      <c r="L266" t="s">
        <v>30</v>
      </c>
      <c r="M266" t="s">
        <v>31</v>
      </c>
      <c r="N266">
        <v>607</v>
      </c>
      <c r="O266">
        <v>384</v>
      </c>
      <c r="P266">
        <v>315</v>
      </c>
      <c r="Q266">
        <v>1306</v>
      </c>
      <c r="R266" s="15">
        <v>44667</v>
      </c>
      <c r="S266" t="s">
        <v>28</v>
      </c>
      <c r="T266" t="s">
        <v>29</v>
      </c>
      <c r="U266">
        <v>10795</v>
      </c>
    </row>
    <row r="267" spans="1:21" ht="14.25" customHeight="1" x14ac:dyDescent="0.35">
      <c r="A267" t="s">
        <v>1120</v>
      </c>
      <c r="B267" t="s">
        <v>1121</v>
      </c>
      <c r="C267" t="s">
        <v>23</v>
      </c>
      <c r="D267" t="s">
        <v>24</v>
      </c>
      <c r="E267" t="s">
        <v>133</v>
      </c>
      <c r="F267" t="s">
        <v>1122</v>
      </c>
      <c r="G267" t="s">
        <v>1123</v>
      </c>
      <c r="H267" t="s">
        <v>38</v>
      </c>
      <c r="I267" t="s">
        <v>31</v>
      </c>
      <c r="J267" t="s">
        <v>38</v>
      </c>
      <c r="K267" t="s">
        <v>31</v>
      </c>
      <c r="L267" t="s">
        <v>30</v>
      </c>
      <c r="M267" t="s">
        <v>31</v>
      </c>
      <c r="N267">
        <v>275</v>
      </c>
      <c r="O267">
        <v>227</v>
      </c>
      <c r="P267">
        <v>300</v>
      </c>
      <c r="Q267">
        <v>802</v>
      </c>
      <c r="R267" s="15">
        <v>44667</v>
      </c>
      <c r="S267" t="s">
        <v>30</v>
      </c>
      <c r="T267" t="s">
        <v>31</v>
      </c>
      <c r="U267">
        <v>12208</v>
      </c>
    </row>
    <row r="268" spans="1:21" ht="14.25" customHeight="1" x14ac:dyDescent="0.35">
      <c r="A268" t="s">
        <v>1124</v>
      </c>
      <c r="B268" t="s">
        <v>1125</v>
      </c>
      <c r="C268" t="s">
        <v>23</v>
      </c>
      <c r="D268" t="s">
        <v>24</v>
      </c>
      <c r="E268" t="s">
        <v>596</v>
      </c>
      <c r="F268" t="s">
        <v>1126</v>
      </c>
      <c r="G268" t="s">
        <v>1127</v>
      </c>
      <c r="H268" t="s">
        <v>32</v>
      </c>
      <c r="I268" t="s">
        <v>29</v>
      </c>
      <c r="J268" t="s">
        <v>38</v>
      </c>
      <c r="K268" t="s">
        <v>31</v>
      </c>
      <c r="L268" t="s">
        <v>30</v>
      </c>
      <c r="M268" t="s">
        <v>31</v>
      </c>
      <c r="N268">
        <v>430</v>
      </c>
      <c r="O268">
        <v>231</v>
      </c>
      <c r="P268">
        <v>300</v>
      </c>
      <c r="Q268">
        <v>961</v>
      </c>
      <c r="R268" s="15">
        <v>44667</v>
      </c>
      <c r="S268" t="s">
        <v>32</v>
      </c>
      <c r="T268" t="s">
        <v>29</v>
      </c>
      <c r="U268">
        <v>764478</v>
      </c>
    </row>
    <row r="269" spans="1:21" ht="14.25" customHeight="1" x14ac:dyDescent="0.35">
      <c r="A269" t="s">
        <v>1128</v>
      </c>
      <c r="B269" t="s">
        <v>1129</v>
      </c>
      <c r="C269" t="s">
        <v>23</v>
      </c>
      <c r="D269" t="s">
        <v>24</v>
      </c>
      <c r="E269" t="s">
        <v>224</v>
      </c>
      <c r="F269" t="s">
        <v>1130</v>
      </c>
      <c r="G269" t="s">
        <v>1131</v>
      </c>
      <c r="H269" t="s">
        <v>28</v>
      </c>
      <c r="I269" t="s">
        <v>29</v>
      </c>
      <c r="J269" t="s">
        <v>30</v>
      </c>
      <c r="K269" t="s">
        <v>31</v>
      </c>
      <c r="L269" t="s">
        <v>30</v>
      </c>
      <c r="M269" t="s">
        <v>31</v>
      </c>
      <c r="N269">
        <v>500</v>
      </c>
      <c r="O269">
        <v>300</v>
      </c>
      <c r="P269">
        <v>300</v>
      </c>
      <c r="Q269">
        <v>1100</v>
      </c>
      <c r="R269" s="15">
        <v>44667</v>
      </c>
      <c r="S269" t="s">
        <v>32</v>
      </c>
      <c r="T269" t="s">
        <v>29</v>
      </c>
      <c r="U269">
        <v>1390777</v>
      </c>
    </row>
    <row r="270" spans="1:21" ht="14.25" customHeight="1" x14ac:dyDescent="0.35">
      <c r="A270" t="s">
        <v>1132</v>
      </c>
      <c r="B270" t="s">
        <v>1133</v>
      </c>
      <c r="C270" t="s">
        <v>23</v>
      </c>
      <c r="D270" t="s">
        <v>24</v>
      </c>
      <c r="E270" t="s">
        <v>224</v>
      </c>
      <c r="F270" t="s">
        <v>1134</v>
      </c>
      <c r="G270" t="s">
        <v>1135</v>
      </c>
      <c r="H270" t="s">
        <v>38</v>
      </c>
      <c r="I270" t="s">
        <v>31</v>
      </c>
      <c r="J270" t="s">
        <v>38</v>
      </c>
      <c r="K270" t="s">
        <v>31</v>
      </c>
      <c r="L270" t="s">
        <v>38</v>
      </c>
      <c r="M270" t="s">
        <v>31</v>
      </c>
      <c r="N270">
        <v>230</v>
      </c>
      <c r="O270">
        <v>226</v>
      </c>
      <c r="P270">
        <v>208</v>
      </c>
      <c r="Q270">
        <v>664</v>
      </c>
      <c r="R270" s="15">
        <v>44667</v>
      </c>
      <c r="S270" t="s">
        <v>38</v>
      </c>
      <c r="T270" t="s">
        <v>31</v>
      </c>
      <c r="U270">
        <v>4962</v>
      </c>
    </row>
    <row r="271" spans="1:21" ht="14.25" customHeight="1" x14ac:dyDescent="0.35">
      <c r="A271" t="s">
        <v>1136</v>
      </c>
      <c r="B271" t="s">
        <v>1137</v>
      </c>
      <c r="C271" t="s">
        <v>23</v>
      </c>
      <c r="D271" t="s">
        <v>24</v>
      </c>
      <c r="E271" t="s">
        <v>91</v>
      </c>
      <c r="F271" t="s">
        <v>1138</v>
      </c>
      <c r="G271" t="s">
        <v>1139</v>
      </c>
      <c r="H271" t="s">
        <v>28</v>
      </c>
      <c r="I271" t="s">
        <v>29</v>
      </c>
      <c r="J271" t="s">
        <v>30</v>
      </c>
      <c r="K271" t="s">
        <v>31</v>
      </c>
      <c r="L271" t="s">
        <v>30</v>
      </c>
      <c r="M271" t="s">
        <v>31</v>
      </c>
      <c r="N271">
        <v>550</v>
      </c>
      <c r="O271">
        <v>313</v>
      </c>
      <c r="P271">
        <v>325</v>
      </c>
      <c r="Q271">
        <v>1188</v>
      </c>
      <c r="R271" s="15">
        <v>44667</v>
      </c>
      <c r="S271" t="s">
        <v>32</v>
      </c>
      <c r="T271" t="s">
        <v>29</v>
      </c>
      <c r="U271">
        <v>1383312</v>
      </c>
    </row>
    <row r="272" spans="1:21" ht="14.25" customHeight="1" x14ac:dyDescent="0.35">
      <c r="A272" t="s">
        <v>1140</v>
      </c>
      <c r="B272" t="s">
        <v>1141</v>
      </c>
      <c r="C272" t="s">
        <v>23</v>
      </c>
      <c r="D272" t="s">
        <v>24</v>
      </c>
      <c r="E272" t="s">
        <v>215</v>
      </c>
      <c r="F272" t="s">
        <v>1142</v>
      </c>
      <c r="G272" t="s">
        <v>1143</v>
      </c>
      <c r="H272" t="s">
        <v>28</v>
      </c>
      <c r="I272" t="s">
        <v>29</v>
      </c>
      <c r="J272" t="s">
        <v>30</v>
      </c>
      <c r="K272" t="s">
        <v>31</v>
      </c>
      <c r="L272" t="s">
        <v>30</v>
      </c>
      <c r="M272" t="s">
        <v>31</v>
      </c>
      <c r="N272">
        <v>500</v>
      </c>
      <c r="O272">
        <v>321</v>
      </c>
      <c r="P272">
        <v>310</v>
      </c>
      <c r="Q272">
        <v>1131</v>
      </c>
      <c r="R272" s="15">
        <v>44667</v>
      </c>
      <c r="S272" t="s">
        <v>32</v>
      </c>
      <c r="T272" t="s">
        <v>29</v>
      </c>
      <c r="U272">
        <v>14272</v>
      </c>
    </row>
    <row r="273" spans="1:21" ht="14.25" customHeight="1" x14ac:dyDescent="0.35">
      <c r="A273" t="s">
        <v>1144</v>
      </c>
      <c r="B273" t="s">
        <v>1145</v>
      </c>
      <c r="C273" t="s">
        <v>23</v>
      </c>
      <c r="D273" t="s">
        <v>24</v>
      </c>
      <c r="E273" t="s">
        <v>76</v>
      </c>
      <c r="F273" t="s">
        <v>1146</v>
      </c>
      <c r="G273" t="s">
        <v>1147</v>
      </c>
      <c r="H273" t="s">
        <v>32</v>
      </c>
      <c r="I273" t="s">
        <v>29</v>
      </c>
      <c r="J273" t="s">
        <v>30</v>
      </c>
      <c r="K273" t="s">
        <v>31</v>
      </c>
      <c r="L273" t="s">
        <v>30</v>
      </c>
      <c r="M273" t="s">
        <v>31</v>
      </c>
      <c r="N273">
        <v>405</v>
      </c>
      <c r="O273">
        <v>320</v>
      </c>
      <c r="P273">
        <v>300</v>
      </c>
      <c r="Q273">
        <v>1025</v>
      </c>
      <c r="R273" s="15">
        <v>44667</v>
      </c>
      <c r="S273" t="s">
        <v>32</v>
      </c>
      <c r="T273" t="s">
        <v>29</v>
      </c>
      <c r="U273">
        <v>79282</v>
      </c>
    </row>
    <row r="274" spans="1:21" ht="14.25" customHeight="1" x14ac:dyDescent="0.35">
      <c r="A274" t="s">
        <v>1148</v>
      </c>
      <c r="B274" t="s">
        <v>1149</v>
      </c>
      <c r="C274" t="s">
        <v>23</v>
      </c>
      <c r="D274" t="s">
        <v>24</v>
      </c>
      <c r="E274" t="s">
        <v>596</v>
      </c>
      <c r="F274" t="s">
        <v>1150</v>
      </c>
      <c r="G274" t="s">
        <v>1151</v>
      </c>
      <c r="H274" t="s">
        <v>38</v>
      </c>
      <c r="I274" t="s">
        <v>31</v>
      </c>
      <c r="J274" t="s">
        <v>38</v>
      </c>
      <c r="K274" t="s">
        <v>31</v>
      </c>
      <c r="L274" t="s">
        <v>38</v>
      </c>
      <c r="M274" t="s">
        <v>31</v>
      </c>
      <c r="N274">
        <v>260</v>
      </c>
      <c r="O274">
        <v>222</v>
      </c>
      <c r="P274">
        <v>213</v>
      </c>
      <c r="Q274">
        <v>695</v>
      </c>
      <c r="R274" s="15">
        <v>44667</v>
      </c>
      <c r="S274" t="s">
        <v>38</v>
      </c>
      <c r="T274" t="s">
        <v>31</v>
      </c>
      <c r="U274">
        <v>866787</v>
      </c>
    </row>
    <row r="275" spans="1:21" ht="14.25" customHeight="1" x14ac:dyDescent="0.35">
      <c r="A275" t="s">
        <v>1152</v>
      </c>
      <c r="B275" t="s">
        <v>1153</v>
      </c>
      <c r="C275" t="s">
        <v>23</v>
      </c>
      <c r="D275" t="s">
        <v>24</v>
      </c>
      <c r="E275" t="s">
        <v>124</v>
      </c>
      <c r="F275" t="s">
        <v>1154</v>
      </c>
      <c r="G275" t="s">
        <v>1155</v>
      </c>
      <c r="H275" t="s">
        <v>28</v>
      </c>
      <c r="I275" t="s">
        <v>29</v>
      </c>
      <c r="J275" t="s">
        <v>30</v>
      </c>
      <c r="K275" t="s">
        <v>31</v>
      </c>
      <c r="L275" t="s">
        <v>30</v>
      </c>
      <c r="M275" t="s">
        <v>31</v>
      </c>
      <c r="N275">
        <v>525</v>
      </c>
      <c r="O275">
        <v>399</v>
      </c>
      <c r="P275">
        <v>300</v>
      </c>
      <c r="Q275">
        <v>1224</v>
      </c>
      <c r="R275" s="15">
        <v>44667</v>
      </c>
      <c r="S275" t="s">
        <v>28</v>
      </c>
      <c r="T275" t="s">
        <v>29</v>
      </c>
      <c r="U275">
        <v>885725</v>
      </c>
    </row>
    <row r="276" spans="1:21" ht="14.25" customHeight="1" x14ac:dyDescent="0.35">
      <c r="A276" t="s">
        <v>1156</v>
      </c>
      <c r="B276" t="s">
        <v>1157</v>
      </c>
      <c r="C276" t="s">
        <v>23</v>
      </c>
      <c r="D276" t="s">
        <v>24</v>
      </c>
      <c r="E276" t="s">
        <v>224</v>
      </c>
      <c r="F276" t="s">
        <v>1158</v>
      </c>
      <c r="G276" t="s">
        <v>1159</v>
      </c>
      <c r="H276" t="s">
        <v>28</v>
      </c>
      <c r="I276" t="s">
        <v>29</v>
      </c>
      <c r="J276" t="s">
        <v>30</v>
      </c>
      <c r="K276" t="s">
        <v>31</v>
      </c>
      <c r="L276" t="s">
        <v>30</v>
      </c>
      <c r="M276" t="s">
        <v>31</v>
      </c>
      <c r="N276">
        <v>534</v>
      </c>
      <c r="O276">
        <v>343</v>
      </c>
      <c r="P276">
        <v>320</v>
      </c>
      <c r="Q276">
        <v>1197</v>
      </c>
      <c r="R276" s="15">
        <v>44667</v>
      </c>
      <c r="S276" t="s">
        <v>32</v>
      </c>
      <c r="T276" t="s">
        <v>29</v>
      </c>
      <c r="U276">
        <v>1393818</v>
      </c>
    </row>
    <row r="277" spans="1:21" ht="14.25" customHeight="1" x14ac:dyDescent="0.35">
      <c r="A277" t="s">
        <v>1160</v>
      </c>
      <c r="B277" t="s">
        <v>1161</v>
      </c>
      <c r="C277" t="s">
        <v>23</v>
      </c>
      <c r="D277" t="s">
        <v>24</v>
      </c>
      <c r="E277" t="s">
        <v>321</v>
      </c>
      <c r="F277" t="s">
        <v>1162</v>
      </c>
      <c r="G277" t="s">
        <v>1163</v>
      </c>
      <c r="H277" t="s">
        <v>28</v>
      </c>
      <c r="I277" t="s">
        <v>29</v>
      </c>
      <c r="J277" t="s">
        <v>30</v>
      </c>
      <c r="K277" t="s">
        <v>31</v>
      </c>
      <c r="L277" t="s">
        <v>30</v>
      </c>
      <c r="M277" t="s">
        <v>31</v>
      </c>
      <c r="N277">
        <v>532</v>
      </c>
      <c r="O277">
        <v>339</v>
      </c>
      <c r="P277">
        <v>305</v>
      </c>
      <c r="Q277">
        <v>1176</v>
      </c>
      <c r="R277" s="15">
        <v>44667</v>
      </c>
      <c r="S277" t="s">
        <v>32</v>
      </c>
      <c r="T277" t="s">
        <v>29</v>
      </c>
      <c r="U277">
        <v>1037540</v>
      </c>
    </row>
    <row r="278" spans="1:21" ht="14.25" customHeight="1" x14ac:dyDescent="0.35">
      <c r="A278" t="s">
        <v>1164</v>
      </c>
      <c r="B278" t="s">
        <v>1165</v>
      </c>
      <c r="C278" t="s">
        <v>23</v>
      </c>
      <c r="D278" t="s">
        <v>65</v>
      </c>
      <c r="E278" t="s">
        <v>138</v>
      </c>
      <c r="F278" t="s">
        <v>1166</v>
      </c>
      <c r="G278" t="s">
        <v>1167</v>
      </c>
      <c r="H278" t="s">
        <v>28</v>
      </c>
      <c r="I278" t="s">
        <v>29</v>
      </c>
      <c r="J278" t="s">
        <v>30</v>
      </c>
      <c r="K278" t="s">
        <v>31</v>
      </c>
      <c r="L278" t="s">
        <v>30</v>
      </c>
      <c r="M278" t="s">
        <v>31</v>
      </c>
      <c r="N278">
        <v>510</v>
      </c>
      <c r="O278">
        <v>340</v>
      </c>
      <c r="P278">
        <v>300</v>
      </c>
      <c r="Q278">
        <v>1150</v>
      </c>
      <c r="R278" s="15">
        <v>44670</v>
      </c>
      <c r="S278" t="s">
        <v>32</v>
      </c>
      <c r="T278" t="s">
        <v>29</v>
      </c>
      <c r="U278">
        <v>719739</v>
      </c>
    </row>
    <row r="279" spans="1:21" ht="14.25" customHeight="1" x14ac:dyDescent="0.35">
      <c r="A279" t="s">
        <v>1168</v>
      </c>
      <c r="B279" t="s">
        <v>1169</v>
      </c>
      <c r="C279" t="s">
        <v>23</v>
      </c>
      <c r="D279" t="s">
        <v>24</v>
      </c>
      <c r="E279" t="s">
        <v>138</v>
      </c>
      <c r="F279" t="s">
        <v>1170</v>
      </c>
      <c r="G279" t="s">
        <v>1171</v>
      </c>
      <c r="H279" t="s">
        <v>28</v>
      </c>
      <c r="I279" t="s">
        <v>29</v>
      </c>
      <c r="J279" t="s">
        <v>30</v>
      </c>
      <c r="K279" t="s">
        <v>31</v>
      </c>
      <c r="L279" t="s">
        <v>30</v>
      </c>
      <c r="M279" t="s">
        <v>31</v>
      </c>
      <c r="N279">
        <v>515</v>
      </c>
      <c r="O279">
        <v>300</v>
      </c>
      <c r="P279">
        <v>303</v>
      </c>
      <c r="Q279">
        <v>1118</v>
      </c>
      <c r="R279" s="15">
        <v>44667</v>
      </c>
      <c r="S279" t="s">
        <v>32</v>
      </c>
      <c r="T279" t="s">
        <v>29</v>
      </c>
      <c r="U279">
        <v>831001</v>
      </c>
    </row>
    <row r="280" spans="1:21" ht="14.25" customHeight="1" x14ac:dyDescent="0.35">
      <c r="A280" t="s">
        <v>1172</v>
      </c>
      <c r="B280" t="s">
        <v>1173</v>
      </c>
      <c r="C280" t="s">
        <v>23</v>
      </c>
      <c r="D280" t="s">
        <v>24</v>
      </c>
      <c r="E280" t="s">
        <v>390</v>
      </c>
      <c r="F280" t="s">
        <v>1174</v>
      </c>
      <c r="G280" t="s">
        <v>1175</v>
      </c>
      <c r="H280" t="s">
        <v>38</v>
      </c>
      <c r="I280" t="s">
        <v>31</v>
      </c>
      <c r="J280" t="s">
        <v>38</v>
      </c>
      <c r="K280" t="s">
        <v>31</v>
      </c>
      <c r="L280" t="s">
        <v>38</v>
      </c>
      <c r="M280" t="s">
        <v>31</v>
      </c>
      <c r="N280">
        <v>235</v>
      </c>
      <c r="O280">
        <v>239</v>
      </c>
      <c r="P280">
        <v>235</v>
      </c>
      <c r="Q280">
        <v>709</v>
      </c>
      <c r="R280" s="15">
        <v>44719</v>
      </c>
      <c r="S280" t="s">
        <v>38</v>
      </c>
      <c r="T280" t="s">
        <v>31</v>
      </c>
      <c r="U280">
        <v>18230</v>
      </c>
    </row>
    <row r="281" spans="1:21" ht="14.25" customHeight="1" x14ac:dyDescent="0.35">
      <c r="A281" t="s">
        <v>1176</v>
      </c>
      <c r="B281" t="s">
        <v>1177</v>
      </c>
      <c r="C281" t="s">
        <v>23</v>
      </c>
      <c r="D281" t="s">
        <v>24</v>
      </c>
      <c r="E281" t="s">
        <v>86</v>
      </c>
      <c r="F281" t="s">
        <v>1178</v>
      </c>
      <c r="G281" t="s">
        <v>1179</v>
      </c>
      <c r="H281" t="s">
        <v>38</v>
      </c>
      <c r="I281" t="s">
        <v>31</v>
      </c>
      <c r="J281" t="s">
        <v>38</v>
      </c>
      <c r="K281" t="s">
        <v>31</v>
      </c>
      <c r="L281" t="s">
        <v>38</v>
      </c>
      <c r="M281" t="s">
        <v>31</v>
      </c>
      <c r="N281">
        <v>210</v>
      </c>
      <c r="O281">
        <v>258</v>
      </c>
      <c r="P281">
        <v>226</v>
      </c>
      <c r="Q281">
        <v>694</v>
      </c>
      <c r="R281" s="15">
        <v>44672</v>
      </c>
      <c r="S281" t="s">
        <v>38</v>
      </c>
      <c r="T281" t="s">
        <v>31</v>
      </c>
      <c r="U281">
        <v>1783180</v>
      </c>
    </row>
    <row r="282" spans="1:21" ht="14.25" customHeight="1" x14ac:dyDescent="0.35">
      <c r="A282" t="s">
        <v>1180</v>
      </c>
      <c r="B282" t="s">
        <v>1181</v>
      </c>
      <c r="C282" t="s">
        <v>23</v>
      </c>
      <c r="D282" t="s">
        <v>24</v>
      </c>
      <c r="E282" t="s">
        <v>321</v>
      </c>
      <c r="F282" t="s">
        <v>1182</v>
      </c>
      <c r="G282" t="s">
        <v>1183</v>
      </c>
      <c r="H282" t="s">
        <v>38</v>
      </c>
      <c r="I282" t="s">
        <v>31</v>
      </c>
      <c r="J282" t="s">
        <v>38</v>
      </c>
      <c r="K282" t="s">
        <v>31</v>
      </c>
      <c r="L282" t="s">
        <v>38</v>
      </c>
      <c r="M282" t="s">
        <v>31</v>
      </c>
      <c r="N282">
        <v>200</v>
      </c>
      <c r="O282">
        <v>209</v>
      </c>
      <c r="P282">
        <v>200</v>
      </c>
      <c r="Q282">
        <v>609</v>
      </c>
      <c r="R282" s="15">
        <v>44722</v>
      </c>
      <c r="S282" t="s">
        <v>38</v>
      </c>
      <c r="T282" t="s">
        <v>31</v>
      </c>
      <c r="U282">
        <v>1138118</v>
      </c>
    </row>
    <row r="283" spans="1:21" ht="14.25" customHeight="1" x14ac:dyDescent="0.35">
      <c r="A283" t="s">
        <v>1184</v>
      </c>
      <c r="B283" t="s">
        <v>1185</v>
      </c>
      <c r="C283" t="s">
        <v>23</v>
      </c>
      <c r="D283" t="s">
        <v>24</v>
      </c>
      <c r="E283" t="s">
        <v>321</v>
      </c>
      <c r="F283" t="s">
        <v>1186</v>
      </c>
      <c r="G283" t="s">
        <v>1187</v>
      </c>
      <c r="H283" t="s">
        <v>28</v>
      </c>
      <c r="I283" t="s">
        <v>29</v>
      </c>
      <c r="J283" t="s">
        <v>30</v>
      </c>
      <c r="K283" t="s">
        <v>31</v>
      </c>
      <c r="L283" t="s">
        <v>38</v>
      </c>
      <c r="M283" t="s">
        <v>31</v>
      </c>
      <c r="N283">
        <v>500</v>
      </c>
      <c r="O283">
        <v>300</v>
      </c>
      <c r="P283">
        <v>200</v>
      </c>
      <c r="Q283">
        <v>1000</v>
      </c>
      <c r="R283" s="15">
        <v>44820</v>
      </c>
      <c r="S283" t="s">
        <v>32</v>
      </c>
      <c r="T283" t="s">
        <v>29</v>
      </c>
      <c r="U283">
        <v>1051470</v>
      </c>
    </row>
    <row r="284" spans="1:21" ht="14.25" customHeight="1" x14ac:dyDescent="0.35">
      <c r="A284" t="s">
        <v>1188</v>
      </c>
      <c r="B284" t="s">
        <v>1189</v>
      </c>
      <c r="C284" t="s">
        <v>23</v>
      </c>
      <c r="D284" t="s">
        <v>24</v>
      </c>
      <c r="E284" t="s">
        <v>91</v>
      </c>
      <c r="F284" t="s">
        <v>1190</v>
      </c>
      <c r="G284" t="s">
        <v>1191</v>
      </c>
      <c r="H284" t="s">
        <v>28</v>
      </c>
      <c r="I284" t="s">
        <v>29</v>
      </c>
      <c r="J284" t="s">
        <v>30</v>
      </c>
      <c r="K284" t="s">
        <v>31</v>
      </c>
      <c r="L284" t="s">
        <v>30</v>
      </c>
      <c r="M284" t="s">
        <v>31</v>
      </c>
      <c r="N284">
        <v>530</v>
      </c>
      <c r="O284">
        <v>379</v>
      </c>
      <c r="P284">
        <v>320</v>
      </c>
      <c r="Q284">
        <v>1229</v>
      </c>
      <c r="R284" s="15">
        <v>44672</v>
      </c>
      <c r="S284" t="s">
        <v>28</v>
      </c>
      <c r="T284" t="s">
        <v>29</v>
      </c>
      <c r="U284">
        <v>1725057</v>
      </c>
    </row>
    <row r="285" spans="1:21" ht="14.25" customHeight="1" x14ac:dyDescent="0.35">
      <c r="A285" t="s">
        <v>1192</v>
      </c>
      <c r="B285" t="s">
        <v>1193</v>
      </c>
      <c r="C285" t="s">
        <v>23</v>
      </c>
      <c r="D285" t="s">
        <v>24</v>
      </c>
      <c r="E285" t="s">
        <v>138</v>
      </c>
      <c r="F285" t="s">
        <v>1194</v>
      </c>
      <c r="G285" t="s">
        <v>1195</v>
      </c>
      <c r="H285" t="s">
        <v>38</v>
      </c>
      <c r="I285" t="s">
        <v>31</v>
      </c>
      <c r="J285" t="s">
        <v>30</v>
      </c>
      <c r="K285" t="s">
        <v>31</v>
      </c>
      <c r="L285" t="s">
        <v>38</v>
      </c>
      <c r="M285" t="s">
        <v>31</v>
      </c>
      <c r="N285">
        <v>280</v>
      </c>
      <c r="O285">
        <v>300</v>
      </c>
      <c r="P285">
        <v>230</v>
      </c>
      <c r="Q285">
        <v>810</v>
      </c>
      <c r="R285" s="15">
        <v>44667</v>
      </c>
      <c r="S285" t="s">
        <v>30</v>
      </c>
      <c r="T285" t="s">
        <v>31</v>
      </c>
      <c r="U285">
        <v>28412</v>
      </c>
    </row>
    <row r="286" spans="1:21" ht="14.25" customHeight="1" x14ac:dyDescent="0.35">
      <c r="A286" t="s">
        <v>1196</v>
      </c>
      <c r="B286" t="s">
        <v>1197</v>
      </c>
      <c r="C286" t="s">
        <v>23</v>
      </c>
      <c r="D286" t="s">
        <v>24</v>
      </c>
      <c r="E286" t="s">
        <v>46</v>
      </c>
      <c r="F286" t="s">
        <v>1198</v>
      </c>
      <c r="G286" t="s">
        <v>1199</v>
      </c>
      <c r="H286" t="s">
        <v>38</v>
      </c>
      <c r="I286" t="s">
        <v>31</v>
      </c>
      <c r="J286" t="s">
        <v>38</v>
      </c>
      <c r="K286" t="s">
        <v>31</v>
      </c>
      <c r="L286" t="s">
        <v>38</v>
      </c>
      <c r="M286" t="s">
        <v>31</v>
      </c>
      <c r="N286">
        <v>250</v>
      </c>
      <c r="O286">
        <v>271</v>
      </c>
      <c r="P286">
        <v>205</v>
      </c>
      <c r="Q286">
        <v>726</v>
      </c>
      <c r="R286" s="15">
        <v>44668</v>
      </c>
      <c r="S286" t="s">
        <v>38</v>
      </c>
      <c r="T286" t="s">
        <v>31</v>
      </c>
      <c r="U286">
        <v>882184</v>
      </c>
    </row>
    <row r="287" spans="1:21" ht="14.25" customHeight="1" x14ac:dyDescent="0.35">
      <c r="A287" t="s">
        <v>1200</v>
      </c>
      <c r="B287" t="s">
        <v>1201</v>
      </c>
      <c r="C287" t="s">
        <v>23</v>
      </c>
      <c r="D287" t="s">
        <v>24</v>
      </c>
      <c r="E287" t="s">
        <v>390</v>
      </c>
      <c r="F287" t="s">
        <v>1202</v>
      </c>
      <c r="G287" t="s">
        <v>1203</v>
      </c>
      <c r="H287" t="s">
        <v>28</v>
      </c>
      <c r="I287" t="s">
        <v>29</v>
      </c>
      <c r="J287" t="s">
        <v>30</v>
      </c>
      <c r="K287" t="s">
        <v>31</v>
      </c>
      <c r="L287" t="s">
        <v>30</v>
      </c>
      <c r="M287" t="s">
        <v>31</v>
      </c>
      <c r="N287">
        <v>500</v>
      </c>
      <c r="O287">
        <v>320</v>
      </c>
      <c r="P287">
        <v>305</v>
      </c>
      <c r="Q287">
        <v>1125</v>
      </c>
      <c r="R287" s="15">
        <v>44668</v>
      </c>
      <c r="S287" t="s">
        <v>32</v>
      </c>
      <c r="T287" t="s">
        <v>29</v>
      </c>
      <c r="U287">
        <v>29905</v>
      </c>
    </row>
    <row r="288" spans="1:21" ht="14.25" customHeight="1" x14ac:dyDescent="0.35">
      <c r="A288" t="s">
        <v>1204</v>
      </c>
      <c r="B288" t="s">
        <v>1205</v>
      </c>
      <c r="C288" t="s">
        <v>23</v>
      </c>
      <c r="D288" t="s">
        <v>24</v>
      </c>
      <c r="E288" t="s">
        <v>55</v>
      </c>
      <c r="F288" t="s">
        <v>1206</v>
      </c>
      <c r="G288" t="s">
        <v>1207</v>
      </c>
      <c r="H288" t="s">
        <v>28</v>
      </c>
      <c r="I288" t="s">
        <v>29</v>
      </c>
      <c r="J288" t="s">
        <v>30</v>
      </c>
      <c r="K288" t="s">
        <v>31</v>
      </c>
      <c r="L288" t="s">
        <v>30</v>
      </c>
      <c r="M288" t="s">
        <v>31</v>
      </c>
      <c r="N288">
        <v>515</v>
      </c>
      <c r="O288">
        <v>309</v>
      </c>
      <c r="P288">
        <v>300</v>
      </c>
      <c r="Q288">
        <v>1124</v>
      </c>
      <c r="R288" s="15">
        <v>44668</v>
      </c>
      <c r="S288" t="s">
        <v>32</v>
      </c>
      <c r="T288" t="s">
        <v>29</v>
      </c>
      <c r="U288">
        <v>940944</v>
      </c>
    </row>
    <row r="289" spans="1:21" ht="14.25" customHeight="1" x14ac:dyDescent="0.35">
      <c r="A289" t="s">
        <v>1208</v>
      </c>
      <c r="B289" t="s">
        <v>1209</v>
      </c>
      <c r="C289" t="s">
        <v>23</v>
      </c>
      <c r="D289" t="s">
        <v>24</v>
      </c>
      <c r="E289" t="s">
        <v>258</v>
      </c>
      <c r="F289" t="s">
        <v>1210</v>
      </c>
      <c r="G289" t="s">
        <v>1211</v>
      </c>
      <c r="H289" t="s">
        <v>28</v>
      </c>
      <c r="I289" t="s">
        <v>29</v>
      </c>
      <c r="J289" t="s">
        <v>30</v>
      </c>
      <c r="K289" t="s">
        <v>31</v>
      </c>
      <c r="L289" t="s">
        <v>30</v>
      </c>
      <c r="M289" t="s">
        <v>31</v>
      </c>
      <c r="N289">
        <v>500</v>
      </c>
      <c r="O289">
        <v>319</v>
      </c>
      <c r="P289">
        <v>300</v>
      </c>
      <c r="Q289">
        <v>1119</v>
      </c>
      <c r="R289" s="15">
        <v>44722</v>
      </c>
      <c r="S289" t="s">
        <v>32</v>
      </c>
      <c r="T289" t="s">
        <v>29</v>
      </c>
      <c r="U289">
        <v>1306830</v>
      </c>
    </row>
    <row r="290" spans="1:21" ht="14.25" customHeight="1" x14ac:dyDescent="0.35">
      <c r="A290" t="s">
        <v>1212</v>
      </c>
      <c r="B290" t="s">
        <v>1213</v>
      </c>
      <c r="C290" t="s">
        <v>23</v>
      </c>
      <c r="D290" t="s">
        <v>24</v>
      </c>
      <c r="E290" t="s">
        <v>596</v>
      </c>
      <c r="F290" t="s">
        <v>1214</v>
      </c>
      <c r="G290" t="s">
        <v>1215</v>
      </c>
      <c r="H290" t="s">
        <v>38</v>
      </c>
      <c r="I290" t="s">
        <v>31</v>
      </c>
      <c r="J290" t="s">
        <v>38</v>
      </c>
      <c r="K290" t="s">
        <v>31</v>
      </c>
      <c r="L290" t="s">
        <v>38</v>
      </c>
      <c r="M290" t="s">
        <v>31</v>
      </c>
      <c r="N290">
        <v>247</v>
      </c>
      <c r="O290">
        <v>222</v>
      </c>
      <c r="P290">
        <v>200</v>
      </c>
      <c r="Q290">
        <v>669</v>
      </c>
      <c r="R290" s="15">
        <v>44668</v>
      </c>
      <c r="S290" t="s">
        <v>38</v>
      </c>
      <c r="T290" t="s">
        <v>31</v>
      </c>
      <c r="U290">
        <v>29534</v>
      </c>
    </row>
    <row r="291" spans="1:21" ht="14.25" customHeight="1" x14ac:dyDescent="0.35">
      <c r="A291" t="s">
        <v>1216</v>
      </c>
      <c r="B291" t="s">
        <v>1217</v>
      </c>
      <c r="C291" t="s">
        <v>23</v>
      </c>
      <c r="D291" t="s">
        <v>24</v>
      </c>
      <c r="E291" t="s">
        <v>55</v>
      </c>
      <c r="F291" t="s">
        <v>1218</v>
      </c>
      <c r="G291" t="s">
        <v>1219</v>
      </c>
      <c r="H291" t="s">
        <v>38</v>
      </c>
      <c r="I291" t="s">
        <v>31</v>
      </c>
      <c r="J291" t="s">
        <v>38</v>
      </c>
      <c r="K291" t="s">
        <v>31</v>
      </c>
      <c r="L291" t="s">
        <v>38</v>
      </c>
      <c r="M291" t="s">
        <v>31</v>
      </c>
      <c r="N291">
        <v>210</v>
      </c>
      <c r="O291">
        <v>241</v>
      </c>
      <c r="P291">
        <v>213</v>
      </c>
      <c r="Q291">
        <v>664</v>
      </c>
      <c r="R291" s="15">
        <v>44667</v>
      </c>
      <c r="S291" t="s">
        <v>38</v>
      </c>
      <c r="T291" t="s">
        <v>31</v>
      </c>
      <c r="U291">
        <v>1058090</v>
      </c>
    </row>
    <row r="292" spans="1:21" ht="14.25" customHeight="1" x14ac:dyDescent="0.35">
      <c r="A292" t="s">
        <v>1220</v>
      </c>
      <c r="B292" t="s">
        <v>1221</v>
      </c>
      <c r="C292" t="s">
        <v>23</v>
      </c>
      <c r="D292" t="s">
        <v>24</v>
      </c>
      <c r="E292" t="s">
        <v>124</v>
      </c>
      <c r="F292" t="s">
        <v>1222</v>
      </c>
      <c r="G292" t="s">
        <v>1223</v>
      </c>
      <c r="H292" t="s">
        <v>38</v>
      </c>
      <c r="I292" t="s">
        <v>31</v>
      </c>
      <c r="J292" t="s">
        <v>30</v>
      </c>
      <c r="K292" t="s">
        <v>31</v>
      </c>
      <c r="L292" t="s">
        <v>38</v>
      </c>
      <c r="M292" t="s">
        <v>31</v>
      </c>
      <c r="N292">
        <v>230</v>
      </c>
      <c r="O292">
        <v>300</v>
      </c>
      <c r="P292">
        <v>205</v>
      </c>
      <c r="Q292">
        <v>735</v>
      </c>
      <c r="R292" s="15">
        <v>44670</v>
      </c>
      <c r="S292" t="s">
        <v>38</v>
      </c>
      <c r="T292" t="s">
        <v>31</v>
      </c>
      <c r="U292">
        <v>1022079</v>
      </c>
    </row>
    <row r="293" spans="1:21" ht="14.25" customHeight="1" x14ac:dyDescent="0.35">
      <c r="A293" t="s">
        <v>1224</v>
      </c>
      <c r="B293" t="s">
        <v>1225</v>
      </c>
      <c r="C293" t="s">
        <v>23</v>
      </c>
      <c r="D293" t="s">
        <v>24</v>
      </c>
      <c r="E293" t="s">
        <v>55</v>
      </c>
      <c r="F293" t="s">
        <v>1226</v>
      </c>
      <c r="G293" t="s">
        <v>1227</v>
      </c>
      <c r="H293" t="s">
        <v>28</v>
      </c>
      <c r="I293" t="s">
        <v>29</v>
      </c>
      <c r="J293" t="s">
        <v>30</v>
      </c>
      <c r="K293" t="s">
        <v>31</v>
      </c>
      <c r="L293" t="s">
        <v>30</v>
      </c>
      <c r="M293" t="s">
        <v>31</v>
      </c>
      <c r="N293">
        <v>515</v>
      </c>
      <c r="O293">
        <v>326</v>
      </c>
      <c r="P293">
        <v>320</v>
      </c>
      <c r="Q293">
        <v>1161</v>
      </c>
      <c r="R293" s="15">
        <v>44667</v>
      </c>
      <c r="S293" t="s">
        <v>32</v>
      </c>
      <c r="T293" t="s">
        <v>29</v>
      </c>
      <c r="U293">
        <v>815097</v>
      </c>
    </row>
    <row r="294" spans="1:21" ht="14.25" customHeight="1" x14ac:dyDescent="0.35">
      <c r="A294" t="s">
        <v>1228</v>
      </c>
      <c r="B294" t="s">
        <v>1229</v>
      </c>
      <c r="C294" t="s">
        <v>23</v>
      </c>
      <c r="D294" t="s">
        <v>24</v>
      </c>
      <c r="E294" t="s">
        <v>46</v>
      </c>
      <c r="F294" t="s">
        <v>1230</v>
      </c>
      <c r="G294" t="s">
        <v>1231</v>
      </c>
      <c r="H294" t="s">
        <v>28</v>
      </c>
      <c r="I294" t="s">
        <v>29</v>
      </c>
      <c r="J294" t="s">
        <v>30</v>
      </c>
      <c r="K294" t="s">
        <v>31</v>
      </c>
      <c r="L294" t="s">
        <v>30</v>
      </c>
      <c r="M294" t="s">
        <v>31</v>
      </c>
      <c r="N294">
        <v>578</v>
      </c>
      <c r="O294">
        <v>341</v>
      </c>
      <c r="P294">
        <v>348</v>
      </c>
      <c r="Q294">
        <v>1267</v>
      </c>
      <c r="R294" s="15">
        <v>44667</v>
      </c>
      <c r="S294" t="s">
        <v>28</v>
      </c>
      <c r="T294" t="s">
        <v>29</v>
      </c>
      <c r="U294">
        <v>313927</v>
      </c>
    </row>
    <row r="295" spans="1:21" ht="14.25" customHeight="1" x14ac:dyDescent="0.35">
      <c r="A295" t="s">
        <v>1232</v>
      </c>
      <c r="B295" t="s">
        <v>1233</v>
      </c>
      <c r="C295" t="s">
        <v>23</v>
      </c>
      <c r="D295" t="s">
        <v>24</v>
      </c>
      <c r="E295" t="s">
        <v>258</v>
      </c>
      <c r="F295" t="s">
        <v>1234</v>
      </c>
      <c r="G295" t="s">
        <v>1235</v>
      </c>
      <c r="H295" t="s">
        <v>38</v>
      </c>
      <c r="I295" t="s">
        <v>31</v>
      </c>
      <c r="J295" t="s">
        <v>38</v>
      </c>
      <c r="K295" t="s">
        <v>31</v>
      </c>
      <c r="L295" t="s">
        <v>38</v>
      </c>
      <c r="M295" t="s">
        <v>31</v>
      </c>
      <c r="N295">
        <v>225</v>
      </c>
      <c r="O295">
        <v>201</v>
      </c>
      <c r="P295">
        <v>200</v>
      </c>
      <c r="Q295">
        <v>626</v>
      </c>
      <c r="R295" s="15">
        <v>44668</v>
      </c>
      <c r="S295" t="s">
        <v>38</v>
      </c>
      <c r="T295" t="s">
        <v>31</v>
      </c>
      <c r="U295">
        <v>1751788</v>
      </c>
    </row>
    <row r="296" spans="1:21" ht="14.25" customHeight="1" x14ac:dyDescent="0.35">
      <c r="A296" t="s">
        <v>1236</v>
      </c>
      <c r="B296" t="s">
        <v>1237</v>
      </c>
      <c r="C296" t="s">
        <v>23</v>
      </c>
      <c r="D296" t="s">
        <v>24</v>
      </c>
      <c r="E296" t="s">
        <v>224</v>
      </c>
      <c r="F296" t="s">
        <v>1238</v>
      </c>
      <c r="G296" t="s">
        <v>1239</v>
      </c>
      <c r="H296" t="s">
        <v>30</v>
      </c>
      <c r="I296" t="s">
        <v>31</v>
      </c>
      <c r="J296" t="s">
        <v>30</v>
      </c>
      <c r="K296" t="s">
        <v>31</v>
      </c>
      <c r="L296" t="s">
        <v>30</v>
      </c>
      <c r="M296" t="s">
        <v>31</v>
      </c>
      <c r="N296">
        <v>335</v>
      </c>
      <c r="O296">
        <v>321</v>
      </c>
      <c r="P296">
        <v>313</v>
      </c>
      <c r="Q296">
        <v>969</v>
      </c>
      <c r="R296" s="15">
        <v>44668</v>
      </c>
      <c r="S296" t="s">
        <v>32</v>
      </c>
      <c r="T296" t="s">
        <v>29</v>
      </c>
      <c r="U296">
        <v>1393612</v>
      </c>
    </row>
    <row r="297" spans="1:21" ht="14.25" customHeight="1" x14ac:dyDescent="0.35">
      <c r="A297" t="s">
        <v>1240</v>
      </c>
      <c r="B297" t="s">
        <v>1241</v>
      </c>
      <c r="C297" t="s">
        <v>23</v>
      </c>
      <c r="D297" t="s">
        <v>24</v>
      </c>
      <c r="E297" t="s">
        <v>330</v>
      </c>
      <c r="F297" t="s">
        <v>1242</v>
      </c>
      <c r="G297" t="s">
        <v>1243</v>
      </c>
      <c r="H297" t="s">
        <v>599</v>
      </c>
      <c r="I297" t="s">
        <v>600</v>
      </c>
      <c r="J297" t="s">
        <v>30</v>
      </c>
      <c r="K297" t="s">
        <v>31</v>
      </c>
      <c r="L297" t="s">
        <v>30</v>
      </c>
      <c r="M297" t="s">
        <v>31</v>
      </c>
      <c r="N297">
        <v>604</v>
      </c>
      <c r="O297">
        <v>362</v>
      </c>
      <c r="P297">
        <v>328</v>
      </c>
      <c r="Q297">
        <v>1294</v>
      </c>
      <c r="R297" s="15">
        <v>44668</v>
      </c>
      <c r="S297" t="s">
        <v>28</v>
      </c>
      <c r="T297" t="s">
        <v>29</v>
      </c>
      <c r="U297">
        <v>1326160</v>
      </c>
    </row>
    <row r="298" spans="1:21" ht="14.25" customHeight="1" x14ac:dyDescent="0.35">
      <c r="A298" t="s">
        <v>1244</v>
      </c>
      <c r="B298" t="s">
        <v>1245</v>
      </c>
      <c r="C298" t="s">
        <v>23</v>
      </c>
      <c r="D298" t="s">
        <v>24</v>
      </c>
      <c r="E298" t="s">
        <v>321</v>
      </c>
      <c r="F298" t="s">
        <v>1246</v>
      </c>
      <c r="G298" t="s">
        <v>1247</v>
      </c>
      <c r="H298" t="s">
        <v>28</v>
      </c>
      <c r="I298" t="s">
        <v>29</v>
      </c>
      <c r="J298" t="s">
        <v>30</v>
      </c>
      <c r="K298" t="s">
        <v>31</v>
      </c>
      <c r="L298" t="s">
        <v>30</v>
      </c>
      <c r="M298" t="s">
        <v>31</v>
      </c>
      <c r="N298">
        <v>540</v>
      </c>
      <c r="O298">
        <v>313</v>
      </c>
      <c r="P298">
        <v>300</v>
      </c>
      <c r="Q298">
        <v>1153</v>
      </c>
      <c r="R298" s="15">
        <v>44668</v>
      </c>
      <c r="S298" t="s">
        <v>32</v>
      </c>
      <c r="T298" t="s">
        <v>29</v>
      </c>
      <c r="U298">
        <v>783280</v>
      </c>
    </row>
    <row r="299" spans="1:21" ht="14.25" customHeight="1" x14ac:dyDescent="0.35">
      <c r="A299" t="s">
        <v>1248</v>
      </c>
      <c r="B299" t="s">
        <v>1249</v>
      </c>
      <c r="C299" t="s">
        <v>23</v>
      </c>
      <c r="D299" t="s">
        <v>24</v>
      </c>
      <c r="E299" t="s">
        <v>258</v>
      </c>
      <c r="F299" t="s">
        <v>1250</v>
      </c>
      <c r="G299" t="s">
        <v>1251</v>
      </c>
      <c r="H299" t="s">
        <v>28</v>
      </c>
      <c r="I299" t="s">
        <v>29</v>
      </c>
      <c r="J299" t="s">
        <v>30</v>
      </c>
      <c r="K299" t="s">
        <v>31</v>
      </c>
      <c r="L299" t="s">
        <v>30</v>
      </c>
      <c r="M299" t="s">
        <v>31</v>
      </c>
      <c r="N299">
        <v>525</v>
      </c>
      <c r="O299">
        <v>307</v>
      </c>
      <c r="P299">
        <v>310</v>
      </c>
      <c r="Q299">
        <v>1142</v>
      </c>
      <c r="R299" s="15">
        <v>44667</v>
      </c>
      <c r="S299" t="s">
        <v>32</v>
      </c>
      <c r="T299" t="s">
        <v>29</v>
      </c>
      <c r="U299">
        <v>1324404</v>
      </c>
    </row>
    <row r="300" spans="1:21" ht="14.25" customHeight="1" x14ac:dyDescent="0.35">
      <c r="A300" t="s">
        <v>1252</v>
      </c>
      <c r="B300" t="s">
        <v>1253</v>
      </c>
      <c r="C300" t="s">
        <v>23</v>
      </c>
      <c r="D300" t="s">
        <v>24</v>
      </c>
      <c r="E300" t="s">
        <v>607</v>
      </c>
      <c r="F300" t="s">
        <v>1254</v>
      </c>
      <c r="G300" t="s">
        <v>1255</v>
      </c>
      <c r="H300" t="s">
        <v>28</v>
      </c>
      <c r="I300" t="s">
        <v>29</v>
      </c>
      <c r="J300" t="s">
        <v>30</v>
      </c>
      <c r="K300" t="s">
        <v>31</v>
      </c>
      <c r="L300" t="s">
        <v>30</v>
      </c>
      <c r="M300" t="s">
        <v>31</v>
      </c>
      <c r="N300">
        <v>570</v>
      </c>
      <c r="O300">
        <v>301</v>
      </c>
      <c r="P300">
        <v>300</v>
      </c>
      <c r="Q300">
        <v>1171</v>
      </c>
      <c r="R300" s="15">
        <v>44668</v>
      </c>
      <c r="S300" t="s">
        <v>32</v>
      </c>
      <c r="T300" t="s">
        <v>29</v>
      </c>
      <c r="U300">
        <v>1090012</v>
      </c>
    </row>
    <row r="301" spans="1:21" ht="14.25" customHeight="1" x14ac:dyDescent="0.35">
      <c r="A301" t="s">
        <v>1256</v>
      </c>
      <c r="B301" t="s">
        <v>1257</v>
      </c>
      <c r="C301" t="s">
        <v>23</v>
      </c>
      <c r="D301" t="s">
        <v>24</v>
      </c>
      <c r="E301" t="s">
        <v>258</v>
      </c>
      <c r="F301" t="s">
        <v>1258</v>
      </c>
      <c r="G301" t="s">
        <v>1259</v>
      </c>
      <c r="H301" t="s">
        <v>28</v>
      </c>
      <c r="I301" t="s">
        <v>29</v>
      </c>
      <c r="J301" t="s">
        <v>30</v>
      </c>
      <c r="K301" t="s">
        <v>31</v>
      </c>
      <c r="L301" t="s">
        <v>30</v>
      </c>
      <c r="M301" t="s">
        <v>31</v>
      </c>
      <c r="N301">
        <v>547</v>
      </c>
      <c r="O301">
        <v>373</v>
      </c>
      <c r="P301">
        <v>325</v>
      </c>
      <c r="Q301">
        <v>1245</v>
      </c>
      <c r="R301" s="15">
        <v>44668</v>
      </c>
      <c r="S301" t="s">
        <v>28</v>
      </c>
      <c r="T301" t="s">
        <v>29</v>
      </c>
      <c r="U301">
        <v>31462</v>
      </c>
    </row>
    <row r="302" spans="1:21" ht="14.25" customHeight="1" x14ac:dyDescent="0.35">
      <c r="A302" t="s">
        <v>1260</v>
      </c>
      <c r="B302" t="s">
        <v>1261</v>
      </c>
      <c r="C302" t="s">
        <v>23</v>
      </c>
      <c r="D302" t="s">
        <v>24</v>
      </c>
      <c r="E302" t="s">
        <v>596</v>
      </c>
      <c r="F302" t="s">
        <v>1262</v>
      </c>
      <c r="G302" t="s">
        <v>1263</v>
      </c>
      <c r="H302" t="s">
        <v>38</v>
      </c>
      <c r="I302" t="s">
        <v>31</v>
      </c>
      <c r="J302" t="s">
        <v>30</v>
      </c>
      <c r="K302" t="s">
        <v>31</v>
      </c>
      <c r="L302" t="s">
        <v>38</v>
      </c>
      <c r="M302" t="s">
        <v>31</v>
      </c>
      <c r="N302">
        <v>230</v>
      </c>
      <c r="O302">
        <v>317</v>
      </c>
      <c r="P302">
        <v>205</v>
      </c>
      <c r="Q302">
        <v>752</v>
      </c>
      <c r="R302" s="15">
        <v>44668</v>
      </c>
      <c r="S302" t="s">
        <v>30</v>
      </c>
      <c r="T302" t="s">
        <v>31</v>
      </c>
      <c r="U302">
        <v>354950</v>
      </c>
    </row>
    <row r="303" spans="1:21" ht="14.25" customHeight="1" x14ac:dyDescent="0.35">
      <c r="A303" t="s">
        <v>1264</v>
      </c>
      <c r="B303" t="s">
        <v>1265</v>
      </c>
      <c r="C303" t="s">
        <v>23</v>
      </c>
      <c r="D303" t="s">
        <v>24</v>
      </c>
      <c r="E303" t="s">
        <v>330</v>
      </c>
      <c r="F303" t="s">
        <v>1266</v>
      </c>
      <c r="G303" t="s">
        <v>1267</v>
      </c>
      <c r="H303" t="s">
        <v>28</v>
      </c>
      <c r="I303" t="s">
        <v>29</v>
      </c>
      <c r="J303" t="s">
        <v>30</v>
      </c>
      <c r="K303" t="s">
        <v>31</v>
      </c>
      <c r="L303" t="s">
        <v>38</v>
      </c>
      <c r="M303" t="s">
        <v>31</v>
      </c>
      <c r="N303">
        <v>592</v>
      </c>
      <c r="O303">
        <v>313</v>
      </c>
      <c r="P303">
        <v>210</v>
      </c>
      <c r="Q303">
        <v>1115</v>
      </c>
      <c r="R303" s="15">
        <v>44668</v>
      </c>
      <c r="S303" t="s">
        <v>32</v>
      </c>
      <c r="T303" t="s">
        <v>29</v>
      </c>
      <c r="U303">
        <v>936340</v>
      </c>
    </row>
    <row r="304" spans="1:21" ht="14.25" customHeight="1" x14ac:dyDescent="0.35">
      <c r="A304" t="s">
        <v>1268</v>
      </c>
      <c r="B304" t="s">
        <v>1269</v>
      </c>
      <c r="C304" t="s">
        <v>23</v>
      </c>
      <c r="D304" t="s">
        <v>24</v>
      </c>
      <c r="E304" t="s">
        <v>330</v>
      </c>
      <c r="F304" t="s">
        <v>1270</v>
      </c>
      <c r="G304" t="s">
        <v>1271</v>
      </c>
      <c r="H304" t="s">
        <v>599</v>
      </c>
      <c r="I304" t="s">
        <v>600</v>
      </c>
      <c r="J304" t="s">
        <v>28</v>
      </c>
      <c r="K304" t="s">
        <v>29</v>
      </c>
      <c r="L304" t="s">
        <v>30</v>
      </c>
      <c r="M304" t="s">
        <v>31</v>
      </c>
      <c r="N304">
        <v>700</v>
      </c>
      <c r="O304">
        <v>513</v>
      </c>
      <c r="P304">
        <v>315</v>
      </c>
      <c r="Q304">
        <v>1528</v>
      </c>
      <c r="R304" s="15">
        <v>44668</v>
      </c>
      <c r="S304" t="s">
        <v>28</v>
      </c>
      <c r="T304" t="s">
        <v>29</v>
      </c>
      <c r="U304">
        <v>827052</v>
      </c>
    </row>
    <row r="305" spans="1:21" ht="14.25" customHeight="1" x14ac:dyDescent="0.35">
      <c r="A305" t="s">
        <v>1272</v>
      </c>
      <c r="B305" t="s">
        <v>1273</v>
      </c>
      <c r="C305" t="s">
        <v>23</v>
      </c>
      <c r="D305" t="s">
        <v>24</v>
      </c>
      <c r="E305" t="s">
        <v>96</v>
      </c>
      <c r="F305" t="s">
        <v>1274</v>
      </c>
      <c r="G305" t="s">
        <v>1275</v>
      </c>
      <c r="H305" t="s">
        <v>38</v>
      </c>
      <c r="I305" t="s">
        <v>31</v>
      </c>
      <c r="J305" t="s">
        <v>38</v>
      </c>
      <c r="K305" t="s">
        <v>31</v>
      </c>
      <c r="L305" t="s">
        <v>38</v>
      </c>
      <c r="M305" t="s">
        <v>31</v>
      </c>
      <c r="N305">
        <v>200</v>
      </c>
      <c r="O305">
        <v>200</v>
      </c>
      <c r="P305">
        <v>200</v>
      </c>
      <c r="Q305">
        <v>600</v>
      </c>
      <c r="R305" s="15">
        <v>44667</v>
      </c>
      <c r="S305" t="s">
        <v>38</v>
      </c>
      <c r="T305" t="s">
        <v>31</v>
      </c>
      <c r="U305">
        <v>24741</v>
      </c>
    </row>
    <row r="306" spans="1:21" ht="14.25" customHeight="1" x14ac:dyDescent="0.35">
      <c r="A306" t="s">
        <v>1276</v>
      </c>
      <c r="B306" t="s">
        <v>1277</v>
      </c>
      <c r="C306" t="s">
        <v>23</v>
      </c>
      <c r="D306" t="s">
        <v>24</v>
      </c>
      <c r="E306" t="s">
        <v>124</v>
      </c>
      <c r="F306" t="s">
        <v>1278</v>
      </c>
      <c r="G306" t="s">
        <v>1279</v>
      </c>
      <c r="H306" t="s">
        <v>38</v>
      </c>
      <c r="I306" t="s">
        <v>31</v>
      </c>
      <c r="J306" t="s">
        <v>30</v>
      </c>
      <c r="K306" t="s">
        <v>31</v>
      </c>
      <c r="L306" t="s">
        <v>30</v>
      </c>
      <c r="M306" t="s">
        <v>31</v>
      </c>
      <c r="N306">
        <v>260</v>
      </c>
      <c r="O306">
        <v>332</v>
      </c>
      <c r="P306">
        <v>300</v>
      </c>
      <c r="Q306">
        <v>892</v>
      </c>
      <c r="R306" s="15">
        <v>44668</v>
      </c>
      <c r="S306" t="s">
        <v>30</v>
      </c>
      <c r="T306" t="s">
        <v>31</v>
      </c>
      <c r="U306">
        <v>927066</v>
      </c>
    </row>
    <row r="307" spans="1:21" ht="14.25" customHeight="1" x14ac:dyDescent="0.35">
      <c r="A307" t="s">
        <v>1280</v>
      </c>
      <c r="B307" t="s">
        <v>1281</v>
      </c>
      <c r="C307" t="s">
        <v>23</v>
      </c>
      <c r="D307" t="s">
        <v>65</v>
      </c>
      <c r="E307" t="s">
        <v>91</v>
      </c>
      <c r="F307" t="s">
        <v>1282</v>
      </c>
      <c r="G307" t="s">
        <v>1283</v>
      </c>
      <c r="H307" t="s">
        <v>28</v>
      </c>
      <c r="I307" t="s">
        <v>29</v>
      </c>
      <c r="J307" t="s">
        <v>30</v>
      </c>
      <c r="K307" t="s">
        <v>31</v>
      </c>
      <c r="L307" t="s">
        <v>38</v>
      </c>
      <c r="M307" t="s">
        <v>31</v>
      </c>
      <c r="N307">
        <v>545</v>
      </c>
      <c r="O307">
        <v>339</v>
      </c>
      <c r="P307">
        <v>260</v>
      </c>
      <c r="Q307">
        <v>1144</v>
      </c>
      <c r="R307" s="15">
        <v>44671</v>
      </c>
      <c r="S307" t="s">
        <v>32</v>
      </c>
      <c r="T307" t="s">
        <v>29</v>
      </c>
      <c r="U307">
        <v>106040</v>
      </c>
    </row>
    <row r="308" spans="1:21" ht="14.25" customHeight="1" x14ac:dyDescent="0.35">
      <c r="A308" t="s">
        <v>1284</v>
      </c>
      <c r="B308" t="s">
        <v>1285</v>
      </c>
      <c r="C308" t="s">
        <v>23</v>
      </c>
      <c r="D308" t="s">
        <v>24</v>
      </c>
      <c r="E308" t="s">
        <v>224</v>
      </c>
      <c r="F308" t="s">
        <v>1286</v>
      </c>
      <c r="G308" t="s">
        <v>1287</v>
      </c>
      <c r="H308" t="s">
        <v>28</v>
      </c>
      <c r="I308" t="s">
        <v>29</v>
      </c>
      <c r="J308" t="s">
        <v>30</v>
      </c>
      <c r="K308" t="s">
        <v>31</v>
      </c>
      <c r="L308" t="s">
        <v>30</v>
      </c>
      <c r="M308" t="s">
        <v>31</v>
      </c>
      <c r="N308">
        <v>525</v>
      </c>
      <c r="O308">
        <v>305</v>
      </c>
      <c r="P308">
        <v>305</v>
      </c>
      <c r="Q308">
        <v>1135</v>
      </c>
      <c r="R308" s="15">
        <v>44668</v>
      </c>
      <c r="S308" t="s">
        <v>32</v>
      </c>
      <c r="T308" t="s">
        <v>29</v>
      </c>
      <c r="U308">
        <v>886982</v>
      </c>
    </row>
    <row r="309" spans="1:21" ht="14.25" customHeight="1" x14ac:dyDescent="0.35">
      <c r="A309" t="s">
        <v>1288</v>
      </c>
      <c r="B309" t="s">
        <v>1289</v>
      </c>
      <c r="C309" t="s">
        <v>23</v>
      </c>
      <c r="D309" t="s">
        <v>24</v>
      </c>
      <c r="E309" t="s">
        <v>91</v>
      </c>
      <c r="F309" t="s">
        <v>1290</v>
      </c>
      <c r="G309" t="s">
        <v>1291</v>
      </c>
      <c r="H309" t="s">
        <v>28</v>
      </c>
      <c r="I309" t="s">
        <v>29</v>
      </c>
      <c r="J309" t="s">
        <v>30</v>
      </c>
      <c r="K309" t="s">
        <v>31</v>
      </c>
      <c r="L309" t="s">
        <v>30</v>
      </c>
      <c r="M309" t="s">
        <v>31</v>
      </c>
      <c r="N309">
        <v>505</v>
      </c>
      <c r="O309">
        <v>326</v>
      </c>
      <c r="P309">
        <v>305</v>
      </c>
      <c r="Q309">
        <v>1136</v>
      </c>
      <c r="R309" s="15">
        <v>44722</v>
      </c>
      <c r="S309" t="s">
        <v>32</v>
      </c>
      <c r="T309" t="s">
        <v>29</v>
      </c>
      <c r="U309">
        <v>1688568</v>
      </c>
    </row>
    <row r="310" spans="1:21" ht="14.25" customHeight="1" x14ac:dyDescent="0.35">
      <c r="A310" t="s">
        <v>1292</v>
      </c>
      <c r="B310" t="s">
        <v>1293</v>
      </c>
      <c r="C310" t="s">
        <v>23</v>
      </c>
      <c r="D310" t="s">
        <v>24</v>
      </c>
      <c r="E310" t="s">
        <v>96</v>
      </c>
      <c r="F310" t="s">
        <v>1294</v>
      </c>
      <c r="G310" t="s">
        <v>1295</v>
      </c>
      <c r="H310" t="s">
        <v>28</v>
      </c>
      <c r="I310" t="s">
        <v>29</v>
      </c>
      <c r="J310" t="s">
        <v>30</v>
      </c>
      <c r="K310" t="s">
        <v>31</v>
      </c>
      <c r="L310" t="s">
        <v>30</v>
      </c>
      <c r="M310" t="s">
        <v>31</v>
      </c>
      <c r="N310">
        <v>520</v>
      </c>
      <c r="O310">
        <v>328</v>
      </c>
      <c r="P310">
        <v>320</v>
      </c>
      <c r="Q310">
        <v>1168</v>
      </c>
      <c r="R310" s="15">
        <v>44668</v>
      </c>
      <c r="S310" t="s">
        <v>32</v>
      </c>
      <c r="T310" t="s">
        <v>29</v>
      </c>
      <c r="U310">
        <v>1551182</v>
      </c>
    </row>
    <row r="311" spans="1:21" ht="14.25" customHeight="1" x14ac:dyDescent="0.35">
      <c r="A311" t="s">
        <v>1296</v>
      </c>
      <c r="B311" t="s">
        <v>1297</v>
      </c>
      <c r="C311" t="s">
        <v>23</v>
      </c>
      <c r="D311" t="s">
        <v>24</v>
      </c>
      <c r="E311" t="s">
        <v>330</v>
      </c>
      <c r="F311" t="s">
        <v>1298</v>
      </c>
      <c r="G311" t="s">
        <v>1299</v>
      </c>
      <c r="H311" t="s">
        <v>599</v>
      </c>
      <c r="I311" t="s">
        <v>600</v>
      </c>
      <c r="J311" t="s">
        <v>30</v>
      </c>
      <c r="K311" t="s">
        <v>31</v>
      </c>
      <c r="L311" t="s">
        <v>30</v>
      </c>
      <c r="M311" t="s">
        <v>31</v>
      </c>
      <c r="N311">
        <v>700</v>
      </c>
      <c r="O311">
        <v>358</v>
      </c>
      <c r="P311">
        <v>300</v>
      </c>
      <c r="Q311">
        <v>1358</v>
      </c>
      <c r="R311" s="15">
        <v>44667</v>
      </c>
      <c r="S311" t="s">
        <v>28</v>
      </c>
      <c r="T311" t="s">
        <v>29</v>
      </c>
      <c r="U311">
        <v>1047862</v>
      </c>
    </row>
    <row r="312" spans="1:21" ht="14.25" customHeight="1" x14ac:dyDescent="0.35">
      <c r="A312" t="s">
        <v>1300</v>
      </c>
      <c r="B312" t="s">
        <v>1301</v>
      </c>
      <c r="C312" t="s">
        <v>23</v>
      </c>
      <c r="D312" t="s">
        <v>24</v>
      </c>
      <c r="E312" t="s">
        <v>415</v>
      </c>
      <c r="F312" t="s">
        <v>1302</v>
      </c>
      <c r="G312" t="s">
        <v>1303</v>
      </c>
      <c r="H312" t="s">
        <v>28</v>
      </c>
      <c r="I312" t="s">
        <v>29</v>
      </c>
      <c r="J312" t="s">
        <v>30</v>
      </c>
      <c r="K312" t="s">
        <v>31</v>
      </c>
      <c r="L312" t="s">
        <v>30</v>
      </c>
      <c r="M312" t="s">
        <v>31</v>
      </c>
      <c r="N312">
        <v>525</v>
      </c>
      <c r="O312">
        <v>361</v>
      </c>
      <c r="P312">
        <v>300</v>
      </c>
      <c r="Q312">
        <v>1186</v>
      </c>
      <c r="R312" s="15">
        <v>44668</v>
      </c>
      <c r="S312" t="s">
        <v>32</v>
      </c>
      <c r="T312" t="s">
        <v>29</v>
      </c>
      <c r="U312">
        <v>47111</v>
      </c>
    </row>
    <row r="313" spans="1:21" ht="14.25" customHeight="1" x14ac:dyDescent="0.35">
      <c r="A313" t="s">
        <v>1304</v>
      </c>
      <c r="B313" t="s">
        <v>1305</v>
      </c>
      <c r="C313" t="s">
        <v>23</v>
      </c>
      <c r="D313" t="s">
        <v>24</v>
      </c>
      <c r="E313" t="s">
        <v>215</v>
      </c>
      <c r="F313" t="s">
        <v>1306</v>
      </c>
      <c r="G313" t="s">
        <v>1307</v>
      </c>
      <c r="H313" t="s">
        <v>28</v>
      </c>
      <c r="I313" t="s">
        <v>29</v>
      </c>
      <c r="J313" t="s">
        <v>30</v>
      </c>
      <c r="K313" t="s">
        <v>31</v>
      </c>
      <c r="L313" t="s">
        <v>30</v>
      </c>
      <c r="M313" t="s">
        <v>31</v>
      </c>
      <c r="N313">
        <v>565</v>
      </c>
      <c r="O313">
        <v>308</v>
      </c>
      <c r="P313">
        <v>300</v>
      </c>
      <c r="Q313">
        <v>1173</v>
      </c>
      <c r="R313" s="15">
        <v>44669</v>
      </c>
      <c r="S313" t="s">
        <v>32</v>
      </c>
      <c r="T313" t="s">
        <v>29</v>
      </c>
      <c r="U313">
        <v>200406</v>
      </c>
    </row>
    <row r="314" spans="1:21" ht="14.25" customHeight="1" x14ac:dyDescent="0.35">
      <c r="A314" t="s">
        <v>1308</v>
      </c>
      <c r="B314" t="s">
        <v>1309</v>
      </c>
      <c r="C314" t="s">
        <v>23</v>
      </c>
      <c r="D314" t="s">
        <v>24</v>
      </c>
      <c r="E314" t="s">
        <v>138</v>
      </c>
      <c r="F314" t="s">
        <v>1310</v>
      </c>
      <c r="G314" t="s">
        <v>1311</v>
      </c>
      <c r="H314" t="s">
        <v>28</v>
      </c>
      <c r="I314" t="s">
        <v>29</v>
      </c>
      <c r="J314" t="s">
        <v>30</v>
      </c>
      <c r="K314" t="s">
        <v>31</v>
      </c>
      <c r="L314" t="s">
        <v>30</v>
      </c>
      <c r="M314" t="s">
        <v>31</v>
      </c>
      <c r="N314">
        <v>505</v>
      </c>
      <c r="O314">
        <v>319</v>
      </c>
      <c r="P314">
        <v>338</v>
      </c>
      <c r="Q314">
        <v>1162</v>
      </c>
      <c r="R314" s="15">
        <v>44669</v>
      </c>
      <c r="S314" t="s">
        <v>32</v>
      </c>
      <c r="T314" t="s">
        <v>29</v>
      </c>
      <c r="U314">
        <v>19617</v>
      </c>
    </row>
    <row r="315" spans="1:21" ht="14.25" customHeight="1" x14ac:dyDescent="0.35">
      <c r="A315" t="s">
        <v>1312</v>
      </c>
      <c r="B315" t="s">
        <v>1313</v>
      </c>
      <c r="C315" t="s">
        <v>23</v>
      </c>
      <c r="D315" t="s">
        <v>24</v>
      </c>
      <c r="E315" t="s">
        <v>742</v>
      </c>
      <c r="F315" t="s">
        <v>1314</v>
      </c>
      <c r="G315" t="s">
        <v>1315</v>
      </c>
      <c r="H315" t="s">
        <v>38</v>
      </c>
      <c r="I315" t="s">
        <v>31</v>
      </c>
      <c r="J315" t="s">
        <v>38</v>
      </c>
      <c r="K315" t="s">
        <v>31</v>
      </c>
      <c r="L315" t="s">
        <v>38</v>
      </c>
      <c r="M315" t="s">
        <v>31</v>
      </c>
      <c r="N315">
        <v>200</v>
      </c>
      <c r="O315">
        <v>201</v>
      </c>
      <c r="P315">
        <v>200</v>
      </c>
      <c r="Q315">
        <v>601</v>
      </c>
      <c r="R315" s="15">
        <v>44667</v>
      </c>
      <c r="S315" t="s">
        <v>38</v>
      </c>
      <c r="T315" t="s">
        <v>31</v>
      </c>
      <c r="U315">
        <v>21344</v>
      </c>
    </row>
    <row r="316" spans="1:21" ht="14.25" customHeight="1" x14ac:dyDescent="0.35">
      <c r="A316" t="s">
        <v>1316</v>
      </c>
      <c r="B316" t="s">
        <v>1317</v>
      </c>
      <c r="C316" t="s">
        <v>23</v>
      </c>
      <c r="D316" t="s">
        <v>24</v>
      </c>
      <c r="E316" t="s">
        <v>596</v>
      </c>
      <c r="F316" t="s">
        <v>1318</v>
      </c>
      <c r="G316" t="s">
        <v>1319</v>
      </c>
      <c r="H316" t="s">
        <v>38</v>
      </c>
      <c r="I316" t="s">
        <v>31</v>
      </c>
      <c r="J316" t="s">
        <v>38</v>
      </c>
      <c r="K316" t="s">
        <v>31</v>
      </c>
      <c r="L316" t="s">
        <v>30</v>
      </c>
      <c r="M316" t="s">
        <v>31</v>
      </c>
      <c r="N316">
        <v>251</v>
      </c>
      <c r="O316">
        <v>237</v>
      </c>
      <c r="P316">
        <v>300</v>
      </c>
      <c r="Q316">
        <v>788</v>
      </c>
      <c r="R316" s="15">
        <v>44667</v>
      </c>
      <c r="S316" t="s">
        <v>30</v>
      </c>
      <c r="T316" t="s">
        <v>31</v>
      </c>
      <c r="U316">
        <v>1170010</v>
      </c>
    </row>
    <row r="317" spans="1:21" ht="14.25" customHeight="1" x14ac:dyDescent="0.35">
      <c r="A317" t="s">
        <v>1320</v>
      </c>
      <c r="B317" t="s">
        <v>1321</v>
      </c>
      <c r="C317" t="s">
        <v>23</v>
      </c>
      <c r="D317" t="s">
        <v>24</v>
      </c>
      <c r="E317" t="s">
        <v>926</v>
      </c>
      <c r="F317" t="s">
        <v>1322</v>
      </c>
      <c r="G317" t="s">
        <v>1323</v>
      </c>
      <c r="H317" t="s">
        <v>28</v>
      </c>
      <c r="I317" t="s">
        <v>29</v>
      </c>
      <c r="J317" t="s">
        <v>30</v>
      </c>
      <c r="K317" t="s">
        <v>31</v>
      </c>
      <c r="L317" t="s">
        <v>30</v>
      </c>
      <c r="M317" t="s">
        <v>31</v>
      </c>
      <c r="N317">
        <v>500</v>
      </c>
      <c r="O317">
        <v>300</v>
      </c>
      <c r="P317">
        <v>300</v>
      </c>
      <c r="Q317">
        <v>1100</v>
      </c>
      <c r="R317" s="15">
        <v>44669</v>
      </c>
      <c r="S317" t="s">
        <v>32</v>
      </c>
      <c r="T317" t="s">
        <v>29</v>
      </c>
      <c r="U317">
        <v>1336920</v>
      </c>
    </row>
    <row r="318" spans="1:21" ht="14.25" customHeight="1" x14ac:dyDescent="0.35">
      <c r="A318" t="s">
        <v>1324</v>
      </c>
      <c r="B318" t="s">
        <v>1325</v>
      </c>
      <c r="C318" t="s">
        <v>23</v>
      </c>
      <c r="D318" t="s">
        <v>24</v>
      </c>
      <c r="E318" t="s">
        <v>46</v>
      </c>
      <c r="F318" t="s">
        <v>1326</v>
      </c>
      <c r="G318" t="s">
        <v>1327</v>
      </c>
      <c r="H318" t="s">
        <v>28</v>
      </c>
      <c r="I318" t="s">
        <v>29</v>
      </c>
      <c r="J318" t="s">
        <v>30</v>
      </c>
      <c r="K318" t="s">
        <v>31</v>
      </c>
      <c r="L318" t="s">
        <v>30</v>
      </c>
      <c r="M318" t="s">
        <v>31</v>
      </c>
      <c r="N318">
        <v>500</v>
      </c>
      <c r="O318">
        <v>300</v>
      </c>
      <c r="P318">
        <v>300</v>
      </c>
      <c r="Q318">
        <v>1100</v>
      </c>
      <c r="R318" s="15">
        <v>44669</v>
      </c>
      <c r="S318" t="s">
        <v>32</v>
      </c>
      <c r="T318" t="s">
        <v>29</v>
      </c>
      <c r="U318">
        <v>58492</v>
      </c>
    </row>
    <row r="319" spans="1:21" ht="14.25" customHeight="1" x14ac:dyDescent="0.35">
      <c r="A319" t="s">
        <v>1328</v>
      </c>
      <c r="B319" t="s">
        <v>1329</v>
      </c>
      <c r="C319" t="s">
        <v>23</v>
      </c>
      <c r="D319" t="s">
        <v>24</v>
      </c>
      <c r="E319" t="s">
        <v>55</v>
      </c>
      <c r="F319" t="s">
        <v>1330</v>
      </c>
      <c r="G319" t="s">
        <v>1331</v>
      </c>
      <c r="H319" t="s">
        <v>28</v>
      </c>
      <c r="I319" t="s">
        <v>29</v>
      </c>
      <c r="J319" t="s">
        <v>30</v>
      </c>
      <c r="K319" t="s">
        <v>31</v>
      </c>
      <c r="L319" t="s">
        <v>30</v>
      </c>
      <c r="M319" t="s">
        <v>31</v>
      </c>
      <c r="N319">
        <v>505</v>
      </c>
      <c r="O319">
        <v>326</v>
      </c>
      <c r="P319">
        <v>305</v>
      </c>
      <c r="Q319">
        <v>1136</v>
      </c>
      <c r="R319" s="15">
        <v>44669</v>
      </c>
      <c r="S319" t="s">
        <v>32</v>
      </c>
      <c r="T319" t="s">
        <v>29</v>
      </c>
      <c r="U319">
        <v>63908</v>
      </c>
    </row>
    <row r="320" spans="1:21" ht="14.25" customHeight="1" x14ac:dyDescent="0.35">
      <c r="A320" t="s">
        <v>1332</v>
      </c>
      <c r="B320" t="s">
        <v>1333</v>
      </c>
      <c r="C320" t="s">
        <v>23</v>
      </c>
      <c r="D320" t="s">
        <v>24</v>
      </c>
      <c r="E320" t="s">
        <v>258</v>
      </c>
      <c r="F320" t="s">
        <v>1334</v>
      </c>
      <c r="G320" t="s">
        <v>1335</v>
      </c>
      <c r="H320" t="s">
        <v>38</v>
      </c>
      <c r="I320" t="s">
        <v>31</v>
      </c>
      <c r="J320" t="s">
        <v>38</v>
      </c>
      <c r="K320" t="s">
        <v>31</v>
      </c>
      <c r="L320" t="s">
        <v>38</v>
      </c>
      <c r="M320" t="s">
        <v>31</v>
      </c>
      <c r="N320">
        <v>210</v>
      </c>
      <c r="O320">
        <v>240</v>
      </c>
      <c r="P320">
        <v>275</v>
      </c>
      <c r="Q320">
        <v>725</v>
      </c>
      <c r="R320" s="15">
        <v>44671</v>
      </c>
      <c r="S320" t="s">
        <v>38</v>
      </c>
      <c r="T320" t="s">
        <v>31</v>
      </c>
      <c r="U320">
        <v>1707925</v>
      </c>
    </row>
    <row r="321" spans="1:21" ht="14.25" customHeight="1" x14ac:dyDescent="0.35">
      <c r="A321" t="s">
        <v>1336</v>
      </c>
      <c r="B321" t="s">
        <v>1337</v>
      </c>
      <c r="C321" t="s">
        <v>23</v>
      </c>
      <c r="D321" t="s">
        <v>24</v>
      </c>
      <c r="E321" t="s">
        <v>917</v>
      </c>
      <c r="F321" t="s">
        <v>1338</v>
      </c>
      <c r="G321" t="s">
        <v>1339</v>
      </c>
      <c r="H321" t="s">
        <v>28</v>
      </c>
      <c r="I321" t="s">
        <v>29</v>
      </c>
      <c r="J321" t="s">
        <v>30</v>
      </c>
      <c r="K321" t="s">
        <v>31</v>
      </c>
      <c r="L321" t="s">
        <v>30</v>
      </c>
      <c r="M321" t="s">
        <v>31</v>
      </c>
      <c r="N321">
        <v>535</v>
      </c>
      <c r="O321">
        <v>327</v>
      </c>
      <c r="P321">
        <v>305</v>
      </c>
      <c r="Q321">
        <v>1167</v>
      </c>
      <c r="R321" s="15">
        <v>44722</v>
      </c>
      <c r="S321" t="s">
        <v>32</v>
      </c>
      <c r="T321" t="s">
        <v>29</v>
      </c>
      <c r="U321">
        <v>18926</v>
      </c>
    </row>
    <row r="322" spans="1:21" ht="14.25" customHeight="1" x14ac:dyDescent="0.35">
      <c r="A322" t="s">
        <v>1340</v>
      </c>
      <c r="B322" t="s">
        <v>1341</v>
      </c>
      <c r="C322" t="s">
        <v>23</v>
      </c>
      <c r="D322" t="s">
        <v>24</v>
      </c>
      <c r="E322" t="s">
        <v>258</v>
      </c>
      <c r="F322" t="s">
        <v>1342</v>
      </c>
      <c r="G322" t="s">
        <v>1343</v>
      </c>
      <c r="H322" t="s">
        <v>28</v>
      </c>
      <c r="I322" t="s">
        <v>29</v>
      </c>
      <c r="J322" t="s">
        <v>30</v>
      </c>
      <c r="K322" t="s">
        <v>31</v>
      </c>
      <c r="L322" t="s">
        <v>30</v>
      </c>
      <c r="M322" t="s">
        <v>31</v>
      </c>
      <c r="N322">
        <v>587</v>
      </c>
      <c r="O322">
        <v>352</v>
      </c>
      <c r="P322">
        <v>330</v>
      </c>
      <c r="Q322">
        <v>1269</v>
      </c>
      <c r="R322" s="15">
        <v>44669</v>
      </c>
      <c r="S322" t="s">
        <v>28</v>
      </c>
      <c r="T322" t="s">
        <v>29</v>
      </c>
      <c r="U322">
        <v>1489393</v>
      </c>
    </row>
    <row r="323" spans="1:21" ht="14.25" customHeight="1" x14ac:dyDescent="0.35">
      <c r="A323" t="s">
        <v>1344</v>
      </c>
      <c r="B323" t="s">
        <v>1345</v>
      </c>
      <c r="C323" t="s">
        <v>23</v>
      </c>
      <c r="D323" t="s">
        <v>24</v>
      </c>
      <c r="E323" t="s">
        <v>224</v>
      </c>
      <c r="F323" t="s">
        <v>1346</v>
      </c>
      <c r="G323" t="s">
        <v>1347</v>
      </c>
      <c r="H323" t="s">
        <v>28</v>
      </c>
      <c r="I323" t="s">
        <v>29</v>
      </c>
      <c r="J323" t="s">
        <v>30</v>
      </c>
      <c r="K323" t="s">
        <v>31</v>
      </c>
      <c r="L323" t="s">
        <v>38</v>
      </c>
      <c r="M323" t="s">
        <v>31</v>
      </c>
      <c r="N323">
        <v>515</v>
      </c>
      <c r="O323">
        <v>308</v>
      </c>
      <c r="P323">
        <v>235</v>
      </c>
      <c r="Q323">
        <v>1058</v>
      </c>
      <c r="R323" s="15">
        <v>44669</v>
      </c>
      <c r="S323" t="s">
        <v>32</v>
      </c>
      <c r="T323" t="s">
        <v>29</v>
      </c>
      <c r="U323">
        <v>1059556</v>
      </c>
    </row>
    <row r="324" spans="1:21" ht="14.25" customHeight="1" x14ac:dyDescent="0.35">
      <c r="A324" t="s">
        <v>1348</v>
      </c>
      <c r="B324" t="s">
        <v>1349</v>
      </c>
      <c r="C324" t="s">
        <v>23</v>
      </c>
      <c r="D324" t="s">
        <v>24</v>
      </c>
      <c r="E324" t="s">
        <v>124</v>
      </c>
      <c r="F324" t="s">
        <v>1350</v>
      </c>
      <c r="G324" t="s">
        <v>1351</v>
      </c>
      <c r="H324" t="s">
        <v>28</v>
      </c>
      <c r="I324" t="s">
        <v>29</v>
      </c>
      <c r="J324" t="s">
        <v>30</v>
      </c>
      <c r="K324" t="s">
        <v>31</v>
      </c>
      <c r="L324" t="s">
        <v>30</v>
      </c>
      <c r="M324" t="s">
        <v>31</v>
      </c>
      <c r="N324">
        <v>500</v>
      </c>
      <c r="O324">
        <v>303</v>
      </c>
      <c r="P324">
        <v>310</v>
      </c>
      <c r="Q324">
        <v>1113</v>
      </c>
      <c r="R324" s="15">
        <v>44669</v>
      </c>
      <c r="S324" t="s">
        <v>32</v>
      </c>
      <c r="T324" t="s">
        <v>29</v>
      </c>
      <c r="U324">
        <v>927653</v>
      </c>
    </row>
    <row r="325" spans="1:21" ht="14.25" customHeight="1" x14ac:dyDescent="0.35">
      <c r="A325" t="s">
        <v>1352</v>
      </c>
      <c r="B325" t="s">
        <v>1353</v>
      </c>
      <c r="C325" t="s">
        <v>23</v>
      </c>
      <c r="D325" t="s">
        <v>24</v>
      </c>
      <c r="E325" t="s">
        <v>86</v>
      </c>
      <c r="F325" t="s">
        <v>1354</v>
      </c>
      <c r="G325" t="s">
        <v>1355</v>
      </c>
      <c r="H325" t="s">
        <v>28</v>
      </c>
      <c r="I325" t="s">
        <v>29</v>
      </c>
      <c r="J325" t="s">
        <v>30</v>
      </c>
      <c r="K325" t="s">
        <v>31</v>
      </c>
      <c r="L325" t="s">
        <v>30</v>
      </c>
      <c r="M325" t="s">
        <v>31</v>
      </c>
      <c r="N325">
        <v>522</v>
      </c>
      <c r="O325">
        <v>323</v>
      </c>
      <c r="P325">
        <v>305</v>
      </c>
      <c r="Q325">
        <v>1150</v>
      </c>
      <c r="R325" s="15">
        <v>44669</v>
      </c>
      <c r="S325" t="s">
        <v>32</v>
      </c>
      <c r="T325" t="s">
        <v>29</v>
      </c>
      <c r="U325">
        <v>62996</v>
      </c>
    </row>
    <row r="326" spans="1:21" ht="14.25" customHeight="1" x14ac:dyDescent="0.35">
      <c r="A326" t="s">
        <v>1356</v>
      </c>
      <c r="B326" t="s">
        <v>1357</v>
      </c>
      <c r="C326" t="s">
        <v>23</v>
      </c>
      <c r="D326" t="s">
        <v>24</v>
      </c>
      <c r="E326" t="s">
        <v>596</v>
      </c>
      <c r="F326" t="s">
        <v>1358</v>
      </c>
      <c r="G326" t="s">
        <v>1359</v>
      </c>
      <c r="H326" t="s">
        <v>38</v>
      </c>
      <c r="I326" t="s">
        <v>31</v>
      </c>
      <c r="J326" t="s">
        <v>38</v>
      </c>
      <c r="K326" t="s">
        <v>31</v>
      </c>
      <c r="L326" t="s">
        <v>38</v>
      </c>
      <c r="M326" t="s">
        <v>31</v>
      </c>
      <c r="N326">
        <v>218</v>
      </c>
      <c r="O326">
        <v>200</v>
      </c>
      <c r="P326">
        <v>200</v>
      </c>
      <c r="Q326">
        <v>618</v>
      </c>
      <c r="R326" s="15">
        <v>44669</v>
      </c>
      <c r="S326" t="s">
        <v>38</v>
      </c>
      <c r="T326" t="s">
        <v>31</v>
      </c>
      <c r="U326">
        <v>60667</v>
      </c>
    </row>
    <row r="327" spans="1:21" ht="14.25" customHeight="1" x14ac:dyDescent="0.35">
      <c r="A327" t="s">
        <v>1360</v>
      </c>
      <c r="B327" t="s">
        <v>1361</v>
      </c>
      <c r="C327" t="s">
        <v>23</v>
      </c>
      <c r="D327" t="s">
        <v>24</v>
      </c>
      <c r="E327" t="s">
        <v>124</v>
      </c>
      <c r="F327" t="s">
        <v>1362</v>
      </c>
      <c r="G327" t="s">
        <v>1363</v>
      </c>
      <c r="H327" t="s">
        <v>28</v>
      </c>
      <c r="I327" t="s">
        <v>29</v>
      </c>
      <c r="J327" t="s">
        <v>30</v>
      </c>
      <c r="K327" t="s">
        <v>31</v>
      </c>
      <c r="L327" t="s">
        <v>30</v>
      </c>
      <c r="M327" t="s">
        <v>31</v>
      </c>
      <c r="N327">
        <v>515</v>
      </c>
      <c r="O327">
        <v>308</v>
      </c>
      <c r="P327">
        <v>315</v>
      </c>
      <c r="Q327">
        <v>1138</v>
      </c>
      <c r="R327" s="15">
        <v>44669</v>
      </c>
      <c r="S327" t="s">
        <v>32</v>
      </c>
      <c r="T327" t="s">
        <v>29</v>
      </c>
      <c r="U327">
        <v>1613103</v>
      </c>
    </row>
    <row r="328" spans="1:21" ht="14.25" customHeight="1" x14ac:dyDescent="0.35">
      <c r="A328" t="s">
        <v>1364</v>
      </c>
      <c r="B328" t="s">
        <v>1365</v>
      </c>
      <c r="C328" t="s">
        <v>23</v>
      </c>
      <c r="D328" t="s">
        <v>24</v>
      </c>
      <c r="E328" t="s">
        <v>415</v>
      </c>
      <c r="F328" t="s">
        <v>1366</v>
      </c>
      <c r="G328" t="s">
        <v>1367</v>
      </c>
      <c r="H328" t="s">
        <v>28</v>
      </c>
      <c r="I328" t="s">
        <v>29</v>
      </c>
      <c r="J328" t="s">
        <v>30</v>
      </c>
      <c r="K328" t="s">
        <v>31</v>
      </c>
      <c r="L328" t="s">
        <v>30</v>
      </c>
      <c r="M328" t="s">
        <v>31</v>
      </c>
      <c r="N328">
        <v>500</v>
      </c>
      <c r="O328">
        <v>300</v>
      </c>
      <c r="P328">
        <v>300</v>
      </c>
      <c r="Q328">
        <v>1100</v>
      </c>
      <c r="R328" s="15">
        <v>44669</v>
      </c>
      <c r="S328" t="s">
        <v>32</v>
      </c>
      <c r="T328" t="s">
        <v>29</v>
      </c>
      <c r="U328">
        <v>63754</v>
      </c>
    </row>
    <row r="329" spans="1:21" ht="14.25" customHeight="1" x14ac:dyDescent="0.35">
      <c r="A329" t="s">
        <v>1368</v>
      </c>
      <c r="B329" t="s">
        <v>1369</v>
      </c>
      <c r="C329" t="s">
        <v>23</v>
      </c>
      <c r="D329" t="s">
        <v>24</v>
      </c>
      <c r="E329" t="s">
        <v>76</v>
      </c>
      <c r="F329" t="s">
        <v>1370</v>
      </c>
      <c r="G329" t="s">
        <v>1371</v>
      </c>
      <c r="H329" t="s">
        <v>28</v>
      </c>
      <c r="I329" t="s">
        <v>29</v>
      </c>
      <c r="J329" t="s">
        <v>30</v>
      </c>
      <c r="K329" t="s">
        <v>31</v>
      </c>
      <c r="L329" t="s">
        <v>30</v>
      </c>
      <c r="M329" t="s">
        <v>31</v>
      </c>
      <c r="N329">
        <v>517</v>
      </c>
      <c r="O329">
        <v>305</v>
      </c>
      <c r="P329">
        <v>305</v>
      </c>
      <c r="Q329">
        <v>1127</v>
      </c>
      <c r="R329" s="15">
        <v>44669</v>
      </c>
      <c r="S329" t="s">
        <v>32</v>
      </c>
      <c r="T329" t="s">
        <v>29</v>
      </c>
      <c r="U329">
        <v>1099219</v>
      </c>
    </row>
    <row r="330" spans="1:21" ht="14.25" customHeight="1" x14ac:dyDescent="0.35">
      <c r="A330" t="s">
        <v>1372</v>
      </c>
      <c r="B330" t="s">
        <v>1373</v>
      </c>
      <c r="C330" t="s">
        <v>23</v>
      </c>
      <c r="D330" t="s">
        <v>24</v>
      </c>
      <c r="E330" t="s">
        <v>55</v>
      </c>
      <c r="F330" t="s">
        <v>1374</v>
      </c>
      <c r="G330" t="s">
        <v>1375</v>
      </c>
      <c r="H330" t="s">
        <v>28</v>
      </c>
      <c r="I330" t="s">
        <v>29</v>
      </c>
      <c r="J330" t="s">
        <v>30</v>
      </c>
      <c r="K330" t="s">
        <v>31</v>
      </c>
      <c r="L330" t="s">
        <v>38</v>
      </c>
      <c r="M330" t="s">
        <v>31</v>
      </c>
      <c r="N330">
        <v>500</v>
      </c>
      <c r="O330">
        <v>300</v>
      </c>
      <c r="P330">
        <v>200</v>
      </c>
      <c r="Q330">
        <v>1000</v>
      </c>
      <c r="R330" s="15">
        <v>44821</v>
      </c>
      <c r="S330" t="s">
        <v>32</v>
      </c>
      <c r="T330" t="s">
        <v>29</v>
      </c>
      <c r="U330">
        <v>789570</v>
      </c>
    </row>
    <row r="331" spans="1:21" ht="14.25" customHeight="1" x14ac:dyDescent="0.35">
      <c r="A331" t="s">
        <v>1376</v>
      </c>
      <c r="B331" t="s">
        <v>1377</v>
      </c>
      <c r="C331" t="s">
        <v>23</v>
      </c>
      <c r="D331" t="s">
        <v>24</v>
      </c>
      <c r="E331" t="s">
        <v>76</v>
      </c>
      <c r="F331" t="s">
        <v>1378</v>
      </c>
      <c r="G331" t="s">
        <v>1379</v>
      </c>
      <c r="H331" t="s">
        <v>28</v>
      </c>
      <c r="I331" t="s">
        <v>29</v>
      </c>
      <c r="J331" t="s">
        <v>30</v>
      </c>
      <c r="K331" t="s">
        <v>31</v>
      </c>
      <c r="L331" t="s">
        <v>30</v>
      </c>
      <c r="M331" t="s">
        <v>31</v>
      </c>
      <c r="N331">
        <v>500</v>
      </c>
      <c r="O331">
        <v>300</v>
      </c>
      <c r="P331">
        <v>300</v>
      </c>
      <c r="Q331">
        <v>1100</v>
      </c>
      <c r="R331" s="15">
        <v>44669</v>
      </c>
      <c r="S331" t="s">
        <v>32</v>
      </c>
      <c r="T331" t="s">
        <v>29</v>
      </c>
      <c r="U331">
        <v>62709</v>
      </c>
    </row>
    <row r="332" spans="1:21" ht="14.25" customHeight="1" x14ac:dyDescent="0.35">
      <c r="A332" t="s">
        <v>1380</v>
      </c>
      <c r="B332" t="s">
        <v>1381</v>
      </c>
      <c r="C332" t="s">
        <v>23</v>
      </c>
      <c r="D332" t="s">
        <v>24</v>
      </c>
      <c r="E332" t="s">
        <v>1382</v>
      </c>
      <c r="F332" t="s">
        <v>1383</v>
      </c>
      <c r="G332" t="s">
        <v>1384</v>
      </c>
      <c r="H332" t="s">
        <v>28</v>
      </c>
      <c r="I332" t="s">
        <v>29</v>
      </c>
      <c r="J332" t="s">
        <v>30</v>
      </c>
      <c r="K332" t="s">
        <v>31</v>
      </c>
      <c r="L332" t="s">
        <v>30</v>
      </c>
      <c r="M332" t="s">
        <v>31</v>
      </c>
      <c r="N332">
        <v>500</v>
      </c>
      <c r="O332">
        <v>327</v>
      </c>
      <c r="P332">
        <v>341</v>
      </c>
      <c r="Q332">
        <v>1168</v>
      </c>
      <c r="R332" s="15">
        <v>44667</v>
      </c>
      <c r="S332" t="s">
        <v>32</v>
      </c>
      <c r="T332" t="s">
        <v>29</v>
      </c>
      <c r="U332">
        <v>764180</v>
      </c>
    </row>
    <row r="333" spans="1:21" ht="14.25" customHeight="1" x14ac:dyDescent="0.35">
      <c r="A333" t="s">
        <v>1385</v>
      </c>
      <c r="B333" t="s">
        <v>1386</v>
      </c>
      <c r="C333" t="s">
        <v>23</v>
      </c>
      <c r="D333" t="s">
        <v>24</v>
      </c>
      <c r="E333" t="s">
        <v>1087</v>
      </c>
      <c r="F333" t="s">
        <v>1387</v>
      </c>
      <c r="G333" t="s">
        <v>1388</v>
      </c>
      <c r="H333" t="s">
        <v>38</v>
      </c>
      <c r="I333" t="s">
        <v>31</v>
      </c>
      <c r="J333" t="s">
        <v>38</v>
      </c>
      <c r="K333" t="s">
        <v>31</v>
      </c>
      <c r="L333" t="s">
        <v>38</v>
      </c>
      <c r="M333" t="s">
        <v>31</v>
      </c>
      <c r="N333">
        <v>260</v>
      </c>
      <c r="O333">
        <v>206</v>
      </c>
      <c r="P333">
        <v>230</v>
      </c>
      <c r="Q333">
        <v>696</v>
      </c>
      <c r="R333" s="15">
        <v>44667</v>
      </c>
      <c r="S333" t="s">
        <v>38</v>
      </c>
      <c r="T333" t="s">
        <v>31</v>
      </c>
      <c r="U333">
        <v>908255</v>
      </c>
    </row>
    <row r="334" spans="1:21" ht="14.25" customHeight="1" x14ac:dyDescent="0.35">
      <c r="A334" t="s">
        <v>1389</v>
      </c>
      <c r="B334" t="s">
        <v>1390</v>
      </c>
      <c r="C334" t="s">
        <v>23</v>
      </c>
      <c r="D334" t="s">
        <v>24</v>
      </c>
      <c r="E334" t="s">
        <v>215</v>
      </c>
      <c r="F334" t="s">
        <v>1391</v>
      </c>
      <c r="G334" t="s">
        <v>1392</v>
      </c>
      <c r="H334" t="s">
        <v>28</v>
      </c>
      <c r="I334" t="s">
        <v>29</v>
      </c>
      <c r="J334" t="s">
        <v>30</v>
      </c>
      <c r="K334" t="s">
        <v>31</v>
      </c>
      <c r="L334" t="s">
        <v>30</v>
      </c>
      <c r="M334" t="s">
        <v>31</v>
      </c>
      <c r="N334">
        <v>500</v>
      </c>
      <c r="O334">
        <v>305</v>
      </c>
      <c r="P334">
        <v>315</v>
      </c>
      <c r="Q334">
        <v>1120</v>
      </c>
      <c r="R334" s="15">
        <v>44669</v>
      </c>
      <c r="S334" t="s">
        <v>32</v>
      </c>
      <c r="T334" t="s">
        <v>29</v>
      </c>
      <c r="U334">
        <v>310158</v>
      </c>
    </row>
    <row r="335" spans="1:21" ht="14.25" customHeight="1" x14ac:dyDescent="0.35">
      <c r="A335" t="s">
        <v>1393</v>
      </c>
      <c r="B335" t="s">
        <v>1394</v>
      </c>
      <c r="C335" t="s">
        <v>23</v>
      </c>
      <c r="D335" t="s">
        <v>24</v>
      </c>
      <c r="E335" t="s">
        <v>607</v>
      </c>
      <c r="F335" t="s">
        <v>1395</v>
      </c>
      <c r="G335" t="s">
        <v>1396</v>
      </c>
      <c r="H335" t="s">
        <v>28</v>
      </c>
      <c r="I335" t="s">
        <v>29</v>
      </c>
      <c r="J335" t="s">
        <v>30</v>
      </c>
      <c r="K335" t="s">
        <v>31</v>
      </c>
      <c r="L335" t="s">
        <v>30</v>
      </c>
      <c r="M335" t="s">
        <v>31</v>
      </c>
      <c r="N335">
        <v>530</v>
      </c>
      <c r="O335">
        <v>313</v>
      </c>
      <c r="P335">
        <v>305</v>
      </c>
      <c r="Q335">
        <v>1148</v>
      </c>
      <c r="R335" s="15">
        <v>44672</v>
      </c>
      <c r="S335" t="s">
        <v>32</v>
      </c>
      <c r="T335" t="s">
        <v>29</v>
      </c>
      <c r="U335">
        <v>101778</v>
      </c>
    </row>
    <row r="336" spans="1:21" ht="14.25" customHeight="1" x14ac:dyDescent="0.35">
      <c r="A336" t="s">
        <v>1397</v>
      </c>
      <c r="B336" t="s">
        <v>1398</v>
      </c>
      <c r="C336" t="s">
        <v>23</v>
      </c>
      <c r="D336" t="s">
        <v>24</v>
      </c>
      <c r="E336" t="s">
        <v>607</v>
      </c>
      <c r="F336" t="s">
        <v>1399</v>
      </c>
      <c r="G336" t="s">
        <v>1400</v>
      </c>
      <c r="H336" t="s">
        <v>599</v>
      </c>
      <c r="I336" t="s">
        <v>600</v>
      </c>
      <c r="J336" t="s">
        <v>30</v>
      </c>
      <c r="K336" t="s">
        <v>31</v>
      </c>
      <c r="L336" t="s">
        <v>30</v>
      </c>
      <c r="M336" t="s">
        <v>31</v>
      </c>
      <c r="N336">
        <v>700</v>
      </c>
      <c r="O336">
        <v>366</v>
      </c>
      <c r="P336">
        <v>315</v>
      </c>
      <c r="Q336">
        <v>1381</v>
      </c>
      <c r="R336" s="15">
        <v>44669</v>
      </c>
      <c r="S336" t="s">
        <v>28</v>
      </c>
      <c r="T336" t="s">
        <v>29</v>
      </c>
      <c r="U336">
        <v>1510295</v>
      </c>
    </row>
    <row r="337" spans="1:21" ht="14.25" customHeight="1" x14ac:dyDescent="0.35">
      <c r="A337" t="s">
        <v>1401</v>
      </c>
      <c r="B337" t="s">
        <v>1402</v>
      </c>
      <c r="C337" t="s">
        <v>23</v>
      </c>
      <c r="D337" t="s">
        <v>24</v>
      </c>
      <c r="E337" t="s">
        <v>224</v>
      </c>
      <c r="F337" t="s">
        <v>1403</v>
      </c>
      <c r="G337" t="s">
        <v>1404</v>
      </c>
      <c r="H337" t="s">
        <v>28</v>
      </c>
      <c r="I337" t="s">
        <v>29</v>
      </c>
      <c r="J337" t="s">
        <v>30</v>
      </c>
      <c r="K337" t="s">
        <v>31</v>
      </c>
      <c r="L337" t="s">
        <v>30</v>
      </c>
      <c r="M337" t="s">
        <v>31</v>
      </c>
      <c r="N337">
        <v>555</v>
      </c>
      <c r="O337">
        <v>303</v>
      </c>
      <c r="P337">
        <v>320</v>
      </c>
      <c r="Q337">
        <v>1178</v>
      </c>
      <c r="R337" s="15">
        <v>44669</v>
      </c>
      <c r="S337" t="s">
        <v>32</v>
      </c>
      <c r="T337" t="s">
        <v>29</v>
      </c>
      <c r="U337">
        <v>895421</v>
      </c>
    </row>
    <row r="338" spans="1:21" ht="14.25" customHeight="1" x14ac:dyDescent="0.35">
      <c r="A338" t="s">
        <v>1405</v>
      </c>
      <c r="B338" t="s">
        <v>1406</v>
      </c>
      <c r="C338" t="s">
        <v>23</v>
      </c>
      <c r="D338" t="s">
        <v>24</v>
      </c>
      <c r="E338" t="s">
        <v>138</v>
      </c>
      <c r="F338" t="s">
        <v>1407</v>
      </c>
      <c r="G338" t="s">
        <v>1408</v>
      </c>
      <c r="H338" t="s">
        <v>28</v>
      </c>
      <c r="I338" t="s">
        <v>29</v>
      </c>
      <c r="J338" t="s">
        <v>30</v>
      </c>
      <c r="K338" t="s">
        <v>31</v>
      </c>
      <c r="L338" t="s">
        <v>38</v>
      </c>
      <c r="M338" t="s">
        <v>31</v>
      </c>
      <c r="N338">
        <v>500</v>
      </c>
      <c r="O338">
        <v>303</v>
      </c>
      <c r="P338">
        <v>260</v>
      </c>
      <c r="Q338">
        <v>1063</v>
      </c>
      <c r="R338" s="15">
        <v>44669</v>
      </c>
      <c r="S338" t="s">
        <v>32</v>
      </c>
      <c r="T338" t="s">
        <v>29</v>
      </c>
      <c r="U338">
        <v>36270</v>
      </c>
    </row>
    <row r="339" spans="1:21" ht="14.25" customHeight="1" x14ac:dyDescent="0.35">
      <c r="A339" t="s">
        <v>1409</v>
      </c>
      <c r="B339" t="s">
        <v>1410</v>
      </c>
      <c r="C339" t="s">
        <v>23</v>
      </c>
      <c r="D339" t="s">
        <v>24</v>
      </c>
      <c r="E339" t="s">
        <v>133</v>
      </c>
      <c r="F339" t="s">
        <v>1411</v>
      </c>
      <c r="G339" t="s">
        <v>1412</v>
      </c>
      <c r="H339" t="s">
        <v>28</v>
      </c>
      <c r="I339" t="s">
        <v>29</v>
      </c>
      <c r="J339" t="s">
        <v>30</v>
      </c>
      <c r="K339" t="s">
        <v>31</v>
      </c>
      <c r="L339" t="s">
        <v>38</v>
      </c>
      <c r="M339" t="s">
        <v>31</v>
      </c>
      <c r="N339">
        <v>505</v>
      </c>
      <c r="O339">
        <v>300</v>
      </c>
      <c r="P339">
        <v>240</v>
      </c>
      <c r="Q339">
        <v>1045</v>
      </c>
      <c r="R339" s="15">
        <v>44669</v>
      </c>
      <c r="S339" t="s">
        <v>32</v>
      </c>
      <c r="T339" t="s">
        <v>29</v>
      </c>
      <c r="U339">
        <v>1037646</v>
      </c>
    </row>
    <row r="340" spans="1:21" ht="14.25" customHeight="1" x14ac:dyDescent="0.35">
      <c r="A340" t="s">
        <v>1413</v>
      </c>
      <c r="B340" t="s">
        <v>1414</v>
      </c>
      <c r="C340" t="s">
        <v>23</v>
      </c>
      <c r="D340" t="s">
        <v>24</v>
      </c>
      <c r="E340" t="s">
        <v>81</v>
      </c>
      <c r="F340" t="s">
        <v>1415</v>
      </c>
      <c r="G340" t="s">
        <v>1416</v>
      </c>
      <c r="H340" t="s">
        <v>28</v>
      </c>
      <c r="I340" t="s">
        <v>29</v>
      </c>
      <c r="J340" t="s">
        <v>30</v>
      </c>
      <c r="K340" t="s">
        <v>31</v>
      </c>
      <c r="L340" t="s">
        <v>30</v>
      </c>
      <c r="M340" t="s">
        <v>31</v>
      </c>
      <c r="N340">
        <v>505</v>
      </c>
      <c r="O340">
        <v>305</v>
      </c>
      <c r="P340">
        <v>347</v>
      </c>
      <c r="Q340">
        <v>1157</v>
      </c>
      <c r="R340" s="15">
        <v>44669</v>
      </c>
      <c r="S340" t="s">
        <v>32</v>
      </c>
      <c r="T340" t="s">
        <v>29</v>
      </c>
      <c r="U340">
        <v>68505</v>
      </c>
    </row>
    <row r="341" spans="1:21" ht="14.25" customHeight="1" x14ac:dyDescent="0.35">
      <c r="A341" t="s">
        <v>1417</v>
      </c>
      <c r="B341" t="s">
        <v>1418</v>
      </c>
      <c r="C341" t="s">
        <v>23</v>
      </c>
      <c r="D341" t="s">
        <v>24</v>
      </c>
      <c r="E341" t="s">
        <v>330</v>
      </c>
      <c r="F341" t="s">
        <v>1419</v>
      </c>
      <c r="G341" t="s">
        <v>1420</v>
      </c>
      <c r="H341" t="s">
        <v>599</v>
      </c>
      <c r="I341" t="s">
        <v>600</v>
      </c>
      <c r="J341" t="s">
        <v>30</v>
      </c>
      <c r="K341" t="s">
        <v>31</v>
      </c>
      <c r="L341" t="s">
        <v>30</v>
      </c>
      <c r="M341" t="s">
        <v>31</v>
      </c>
      <c r="N341">
        <v>668</v>
      </c>
      <c r="O341">
        <v>306</v>
      </c>
      <c r="P341">
        <v>313</v>
      </c>
      <c r="Q341">
        <v>1287</v>
      </c>
      <c r="R341" s="15">
        <v>44669</v>
      </c>
      <c r="S341" t="s">
        <v>28</v>
      </c>
      <c r="T341" t="s">
        <v>29</v>
      </c>
      <c r="U341">
        <v>753308</v>
      </c>
    </row>
    <row r="342" spans="1:21" ht="14.25" customHeight="1" x14ac:dyDescent="0.35">
      <c r="A342" t="s">
        <v>1421</v>
      </c>
      <c r="B342" t="s">
        <v>1422</v>
      </c>
      <c r="C342" t="s">
        <v>23</v>
      </c>
      <c r="D342" t="s">
        <v>24</v>
      </c>
      <c r="E342" t="s">
        <v>224</v>
      </c>
      <c r="F342" t="s">
        <v>1423</v>
      </c>
      <c r="G342" t="s">
        <v>1424</v>
      </c>
      <c r="H342" t="s">
        <v>28</v>
      </c>
      <c r="I342" t="s">
        <v>29</v>
      </c>
      <c r="J342" t="s">
        <v>30</v>
      </c>
      <c r="K342" t="s">
        <v>31</v>
      </c>
      <c r="L342" t="s">
        <v>30</v>
      </c>
      <c r="M342" t="s">
        <v>31</v>
      </c>
      <c r="N342">
        <v>580</v>
      </c>
      <c r="O342">
        <v>347</v>
      </c>
      <c r="P342">
        <v>335</v>
      </c>
      <c r="Q342">
        <v>1262</v>
      </c>
      <c r="R342" s="15">
        <v>44669</v>
      </c>
      <c r="S342" t="s">
        <v>28</v>
      </c>
      <c r="T342" t="s">
        <v>29</v>
      </c>
      <c r="U342">
        <v>1408198</v>
      </c>
    </row>
    <row r="343" spans="1:21" ht="14.25" customHeight="1" x14ac:dyDescent="0.35">
      <c r="A343" t="s">
        <v>1425</v>
      </c>
      <c r="B343" t="s">
        <v>1426</v>
      </c>
      <c r="C343" t="s">
        <v>23</v>
      </c>
      <c r="D343" t="s">
        <v>24</v>
      </c>
      <c r="E343" t="s">
        <v>55</v>
      </c>
      <c r="F343" t="s">
        <v>1427</v>
      </c>
      <c r="G343" t="s">
        <v>1428</v>
      </c>
      <c r="H343" t="s">
        <v>32</v>
      </c>
      <c r="I343" t="s">
        <v>29</v>
      </c>
      <c r="J343" t="s">
        <v>30</v>
      </c>
      <c r="K343" t="s">
        <v>31</v>
      </c>
      <c r="L343" t="s">
        <v>30</v>
      </c>
      <c r="M343" t="s">
        <v>31</v>
      </c>
      <c r="N343">
        <v>495</v>
      </c>
      <c r="O343">
        <v>306</v>
      </c>
      <c r="P343">
        <v>300</v>
      </c>
      <c r="Q343">
        <v>1101</v>
      </c>
      <c r="R343" s="15">
        <v>44669</v>
      </c>
      <c r="S343" t="s">
        <v>32</v>
      </c>
      <c r="T343" t="s">
        <v>29</v>
      </c>
      <c r="U343">
        <v>1513761</v>
      </c>
    </row>
    <row r="344" spans="1:21" ht="14.25" customHeight="1" x14ac:dyDescent="0.35">
      <c r="A344" t="s">
        <v>1429</v>
      </c>
      <c r="B344" t="s">
        <v>1430</v>
      </c>
      <c r="C344" t="s">
        <v>23</v>
      </c>
      <c r="D344" t="s">
        <v>24</v>
      </c>
      <c r="E344" t="s">
        <v>330</v>
      </c>
      <c r="F344" t="s">
        <v>1431</v>
      </c>
      <c r="G344" t="s">
        <v>1432</v>
      </c>
      <c r="H344" t="s">
        <v>30</v>
      </c>
      <c r="I344" t="s">
        <v>31</v>
      </c>
      <c r="J344" t="s">
        <v>30</v>
      </c>
      <c r="K344" t="s">
        <v>31</v>
      </c>
      <c r="L344" t="s">
        <v>38</v>
      </c>
      <c r="M344" t="s">
        <v>31</v>
      </c>
      <c r="N344">
        <v>361</v>
      </c>
      <c r="O344">
        <v>322</v>
      </c>
      <c r="P344">
        <v>223</v>
      </c>
      <c r="Q344">
        <v>906</v>
      </c>
      <c r="R344" s="15">
        <v>44669</v>
      </c>
      <c r="S344" t="s">
        <v>32</v>
      </c>
      <c r="T344" t="s">
        <v>29</v>
      </c>
      <c r="U344">
        <v>1111711</v>
      </c>
    </row>
    <row r="345" spans="1:21" ht="14.25" customHeight="1" x14ac:dyDescent="0.35">
      <c r="A345" t="s">
        <v>1433</v>
      </c>
      <c r="B345" t="s">
        <v>1434</v>
      </c>
      <c r="C345" t="s">
        <v>23</v>
      </c>
      <c r="D345" t="s">
        <v>24</v>
      </c>
      <c r="E345" t="s">
        <v>1101</v>
      </c>
      <c r="F345" t="s">
        <v>1435</v>
      </c>
      <c r="G345" t="s">
        <v>1436</v>
      </c>
      <c r="H345" t="s">
        <v>28</v>
      </c>
      <c r="I345" t="s">
        <v>29</v>
      </c>
      <c r="J345" t="s">
        <v>30</v>
      </c>
      <c r="K345" t="s">
        <v>31</v>
      </c>
      <c r="L345" t="s">
        <v>30</v>
      </c>
      <c r="M345" t="s">
        <v>31</v>
      </c>
      <c r="N345">
        <v>505</v>
      </c>
      <c r="O345">
        <v>302</v>
      </c>
      <c r="P345">
        <v>300</v>
      </c>
      <c r="Q345">
        <v>1107</v>
      </c>
      <c r="R345" s="15">
        <v>44669</v>
      </c>
      <c r="S345" t="s">
        <v>32</v>
      </c>
      <c r="T345" t="s">
        <v>29</v>
      </c>
      <c r="U345">
        <v>1133421</v>
      </c>
    </row>
    <row r="346" spans="1:21" ht="14.25" customHeight="1" x14ac:dyDescent="0.35">
      <c r="A346" t="s">
        <v>1437</v>
      </c>
      <c r="B346" t="s">
        <v>1438</v>
      </c>
      <c r="C346" t="s">
        <v>23</v>
      </c>
      <c r="D346" t="s">
        <v>24</v>
      </c>
      <c r="E346" t="s">
        <v>91</v>
      </c>
      <c r="F346" t="s">
        <v>1439</v>
      </c>
      <c r="G346" t="s">
        <v>1440</v>
      </c>
      <c r="H346" t="s">
        <v>28</v>
      </c>
      <c r="I346" t="s">
        <v>29</v>
      </c>
      <c r="J346" t="s">
        <v>30</v>
      </c>
      <c r="K346" t="s">
        <v>31</v>
      </c>
      <c r="L346" t="s">
        <v>30</v>
      </c>
      <c r="M346" t="s">
        <v>31</v>
      </c>
      <c r="N346">
        <v>550</v>
      </c>
      <c r="O346">
        <v>374</v>
      </c>
      <c r="P346">
        <v>350</v>
      </c>
      <c r="Q346">
        <v>1274</v>
      </c>
      <c r="R346" s="15">
        <v>44670</v>
      </c>
      <c r="S346" t="s">
        <v>28</v>
      </c>
      <c r="T346" t="s">
        <v>29</v>
      </c>
      <c r="U346">
        <v>1373715</v>
      </c>
    </row>
    <row r="347" spans="1:21" ht="14.25" customHeight="1" x14ac:dyDescent="0.35">
      <c r="A347" t="s">
        <v>1441</v>
      </c>
      <c r="B347" t="s">
        <v>1442</v>
      </c>
      <c r="C347" t="s">
        <v>23</v>
      </c>
      <c r="D347" t="s">
        <v>24</v>
      </c>
      <c r="E347" t="s">
        <v>1443</v>
      </c>
      <c r="F347" t="s">
        <v>1444</v>
      </c>
      <c r="G347" t="s">
        <v>1445</v>
      </c>
      <c r="H347" t="s">
        <v>30</v>
      </c>
      <c r="I347" t="s">
        <v>31</v>
      </c>
      <c r="J347" t="s">
        <v>30</v>
      </c>
      <c r="K347" t="s">
        <v>31</v>
      </c>
      <c r="L347" t="s">
        <v>38</v>
      </c>
      <c r="M347" t="s">
        <v>31</v>
      </c>
      <c r="N347">
        <v>374</v>
      </c>
      <c r="O347">
        <v>340</v>
      </c>
      <c r="P347">
        <v>225</v>
      </c>
      <c r="Q347">
        <v>939</v>
      </c>
      <c r="R347" s="15">
        <v>44669</v>
      </c>
      <c r="S347" t="s">
        <v>32</v>
      </c>
      <c r="T347" t="s">
        <v>29</v>
      </c>
      <c r="U347">
        <v>73309</v>
      </c>
    </row>
    <row r="348" spans="1:21" ht="14.25" customHeight="1" x14ac:dyDescent="0.35">
      <c r="A348" t="s">
        <v>1446</v>
      </c>
      <c r="B348" t="s">
        <v>1447</v>
      </c>
      <c r="C348" t="s">
        <v>23</v>
      </c>
      <c r="D348" t="s">
        <v>24</v>
      </c>
      <c r="E348" t="s">
        <v>926</v>
      </c>
      <c r="F348" t="s">
        <v>1448</v>
      </c>
      <c r="G348" t="s">
        <v>1449</v>
      </c>
      <c r="H348" t="s">
        <v>28</v>
      </c>
      <c r="I348" t="s">
        <v>29</v>
      </c>
      <c r="J348" t="s">
        <v>30</v>
      </c>
      <c r="K348" t="s">
        <v>31</v>
      </c>
      <c r="L348" t="s">
        <v>30</v>
      </c>
      <c r="M348" t="s">
        <v>31</v>
      </c>
      <c r="N348">
        <v>500</v>
      </c>
      <c r="O348">
        <v>310</v>
      </c>
      <c r="P348">
        <v>300</v>
      </c>
      <c r="Q348">
        <v>1110</v>
      </c>
      <c r="R348" s="15">
        <v>44669</v>
      </c>
      <c r="S348" t="s">
        <v>32</v>
      </c>
      <c r="T348" t="s">
        <v>29</v>
      </c>
      <c r="U348">
        <v>1492633</v>
      </c>
    </row>
    <row r="349" spans="1:21" ht="14.25" customHeight="1" x14ac:dyDescent="0.35">
      <c r="A349" t="s">
        <v>1450</v>
      </c>
      <c r="B349" t="s">
        <v>1451</v>
      </c>
      <c r="C349" t="s">
        <v>23</v>
      </c>
      <c r="D349" t="s">
        <v>24</v>
      </c>
      <c r="E349" t="s">
        <v>652</v>
      </c>
      <c r="F349" t="s">
        <v>1452</v>
      </c>
      <c r="G349" t="s">
        <v>1453</v>
      </c>
      <c r="H349" t="s">
        <v>30</v>
      </c>
      <c r="I349" t="s">
        <v>31</v>
      </c>
      <c r="J349" t="s">
        <v>30</v>
      </c>
      <c r="K349" t="s">
        <v>31</v>
      </c>
      <c r="L349" t="s">
        <v>30</v>
      </c>
      <c r="M349" t="s">
        <v>31</v>
      </c>
      <c r="N349">
        <v>358</v>
      </c>
      <c r="O349">
        <v>339</v>
      </c>
      <c r="P349">
        <v>330</v>
      </c>
      <c r="Q349">
        <v>1027</v>
      </c>
      <c r="R349" s="15">
        <v>44669</v>
      </c>
      <c r="S349" t="s">
        <v>32</v>
      </c>
      <c r="T349" t="s">
        <v>29</v>
      </c>
      <c r="U349">
        <v>702165</v>
      </c>
    </row>
    <row r="350" spans="1:21" ht="14.25" customHeight="1" x14ac:dyDescent="0.35">
      <c r="A350" t="s">
        <v>1454</v>
      </c>
      <c r="B350" t="s">
        <v>1455</v>
      </c>
      <c r="C350" t="s">
        <v>23</v>
      </c>
      <c r="D350" t="s">
        <v>24</v>
      </c>
      <c r="E350" t="s">
        <v>46</v>
      </c>
      <c r="F350" t="s">
        <v>1456</v>
      </c>
      <c r="G350" t="s">
        <v>1457</v>
      </c>
      <c r="H350" t="s">
        <v>38</v>
      </c>
      <c r="I350" t="s">
        <v>31</v>
      </c>
      <c r="J350" t="s">
        <v>38</v>
      </c>
      <c r="K350" t="s">
        <v>31</v>
      </c>
      <c r="L350" t="s">
        <v>38</v>
      </c>
      <c r="M350" t="s">
        <v>31</v>
      </c>
      <c r="N350">
        <v>265</v>
      </c>
      <c r="O350">
        <v>206</v>
      </c>
      <c r="P350">
        <v>205</v>
      </c>
      <c r="Q350">
        <v>676</v>
      </c>
      <c r="R350" s="15">
        <v>44669</v>
      </c>
      <c r="S350" t="s">
        <v>38</v>
      </c>
      <c r="T350" t="s">
        <v>31</v>
      </c>
      <c r="U350">
        <v>906163</v>
      </c>
    </row>
    <row r="351" spans="1:21" ht="14.25" customHeight="1" x14ac:dyDescent="0.35">
      <c r="A351" t="s">
        <v>1458</v>
      </c>
      <c r="B351" t="s">
        <v>1459</v>
      </c>
      <c r="C351" t="s">
        <v>23</v>
      </c>
      <c r="D351" t="s">
        <v>24</v>
      </c>
      <c r="E351" t="s">
        <v>76</v>
      </c>
      <c r="F351" t="s">
        <v>1460</v>
      </c>
      <c r="G351" t="s">
        <v>1461</v>
      </c>
      <c r="H351" t="s">
        <v>30</v>
      </c>
      <c r="I351" t="s">
        <v>31</v>
      </c>
      <c r="J351" t="s">
        <v>30</v>
      </c>
      <c r="K351" t="s">
        <v>31</v>
      </c>
      <c r="L351" t="s">
        <v>38</v>
      </c>
      <c r="M351" t="s">
        <v>31</v>
      </c>
      <c r="N351">
        <v>350</v>
      </c>
      <c r="O351">
        <v>355</v>
      </c>
      <c r="P351">
        <v>270</v>
      </c>
      <c r="Q351">
        <v>975</v>
      </c>
      <c r="R351" s="15">
        <v>44670</v>
      </c>
      <c r="S351" t="s">
        <v>32</v>
      </c>
      <c r="T351" t="s">
        <v>29</v>
      </c>
      <c r="U351">
        <v>80661</v>
      </c>
    </row>
    <row r="352" spans="1:21" ht="14.25" customHeight="1" x14ac:dyDescent="0.35">
      <c r="A352" t="s">
        <v>1462</v>
      </c>
      <c r="B352" t="s">
        <v>1463</v>
      </c>
      <c r="C352" t="s">
        <v>23</v>
      </c>
      <c r="D352" t="s">
        <v>24</v>
      </c>
      <c r="E352" t="s">
        <v>215</v>
      </c>
      <c r="F352" t="s">
        <v>1464</v>
      </c>
      <c r="G352" t="s">
        <v>1465</v>
      </c>
      <c r="H352" t="s">
        <v>28</v>
      </c>
      <c r="I352" t="s">
        <v>29</v>
      </c>
      <c r="J352" t="s">
        <v>30</v>
      </c>
      <c r="K352" t="s">
        <v>31</v>
      </c>
      <c r="L352" t="s">
        <v>30</v>
      </c>
      <c r="M352" t="s">
        <v>31</v>
      </c>
      <c r="N352">
        <v>500</v>
      </c>
      <c r="O352">
        <v>300</v>
      </c>
      <c r="P352">
        <v>300</v>
      </c>
      <c r="Q352">
        <v>1100</v>
      </c>
      <c r="R352" s="15">
        <v>44669</v>
      </c>
      <c r="S352" t="s">
        <v>32</v>
      </c>
      <c r="T352" t="s">
        <v>29</v>
      </c>
      <c r="U352">
        <v>78003</v>
      </c>
    </row>
    <row r="353" spans="1:21" ht="14.25" customHeight="1" x14ac:dyDescent="0.35">
      <c r="A353" t="s">
        <v>1466</v>
      </c>
      <c r="B353" t="s">
        <v>1467</v>
      </c>
      <c r="C353" t="s">
        <v>23</v>
      </c>
      <c r="D353" t="s">
        <v>24</v>
      </c>
      <c r="E353" t="s">
        <v>46</v>
      </c>
      <c r="F353" t="s">
        <v>1468</v>
      </c>
      <c r="G353" t="s">
        <v>1469</v>
      </c>
      <c r="H353" t="s">
        <v>38</v>
      </c>
      <c r="I353" t="s">
        <v>31</v>
      </c>
      <c r="J353" t="s">
        <v>38</v>
      </c>
      <c r="K353" t="s">
        <v>31</v>
      </c>
      <c r="L353" t="s">
        <v>38</v>
      </c>
      <c r="M353" t="s">
        <v>31</v>
      </c>
      <c r="N353">
        <v>215</v>
      </c>
      <c r="O353">
        <v>203</v>
      </c>
      <c r="P353">
        <v>240</v>
      </c>
      <c r="Q353">
        <v>658</v>
      </c>
      <c r="R353" s="15">
        <v>44670</v>
      </c>
      <c r="S353" t="s">
        <v>38</v>
      </c>
      <c r="T353" t="s">
        <v>31</v>
      </c>
      <c r="U353">
        <v>822416</v>
      </c>
    </row>
    <row r="354" spans="1:21" ht="14.25" customHeight="1" x14ac:dyDescent="0.35">
      <c r="A354" t="s">
        <v>1470</v>
      </c>
      <c r="B354" t="s">
        <v>1471</v>
      </c>
      <c r="C354" t="s">
        <v>23</v>
      </c>
      <c r="D354" t="s">
        <v>24</v>
      </c>
      <c r="E354" t="s">
        <v>390</v>
      </c>
      <c r="F354" t="s">
        <v>1472</v>
      </c>
      <c r="G354" t="s">
        <v>1473</v>
      </c>
      <c r="H354" t="s">
        <v>30</v>
      </c>
      <c r="I354" t="s">
        <v>31</v>
      </c>
      <c r="J354" t="s">
        <v>30</v>
      </c>
      <c r="K354" t="s">
        <v>31</v>
      </c>
      <c r="L354" t="s">
        <v>38</v>
      </c>
      <c r="M354" t="s">
        <v>31</v>
      </c>
      <c r="N354">
        <v>325</v>
      </c>
      <c r="O354">
        <v>303</v>
      </c>
      <c r="P354">
        <v>225</v>
      </c>
      <c r="Q354">
        <v>853</v>
      </c>
      <c r="R354" s="15">
        <v>44669</v>
      </c>
      <c r="S354" t="s">
        <v>30</v>
      </c>
      <c r="T354" t="s">
        <v>31</v>
      </c>
      <c r="U354">
        <v>76334</v>
      </c>
    </row>
    <row r="355" spans="1:21" ht="14.25" customHeight="1" x14ac:dyDescent="0.35">
      <c r="A355" t="s">
        <v>1474</v>
      </c>
      <c r="B355" t="s">
        <v>1475</v>
      </c>
      <c r="C355" t="s">
        <v>23</v>
      </c>
      <c r="D355" t="s">
        <v>24</v>
      </c>
      <c r="E355" t="s">
        <v>133</v>
      </c>
      <c r="F355" t="s">
        <v>1476</v>
      </c>
      <c r="G355" t="s">
        <v>1477</v>
      </c>
      <c r="H355" t="s">
        <v>28</v>
      </c>
      <c r="I355" t="s">
        <v>29</v>
      </c>
      <c r="J355" t="s">
        <v>30</v>
      </c>
      <c r="K355" t="s">
        <v>31</v>
      </c>
      <c r="L355" t="s">
        <v>30</v>
      </c>
      <c r="M355" t="s">
        <v>31</v>
      </c>
      <c r="N355">
        <v>515</v>
      </c>
      <c r="O355">
        <v>316</v>
      </c>
      <c r="P355">
        <v>325</v>
      </c>
      <c r="Q355">
        <v>1156</v>
      </c>
      <c r="R355" s="15">
        <v>44669</v>
      </c>
      <c r="S355" t="s">
        <v>32</v>
      </c>
      <c r="T355" t="s">
        <v>29</v>
      </c>
      <c r="U355">
        <v>31791</v>
      </c>
    </row>
    <row r="356" spans="1:21" ht="14.25" customHeight="1" x14ac:dyDescent="0.35">
      <c r="A356" t="s">
        <v>1478</v>
      </c>
      <c r="B356" t="s">
        <v>1479</v>
      </c>
      <c r="C356" t="s">
        <v>23</v>
      </c>
      <c r="D356" t="s">
        <v>24</v>
      </c>
      <c r="E356" t="s">
        <v>321</v>
      </c>
      <c r="F356" t="s">
        <v>1480</v>
      </c>
      <c r="G356" t="s">
        <v>1481</v>
      </c>
      <c r="H356" t="s">
        <v>28</v>
      </c>
      <c r="I356" t="s">
        <v>29</v>
      </c>
      <c r="J356" t="s">
        <v>30</v>
      </c>
      <c r="K356" t="s">
        <v>31</v>
      </c>
      <c r="L356" t="s">
        <v>30</v>
      </c>
      <c r="M356" t="s">
        <v>31</v>
      </c>
      <c r="N356">
        <v>579</v>
      </c>
      <c r="O356">
        <v>374</v>
      </c>
      <c r="P356">
        <v>315</v>
      </c>
      <c r="Q356">
        <v>1268</v>
      </c>
      <c r="R356" s="15">
        <v>44670</v>
      </c>
      <c r="S356" t="s">
        <v>28</v>
      </c>
      <c r="T356" t="s">
        <v>29</v>
      </c>
      <c r="U356">
        <v>1045609</v>
      </c>
    </row>
    <row r="357" spans="1:21" ht="14.25" customHeight="1" x14ac:dyDescent="0.35">
      <c r="A357" t="s">
        <v>1482</v>
      </c>
      <c r="B357" t="s">
        <v>1483</v>
      </c>
      <c r="C357" t="s">
        <v>23</v>
      </c>
      <c r="D357" t="s">
        <v>24</v>
      </c>
      <c r="E357" t="s">
        <v>258</v>
      </c>
      <c r="F357" t="s">
        <v>1484</v>
      </c>
      <c r="G357" t="s">
        <v>1485</v>
      </c>
      <c r="H357" t="s">
        <v>38</v>
      </c>
      <c r="I357" t="s">
        <v>31</v>
      </c>
      <c r="J357" t="s">
        <v>38</v>
      </c>
      <c r="K357" t="s">
        <v>31</v>
      </c>
      <c r="L357" t="s">
        <v>38</v>
      </c>
      <c r="M357" t="s">
        <v>31</v>
      </c>
      <c r="N357">
        <v>293</v>
      </c>
      <c r="O357">
        <v>236</v>
      </c>
      <c r="P357">
        <v>220</v>
      </c>
      <c r="Q357">
        <v>749</v>
      </c>
      <c r="R357" s="15">
        <v>44669</v>
      </c>
      <c r="S357" t="s">
        <v>38</v>
      </c>
      <c r="T357" t="s">
        <v>31</v>
      </c>
      <c r="U357">
        <v>79879</v>
      </c>
    </row>
    <row r="358" spans="1:21" ht="14.25" customHeight="1" x14ac:dyDescent="0.35">
      <c r="A358" t="s">
        <v>1486</v>
      </c>
      <c r="B358" t="s">
        <v>1487</v>
      </c>
      <c r="C358" t="s">
        <v>23</v>
      </c>
      <c r="D358" t="s">
        <v>24</v>
      </c>
      <c r="E358" t="s">
        <v>321</v>
      </c>
      <c r="F358" t="s">
        <v>1488</v>
      </c>
      <c r="G358" t="s">
        <v>1489</v>
      </c>
      <c r="H358" t="s">
        <v>38</v>
      </c>
      <c r="I358" t="s">
        <v>31</v>
      </c>
      <c r="J358" t="s">
        <v>38</v>
      </c>
      <c r="K358" t="s">
        <v>31</v>
      </c>
      <c r="L358" t="s">
        <v>38</v>
      </c>
      <c r="M358" t="s">
        <v>31</v>
      </c>
      <c r="N358">
        <v>235</v>
      </c>
      <c r="O358">
        <v>245</v>
      </c>
      <c r="P358">
        <v>205</v>
      </c>
      <c r="Q358">
        <v>685</v>
      </c>
      <c r="R358" s="15">
        <v>44670</v>
      </c>
      <c r="S358" t="s">
        <v>38</v>
      </c>
      <c r="T358" t="s">
        <v>31</v>
      </c>
      <c r="U358">
        <v>1393311</v>
      </c>
    </row>
    <row r="359" spans="1:21" ht="14.25" customHeight="1" x14ac:dyDescent="0.35">
      <c r="A359" t="s">
        <v>1490</v>
      </c>
      <c r="B359" t="s">
        <v>1491</v>
      </c>
      <c r="C359" t="s">
        <v>23</v>
      </c>
      <c r="D359" t="s">
        <v>24</v>
      </c>
      <c r="E359" t="s">
        <v>138</v>
      </c>
      <c r="F359" t="s">
        <v>1492</v>
      </c>
      <c r="G359" t="s">
        <v>1493</v>
      </c>
      <c r="H359" t="s">
        <v>32</v>
      </c>
      <c r="I359" t="s">
        <v>29</v>
      </c>
      <c r="J359" t="s">
        <v>30</v>
      </c>
      <c r="K359" t="s">
        <v>31</v>
      </c>
      <c r="L359" t="s">
        <v>30</v>
      </c>
      <c r="M359" t="s">
        <v>31</v>
      </c>
      <c r="N359">
        <v>455</v>
      </c>
      <c r="O359">
        <v>323</v>
      </c>
      <c r="P359">
        <v>300</v>
      </c>
      <c r="Q359">
        <v>1078</v>
      </c>
      <c r="R359" s="15">
        <v>44669</v>
      </c>
      <c r="S359" t="s">
        <v>32</v>
      </c>
      <c r="T359" t="s">
        <v>29</v>
      </c>
      <c r="U359">
        <v>713676</v>
      </c>
    </row>
    <row r="360" spans="1:21" ht="14.25" customHeight="1" x14ac:dyDescent="0.35">
      <c r="A360" t="s">
        <v>1494</v>
      </c>
      <c r="B360" t="s">
        <v>1495</v>
      </c>
      <c r="C360" t="s">
        <v>23</v>
      </c>
      <c r="D360" t="s">
        <v>24</v>
      </c>
      <c r="E360" t="s">
        <v>1382</v>
      </c>
      <c r="F360" t="s">
        <v>1496</v>
      </c>
      <c r="G360" t="s">
        <v>1497</v>
      </c>
      <c r="H360" t="s">
        <v>28</v>
      </c>
      <c r="I360" t="s">
        <v>29</v>
      </c>
      <c r="J360" t="s">
        <v>30</v>
      </c>
      <c r="K360" t="s">
        <v>31</v>
      </c>
      <c r="L360" t="s">
        <v>30</v>
      </c>
      <c r="M360" t="s">
        <v>31</v>
      </c>
      <c r="N360">
        <v>520</v>
      </c>
      <c r="O360">
        <v>327</v>
      </c>
      <c r="P360">
        <v>315</v>
      </c>
      <c r="Q360">
        <v>1162</v>
      </c>
      <c r="R360" s="15">
        <v>44669</v>
      </c>
      <c r="S360" t="s">
        <v>32</v>
      </c>
      <c r="T360" t="s">
        <v>29</v>
      </c>
      <c r="U360">
        <v>1413329</v>
      </c>
    </row>
    <row r="361" spans="1:21" ht="14.25" customHeight="1" x14ac:dyDescent="0.35">
      <c r="A361" t="s">
        <v>1498</v>
      </c>
      <c r="B361" t="s">
        <v>1499</v>
      </c>
      <c r="C361" t="s">
        <v>23</v>
      </c>
      <c r="D361" t="s">
        <v>24</v>
      </c>
      <c r="E361" t="s">
        <v>1096</v>
      </c>
      <c r="F361" t="s">
        <v>1500</v>
      </c>
      <c r="G361" t="s">
        <v>1501</v>
      </c>
      <c r="H361" t="s">
        <v>28</v>
      </c>
      <c r="I361" t="s">
        <v>29</v>
      </c>
      <c r="J361" t="s">
        <v>30</v>
      </c>
      <c r="K361" t="s">
        <v>31</v>
      </c>
      <c r="L361" t="s">
        <v>30</v>
      </c>
      <c r="M361" t="s">
        <v>31</v>
      </c>
      <c r="N361">
        <v>500</v>
      </c>
      <c r="O361">
        <v>303</v>
      </c>
      <c r="P361">
        <v>300</v>
      </c>
      <c r="Q361">
        <v>1103</v>
      </c>
      <c r="R361" s="15">
        <v>44669</v>
      </c>
      <c r="S361" t="s">
        <v>32</v>
      </c>
      <c r="T361" t="s">
        <v>29</v>
      </c>
      <c r="U361">
        <v>75677</v>
      </c>
    </row>
    <row r="362" spans="1:21" ht="14.25" customHeight="1" x14ac:dyDescent="0.35">
      <c r="A362" t="s">
        <v>1502</v>
      </c>
      <c r="B362" t="s">
        <v>1503</v>
      </c>
      <c r="C362" t="s">
        <v>23</v>
      </c>
      <c r="D362" t="s">
        <v>24</v>
      </c>
      <c r="E362" t="s">
        <v>607</v>
      </c>
      <c r="F362" t="s">
        <v>1504</v>
      </c>
      <c r="G362" t="s">
        <v>1505</v>
      </c>
      <c r="H362" t="s">
        <v>28</v>
      </c>
      <c r="I362" t="s">
        <v>29</v>
      </c>
      <c r="J362" t="s">
        <v>30</v>
      </c>
      <c r="K362" t="s">
        <v>31</v>
      </c>
      <c r="L362" t="s">
        <v>30</v>
      </c>
      <c r="M362" t="s">
        <v>31</v>
      </c>
      <c r="N362">
        <v>569</v>
      </c>
      <c r="O362">
        <v>363</v>
      </c>
      <c r="P362">
        <v>310</v>
      </c>
      <c r="Q362">
        <v>1242</v>
      </c>
      <c r="R362" s="15">
        <v>44669</v>
      </c>
      <c r="S362" t="s">
        <v>28</v>
      </c>
      <c r="T362" t="s">
        <v>29</v>
      </c>
      <c r="U362">
        <v>1534701</v>
      </c>
    </row>
    <row r="363" spans="1:21" ht="14.25" customHeight="1" x14ac:dyDescent="0.35">
      <c r="A363" t="s">
        <v>1506</v>
      </c>
      <c r="B363" t="s">
        <v>1507</v>
      </c>
      <c r="C363" t="s">
        <v>23</v>
      </c>
      <c r="D363" t="s">
        <v>24</v>
      </c>
      <c r="E363" t="s">
        <v>76</v>
      </c>
      <c r="F363" t="s">
        <v>1508</v>
      </c>
      <c r="G363" t="s">
        <v>1509</v>
      </c>
      <c r="H363" t="s">
        <v>38</v>
      </c>
      <c r="I363" t="s">
        <v>31</v>
      </c>
      <c r="J363" t="s">
        <v>30</v>
      </c>
      <c r="K363" t="s">
        <v>31</v>
      </c>
      <c r="L363" t="s">
        <v>38</v>
      </c>
      <c r="M363" t="s">
        <v>31</v>
      </c>
      <c r="N363">
        <v>285</v>
      </c>
      <c r="O363">
        <v>300</v>
      </c>
      <c r="P363">
        <v>288</v>
      </c>
      <c r="Q363">
        <v>873</v>
      </c>
      <c r="R363" s="15">
        <v>44670</v>
      </c>
      <c r="S363" t="s">
        <v>30</v>
      </c>
      <c r="T363" t="s">
        <v>31</v>
      </c>
      <c r="U363">
        <v>1137774</v>
      </c>
    </row>
    <row r="364" spans="1:21" ht="14.25" customHeight="1" x14ac:dyDescent="0.35">
      <c r="A364" t="s">
        <v>1510</v>
      </c>
      <c r="B364" t="s">
        <v>1511</v>
      </c>
      <c r="C364" t="s">
        <v>23</v>
      </c>
      <c r="D364" t="s">
        <v>24</v>
      </c>
      <c r="E364" t="s">
        <v>390</v>
      </c>
      <c r="F364" t="s">
        <v>1512</v>
      </c>
      <c r="G364" t="s">
        <v>1513</v>
      </c>
      <c r="H364" t="s">
        <v>32</v>
      </c>
      <c r="I364" t="s">
        <v>29</v>
      </c>
      <c r="J364" t="s">
        <v>30</v>
      </c>
      <c r="K364" t="s">
        <v>31</v>
      </c>
      <c r="L364" t="s">
        <v>30</v>
      </c>
      <c r="M364" t="s">
        <v>31</v>
      </c>
      <c r="N364">
        <v>433</v>
      </c>
      <c r="O364">
        <v>330</v>
      </c>
      <c r="P364">
        <v>315</v>
      </c>
      <c r="Q364">
        <v>1078</v>
      </c>
      <c r="R364" s="15">
        <v>44669</v>
      </c>
      <c r="S364" t="s">
        <v>32</v>
      </c>
      <c r="T364" t="s">
        <v>29</v>
      </c>
      <c r="U364">
        <v>77360</v>
      </c>
    </row>
    <row r="365" spans="1:21" ht="14.25" customHeight="1" x14ac:dyDescent="0.35">
      <c r="A365" t="s">
        <v>1514</v>
      </c>
      <c r="B365" t="s">
        <v>1515</v>
      </c>
      <c r="C365" t="s">
        <v>23</v>
      </c>
      <c r="D365" t="s">
        <v>24</v>
      </c>
      <c r="E365" t="s">
        <v>330</v>
      </c>
      <c r="F365" t="s">
        <v>1516</v>
      </c>
      <c r="G365" t="s">
        <v>1517</v>
      </c>
      <c r="H365" t="s">
        <v>599</v>
      </c>
      <c r="I365" t="s">
        <v>600</v>
      </c>
      <c r="J365" t="s">
        <v>32</v>
      </c>
      <c r="K365" t="s">
        <v>29</v>
      </c>
      <c r="L365" t="s">
        <v>30</v>
      </c>
      <c r="M365" t="s">
        <v>31</v>
      </c>
      <c r="N365">
        <v>629</v>
      </c>
      <c r="O365">
        <v>479</v>
      </c>
      <c r="P365">
        <v>300</v>
      </c>
      <c r="Q365">
        <v>1408</v>
      </c>
      <c r="R365" s="15">
        <v>44669</v>
      </c>
      <c r="S365" t="s">
        <v>28</v>
      </c>
      <c r="T365" t="s">
        <v>29</v>
      </c>
      <c r="U365">
        <v>764622</v>
      </c>
    </row>
    <row r="366" spans="1:21" ht="14.25" customHeight="1" x14ac:dyDescent="0.35">
      <c r="A366" t="s">
        <v>1518</v>
      </c>
      <c r="B366" t="s">
        <v>1519</v>
      </c>
      <c r="C366" t="s">
        <v>23</v>
      </c>
      <c r="D366" t="s">
        <v>24</v>
      </c>
      <c r="E366" t="s">
        <v>330</v>
      </c>
      <c r="F366" t="s">
        <v>1520</v>
      </c>
      <c r="G366" t="s">
        <v>1521</v>
      </c>
      <c r="H366" t="s">
        <v>28</v>
      </c>
      <c r="I366" t="s">
        <v>29</v>
      </c>
      <c r="J366" t="s">
        <v>30</v>
      </c>
      <c r="K366" t="s">
        <v>31</v>
      </c>
      <c r="L366" t="s">
        <v>30</v>
      </c>
      <c r="M366" t="s">
        <v>31</v>
      </c>
      <c r="N366">
        <v>525</v>
      </c>
      <c r="O366">
        <v>306</v>
      </c>
      <c r="P366">
        <v>300</v>
      </c>
      <c r="Q366">
        <v>1131</v>
      </c>
      <c r="R366" s="15">
        <v>44669</v>
      </c>
      <c r="S366" t="s">
        <v>32</v>
      </c>
      <c r="T366" t="s">
        <v>29</v>
      </c>
      <c r="U366">
        <v>922224</v>
      </c>
    </row>
    <row r="367" spans="1:21" ht="14.25" customHeight="1" x14ac:dyDescent="0.35">
      <c r="A367" t="s">
        <v>1522</v>
      </c>
      <c r="B367" t="s">
        <v>1523</v>
      </c>
      <c r="C367" t="s">
        <v>23</v>
      </c>
      <c r="D367" t="s">
        <v>24</v>
      </c>
      <c r="E367" t="s">
        <v>1524</v>
      </c>
      <c r="F367" t="s">
        <v>1525</v>
      </c>
      <c r="G367" t="s">
        <v>1526</v>
      </c>
      <c r="H367" t="s">
        <v>28</v>
      </c>
      <c r="I367" t="s">
        <v>29</v>
      </c>
      <c r="J367" t="s">
        <v>30</v>
      </c>
      <c r="K367" t="s">
        <v>31</v>
      </c>
      <c r="L367" t="s">
        <v>30</v>
      </c>
      <c r="M367" t="s">
        <v>31</v>
      </c>
      <c r="N367">
        <v>540</v>
      </c>
      <c r="O367">
        <v>382</v>
      </c>
      <c r="P367">
        <v>310</v>
      </c>
      <c r="Q367">
        <v>1232</v>
      </c>
      <c r="R367" s="15">
        <v>44670</v>
      </c>
      <c r="S367" t="s">
        <v>28</v>
      </c>
      <c r="T367" t="s">
        <v>29</v>
      </c>
      <c r="U367">
        <v>1050915</v>
      </c>
    </row>
    <row r="368" spans="1:21" ht="14.25" customHeight="1" x14ac:dyDescent="0.35">
      <c r="A368" t="s">
        <v>1527</v>
      </c>
      <c r="B368" t="s">
        <v>1528</v>
      </c>
      <c r="C368" t="s">
        <v>23</v>
      </c>
      <c r="D368" t="s">
        <v>24</v>
      </c>
      <c r="E368" t="s">
        <v>224</v>
      </c>
      <c r="F368" t="s">
        <v>1529</v>
      </c>
      <c r="G368" t="s">
        <v>1530</v>
      </c>
      <c r="H368" t="s">
        <v>28</v>
      </c>
      <c r="I368" t="s">
        <v>29</v>
      </c>
      <c r="J368" t="s">
        <v>30</v>
      </c>
      <c r="K368" t="s">
        <v>31</v>
      </c>
      <c r="L368" t="s">
        <v>30</v>
      </c>
      <c r="M368" t="s">
        <v>31</v>
      </c>
      <c r="N368">
        <v>505</v>
      </c>
      <c r="O368">
        <v>309</v>
      </c>
      <c r="P368">
        <v>305</v>
      </c>
      <c r="Q368">
        <v>1119</v>
      </c>
      <c r="R368" s="15">
        <v>44670</v>
      </c>
      <c r="S368" t="s">
        <v>32</v>
      </c>
      <c r="T368" t="s">
        <v>29</v>
      </c>
      <c r="U368">
        <v>720005</v>
      </c>
    </row>
    <row r="369" spans="1:21" ht="14.25" customHeight="1" x14ac:dyDescent="0.35">
      <c r="A369" t="s">
        <v>1531</v>
      </c>
      <c r="B369" t="s">
        <v>1532</v>
      </c>
      <c r="C369" t="s">
        <v>23</v>
      </c>
      <c r="D369" t="s">
        <v>24</v>
      </c>
      <c r="E369" t="s">
        <v>138</v>
      </c>
      <c r="F369" t="s">
        <v>1533</v>
      </c>
      <c r="G369" t="s">
        <v>1534</v>
      </c>
      <c r="H369" t="s">
        <v>32</v>
      </c>
      <c r="I369" t="s">
        <v>29</v>
      </c>
      <c r="J369" t="s">
        <v>30</v>
      </c>
      <c r="K369" t="s">
        <v>31</v>
      </c>
      <c r="L369" t="s">
        <v>30</v>
      </c>
      <c r="M369" t="s">
        <v>31</v>
      </c>
      <c r="N369">
        <v>490</v>
      </c>
      <c r="O369">
        <v>304</v>
      </c>
      <c r="P369">
        <v>305</v>
      </c>
      <c r="Q369">
        <v>1099</v>
      </c>
      <c r="R369" s="15">
        <v>44668</v>
      </c>
      <c r="S369" t="s">
        <v>32</v>
      </c>
      <c r="T369" t="s">
        <v>29</v>
      </c>
      <c r="U369">
        <v>1281761</v>
      </c>
    </row>
    <row r="370" spans="1:21" ht="14.25" customHeight="1" x14ac:dyDescent="0.35">
      <c r="A370" t="s">
        <v>1535</v>
      </c>
      <c r="B370" t="s">
        <v>1536</v>
      </c>
      <c r="C370" t="s">
        <v>23</v>
      </c>
      <c r="D370" t="s">
        <v>24</v>
      </c>
      <c r="E370" t="s">
        <v>55</v>
      </c>
      <c r="F370" t="s">
        <v>1537</v>
      </c>
      <c r="G370" t="s">
        <v>1538</v>
      </c>
      <c r="H370" t="s">
        <v>28</v>
      </c>
      <c r="I370" t="s">
        <v>29</v>
      </c>
      <c r="J370" t="s">
        <v>30</v>
      </c>
      <c r="K370" t="s">
        <v>31</v>
      </c>
      <c r="L370" t="s">
        <v>30</v>
      </c>
      <c r="M370" t="s">
        <v>31</v>
      </c>
      <c r="N370">
        <v>503</v>
      </c>
      <c r="O370">
        <v>327</v>
      </c>
      <c r="P370">
        <v>310</v>
      </c>
      <c r="Q370">
        <v>1140</v>
      </c>
      <c r="R370" s="15">
        <v>44670</v>
      </c>
      <c r="S370" t="s">
        <v>32</v>
      </c>
      <c r="T370" t="s">
        <v>29</v>
      </c>
      <c r="U370">
        <v>884887</v>
      </c>
    </row>
    <row r="371" spans="1:21" ht="14.25" customHeight="1" x14ac:dyDescent="0.35">
      <c r="A371" t="s">
        <v>1539</v>
      </c>
      <c r="B371" t="s">
        <v>1540</v>
      </c>
      <c r="C371" t="s">
        <v>23</v>
      </c>
      <c r="D371" t="s">
        <v>24</v>
      </c>
      <c r="E371" t="s">
        <v>1541</v>
      </c>
      <c r="F371" t="s">
        <v>1542</v>
      </c>
      <c r="G371" t="s">
        <v>1543</v>
      </c>
      <c r="H371" t="s">
        <v>32</v>
      </c>
      <c r="I371" t="s">
        <v>29</v>
      </c>
      <c r="J371" t="s">
        <v>30</v>
      </c>
      <c r="K371" t="s">
        <v>31</v>
      </c>
      <c r="L371" t="s">
        <v>30</v>
      </c>
      <c r="M371" t="s">
        <v>31</v>
      </c>
      <c r="N371">
        <v>420</v>
      </c>
      <c r="O371">
        <v>352</v>
      </c>
      <c r="P371">
        <v>303</v>
      </c>
      <c r="Q371">
        <v>1075</v>
      </c>
      <c r="R371" s="15">
        <v>44670</v>
      </c>
      <c r="S371" t="s">
        <v>32</v>
      </c>
      <c r="T371" t="s">
        <v>29</v>
      </c>
      <c r="U371">
        <v>1037038</v>
      </c>
    </row>
    <row r="372" spans="1:21" ht="14.25" customHeight="1" x14ac:dyDescent="0.35">
      <c r="A372" t="s">
        <v>1544</v>
      </c>
      <c r="B372" t="s">
        <v>1545</v>
      </c>
      <c r="C372" t="s">
        <v>23</v>
      </c>
      <c r="D372" t="s">
        <v>24</v>
      </c>
      <c r="E372" t="s">
        <v>1541</v>
      </c>
      <c r="F372" t="s">
        <v>1546</v>
      </c>
      <c r="G372" t="s">
        <v>1547</v>
      </c>
      <c r="H372" t="s">
        <v>32</v>
      </c>
      <c r="I372" t="s">
        <v>29</v>
      </c>
      <c r="J372" t="s">
        <v>30</v>
      </c>
      <c r="K372" t="s">
        <v>31</v>
      </c>
      <c r="L372" t="s">
        <v>30</v>
      </c>
      <c r="M372" t="s">
        <v>31</v>
      </c>
      <c r="N372">
        <v>418</v>
      </c>
      <c r="O372">
        <v>319</v>
      </c>
      <c r="P372">
        <v>315</v>
      </c>
      <c r="Q372">
        <v>1052</v>
      </c>
      <c r="R372" s="15">
        <v>44670</v>
      </c>
      <c r="S372" t="s">
        <v>32</v>
      </c>
      <c r="T372" t="s">
        <v>29</v>
      </c>
      <c r="U372">
        <v>78239</v>
      </c>
    </row>
    <row r="373" spans="1:21" ht="14.25" customHeight="1" x14ac:dyDescent="0.35">
      <c r="A373" t="s">
        <v>1548</v>
      </c>
      <c r="B373" t="s">
        <v>1549</v>
      </c>
      <c r="C373" t="s">
        <v>23</v>
      </c>
      <c r="D373" t="s">
        <v>24</v>
      </c>
      <c r="E373" t="s">
        <v>926</v>
      </c>
      <c r="F373" t="s">
        <v>1550</v>
      </c>
      <c r="G373" t="s">
        <v>1551</v>
      </c>
      <c r="H373" t="s">
        <v>38</v>
      </c>
      <c r="I373" t="s">
        <v>31</v>
      </c>
      <c r="J373" t="s">
        <v>30</v>
      </c>
      <c r="K373" t="s">
        <v>31</v>
      </c>
      <c r="L373" t="s">
        <v>30</v>
      </c>
      <c r="M373" t="s">
        <v>31</v>
      </c>
      <c r="N373">
        <v>255</v>
      </c>
      <c r="O373">
        <v>334</v>
      </c>
      <c r="P373">
        <v>310</v>
      </c>
      <c r="Q373">
        <v>899</v>
      </c>
      <c r="R373" s="15">
        <v>44670</v>
      </c>
      <c r="S373" t="s">
        <v>30</v>
      </c>
      <c r="T373" t="s">
        <v>31</v>
      </c>
      <c r="U373">
        <v>315213</v>
      </c>
    </row>
    <row r="374" spans="1:21" ht="14.25" customHeight="1" x14ac:dyDescent="0.35">
      <c r="A374" t="s">
        <v>1552</v>
      </c>
      <c r="B374" t="s">
        <v>1553</v>
      </c>
      <c r="C374" t="s">
        <v>23</v>
      </c>
      <c r="D374" t="s">
        <v>24</v>
      </c>
      <c r="E374" t="s">
        <v>607</v>
      </c>
      <c r="F374" t="s">
        <v>1554</v>
      </c>
      <c r="G374" t="s">
        <v>1555</v>
      </c>
      <c r="H374" t="s">
        <v>599</v>
      </c>
      <c r="I374" t="s">
        <v>600</v>
      </c>
      <c r="J374" t="s">
        <v>32</v>
      </c>
      <c r="K374" t="s">
        <v>29</v>
      </c>
      <c r="L374" t="s">
        <v>30</v>
      </c>
      <c r="M374" t="s">
        <v>31</v>
      </c>
      <c r="N374">
        <v>700</v>
      </c>
      <c r="O374">
        <v>412</v>
      </c>
      <c r="P374">
        <v>300</v>
      </c>
      <c r="Q374">
        <v>1412</v>
      </c>
      <c r="R374" s="15">
        <v>44669</v>
      </c>
      <c r="S374" t="s">
        <v>28</v>
      </c>
      <c r="T374" t="s">
        <v>29</v>
      </c>
      <c r="U374">
        <v>1038357</v>
      </c>
    </row>
    <row r="375" spans="1:21" ht="14.25" customHeight="1" x14ac:dyDescent="0.35">
      <c r="A375" t="s">
        <v>1556</v>
      </c>
      <c r="B375" t="s">
        <v>1557</v>
      </c>
      <c r="C375" t="s">
        <v>23</v>
      </c>
      <c r="D375" t="s">
        <v>24</v>
      </c>
      <c r="E375" t="s">
        <v>233</v>
      </c>
      <c r="F375" t="s">
        <v>1558</v>
      </c>
      <c r="G375" t="s">
        <v>1559</v>
      </c>
      <c r="H375" t="s">
        <v>28</v>
      </c>
      <c r="I375" t="s">
        <v>29</v>
      </c>
      <c r="J375" t="s">
        <v>30</v>
      </c>
      <c r="K375" t="s">
        <v>31</v>
      </c>
      <c r="L375" t="s">
        <v>30</v>
      </c>
      <c r="M375" t="s">
        <v>31</v>
      </c>
      <c r="N375">
        <v>500</v>
      </c>
      <c r="O375">
        <v>300</v>
      </c>
      <c r="P375">
        <v>305</v>
      </c>
      <c r="Q375">
        <v>1105</v>
      </c>
      <c r="R375" s="15">
        <v>44670</v>
      </c>
      <c r="S375" t="s">
        <v>32</v>
      </c>
      <c r="T375" t="s">
        <v>29</v>
      </c>
      <c r="U375">
        <v>84839</v>
      </c>
    </row>
    <row r="376" spans="1:21" ht="14.25" customHeight="1" x14ac:dyDescent="0.35">
      <c r="A376" t="s">
        <v>1560</v>
      </c>
      <c r="B376" t="s">
        <v>1561</v>
      </c>
      <c r="C376" t="s">
        <v>23</v>
      </c>
      <c r="D376" t="s">
        <v>24</v>
      </c>
      <c r="E376" t="s">
        <v>124</v>
      </c>
      <c r="F376" t="s">
        <v>1562</v>
      </c>
      <c r="G376" t="s">
        <v>1563</v>
      </c>
      <c r="H376" t="s">
        <v>30</v>
      </c>
      <c r="I376" t="s">
        <v>31</v>
      </c>
      <c r="J376" t="s">
        <v>30</v>
      </c>
      <c r="K376" t="s">
        <v>31</v>
      </c>
      <c r="L376" t="s">
        <v>30</v>
      </c>
      <c r="M376" t="s">
        <v>31</v>
      </c>
      <c r="N376">
        <v>330</v>
      </c>
      <c r="O376">
        <v>312</v>
      </c>
      <c r="P376">
        <v>300</v>
      </c>
      <c r="Q376">
        <v>942</v>
      </c>
      <c r="R376" s="15">
        <v>44670</v>
      </c>
      <c r="S376" t="s">
        <v>32</v>
      </c>
      <c r="T376" t="s">
        <v>29</v>
      </c>
      <c r="U376">
        <v>943819</v>
      </c>
    </row>
    <row r="377" spans="1:21" ht="14.25" customHeight="1" x14ac:dyDescent="0.35">
      <c r="A377" t="s">
        <v>1564</v>
      </c>
      <c r="B377" t="s">
        <v>1565</v>
      </c>
      <c r="C377" t="s">
        <v>23</v>
      </c>
      <c r="D377" t="s">
        <v>24</v>
      </c>
      <c r="E377" t="s">
        <v>224</v>
      </c>
      <c r="F377" t="s">
        <v>1566</v>
      </c>
      <c r="G377" t="s">
        <v>1567</v>
      </c>
      <c r="H377" t="s">
        <v>28</v>
      </c>
      <c r="I377" t="s">
        <v>29</v>
      </c>
      <c r="J377" t="s">
        <v>30</v>
      </c>
      <c r="K377" t="s">
        <v>31</v>
      </c>
      <c r="L377" t="s">
        <v>30</v>
      </c>
      <c r="M377" t="s">
        <v>31</v>
      </c>
      <c r="N377">
        <v>515</v>
      </c>
      <c r="O377">
        <v>300</v>
      </c>
      <c r="P377">
        <v>300</v>
      </c>
      <c r="Q377">
        <v>1115</v>
      </c>
      <c r="R377" s="15">
        <v>44667</v>
      </c>
      <c r="S377" t="s">
        <v>32</v>
      </c>
      <c r="T377" t="s">
        <v>29</v>
      </c>
      <c r="U377">
        <v>316709</v>
      </c>
    </row>
    <row r="378" spans="1:21" ht="14.25" customHeight="1" x14ac:dyDescent="0.35">
      <c r="A378" t="s">
        <v>1568</v>
      </c>
      <c r="B378" t="s">
        <v>1569</v>
      </c>
      <c r="C378" t="s">
        <v>23</v>
      </c>
      <c r="D378" t="s">
        <v>24</v>
      </c>
      <c r="E378" t="s">
        <v>96</v>
      </c>
      <c r="F378" t="s">
        <v>1570</v>
      </c>
      <c r="G378" t="s">
        <v>1571</v>
      </c>
      <c r="H378" t="s">
        <v>30</v>
      </c>
      <c r="I378" t="s">
        <v>31</v>
      </c>
      <c r="J378" t="s">
        <v>38</v>
      </c>
      <c r="K378" t="s">
        <v>31</v>
      </c>
      <c r="L378" t="s">
        <v>38</v>
      </c>
      <c r="M378" t="s">
        <v>31</v>
      </c>
      <c r="N378">
        <v>308</v>
      </c>
      <c r="O378">
        <v>243</v>
      </c>
      <c r="P378">
        <v>210</v>
      </c>
      <c r="Q378">
        <v>761</v>
      </c>
      <c r="R378" s="15">
        <v>44670</v>
      </c>
      <c r="S378" t="s">
        <v>30</v>
      </c>
      <c r="T378" t="s">
        <v>31</v>
      </c>
      <c r="U378">
        <v>1024478</v>
      </c>
    </row>
    <row r="379" spans="1:21" ht="14.25" customHeight="1" x14ac:dyDescent="0.35">
      <c r="A379" t="s">
        <v>1572</v>
      </c>
      <c r="B379" t="s">
        <v>1573</v>
      </c>
      <c r="C379" t="s">
        <v>23</v>
      </c>
      <c r="D379" t="s">
        <v>24</v>
      </c>
      <c r="E379" t="s">
        <v>1101</v>
      </c>
      <c r="F379" t="s">
        <v>1574</v>
      </c>
      <c r="G379" t="s">
        <v>1575</v>
      </c>
      <c r="H379" t="s">
        <v>28</v>
      </c>
      <c r="I379" t="s">
        <v>29</v>
      </c>
      <c r="J379" t="s">
        <v>30</v>
      </c>
      <c r="K379" t="s">
        <v>31</v>
      </c>
      <c r="L379" t="s">
        <v>30</v>
      </c>
      <c r="M379" t="s">
        <v>31</v>
      </c>
      <c r="N379">
        <v>500</v>
      </c>
      <c r="O379">
        <v>300</v>
      </c>
      <c r="P379">
        <v>300</v>
      </c>
      <c r="Q379">
        <v>1100</v>
      </c>
      <c r="R379" s="15">
        <v>44670</v>
      </c>
      <c r="S379" t="s">
        <v>32</v>
      </c>
      <c r="T379" t="s">
        <v>29</v>
      </c>
      <c r="U379">
        <v>1260221</v>
      </c>
    </row>
    <row r="380" spans="1:21" ht="14.25" customHeight="1" x14ac:dyDescent="0.35">
      <c r="A380" t="s">
        <v>1576</v>
      </c>
      <c r="B380" t="s">
        <v>1577</v>
      </c>
      <c r="C380" t="s">
        <v>23</v>
      </c>
      <c r="D380" t="s">
        <v>24</v>
      </c>
      <c r="E380" t="s">
        <v>1096</v>
      </c>
      <c r="F380" t="s">
        <v>1578</v>
      </c>
      <c r="G380" t="s">
        <v>1579</v>
      </c>
      <c r="H380" t="s">
        <v>28</v>
      </c>
      <c r="I380" t="s">
        <v>29</v>
      </c>
      <c r="J380" t="s">
        <v>30</v>
      </c>
      <c r="K380" t="s">
        <v>31</v>
      </c>
      <c r="L380" t="s">
        <v>38</v>
      </c>
      <c r="M380" t="s">
        <v>31</v>
      </c>
      <c r="N380">
        <v>555</v>
      </c>
      <c r="O380">
        <v>318</v>
      </c>
      <c r="P380">
        <v>257</v>
      </c>
      <c r="Q380">
        <v>1130</v>
      </c>
      <c r="R380" s="15">
        <v>44670</v>
      </c>
      <c r="S380" t="s">
        <v>32</v>
      </c>
      <c r="T380" t="s">
        <v>29</v>
      </c>
      <c r="U380">
        <v>1012100</v>
      </c>
    </row>
    <row r="381" spans="1:21" ht="14.25" customHeight="1" x14ac:dyDescent="0.35">
      <c r="A381" t="s">
        <v>1580</v>
      </c>
      <c r="B381" t="s">
        <v>1581</v>
      </c>
      <c r="C381" t="s">
        <v>23</v>
      </c>
      <c r="D381" t="s">
        <v>24</v>
      </c>
      <c r="E381" t="s">
        <v>91</v>
      </c>
      <c r="F381" t="s">
        <v>1582</v>
      </c>
      <c r="G381" t="s">
        <v>1583</v>
      </c>
      <c r="H381" t="s">
        <v>28</v>
      </c>
      <c r="I381" t="s">
        <v>29</v>
      </c>
      <c r="J381" t="s">
        <v>30</v>
      </c>
      <c r="K381" t="s">
        <v>31</v>
      </c>
      <c r="L381" t="s">
        <v>30</v>
      </c>
      <c r="M381" t="s">
        <v>31</v>
      </c>
      <c r="N381">
        <v>570</v>
      </c>
      <c r="O381">
        <v>350</v>
      </c>
      <c r="P381">
        <v>340</v>
      </c>
      <c r="Q381">
        <v>1260</v>
      </c>
      <c r="R381" s="15">
        <v>44670</v>
      </c>
      <c r="S381" t="s">
        <v>28</v>
      </c>
      <c r="T381" t="s">
        <v>29</v>
      </c>
      <c r="U381">
        <v>882835</v>
      </c>
    </row>
    <row r="382" spans="1:21" ht="14.25" customHeight="1" x14ac:dyDescent="0.35">
      <c r="A382" t="s">
        <v>1584</v>
      </c>
      <c r="B382" t="s">
        <v>1585</v>
      </c>
      <c r="C382" t="s">
        <v>23</v>
      </c>
      <c r="D382" t="s">
        <v>24</v>
      </c>
      <c r="E382" t="s">
        <v>390</v>
      </c>
      <c r="F382" t="s">
        <v>1586</v>
      </c>
      <c r="G382" t="s">
        <v>1587</v>
      </c>
      <c r="H382" t="s">
        <v>28</v>
      </c>
      <c r="I382" t="s">
        <v>29</v>
      </c>
      <c r="J382" t="s">
        <v>30</v>
      </c>
      <c r="K382" t="s">
        <v>31</v>
      </c>
      <c r="L382" t="s">
        <v>30</v>
      </c>
      <c r="M382" t="s">
        <v>31</v>
      </c>
      <c r="N382">
        <v>555</v>
      </c>
      <c r="O382">
        <v>315</v>
      </c>
      <c r="P382">
        <v>300</v>
      </c>
      <c r="Q382">
        <v>1170</v>
      </c>
      <c r="R382" s="15">
        <v>44670</v>
      </c>
      <c r="S382" t="s">
        <v>32</v>
      </c>
      <c r="T382" t="s">
        <v>29</v>
      </c>
      <c r="U382">
        <v>93556</v>
      </c>
    </row>
    <row r="383" spans="1:21" ht="14.25" customHeight="1" x14ac:dyDescent="0.35">
      <c r="A383" t="s">
        <v>1588</v>
      </c>
      <c r="B383" t="s">
        <v>1589</v>
      </c>
      <c r="C383" t="s">
        <v>23</v>
      </c>
      <c r="D383" t="s">
        <v>24</v>
      </c>
      <c r="E383" t="s">
        <v>742</v>
      </c>
      <c r="F383" t="s">
        <v>1590</v>
      </c>
      <c r="G383" t="s">
        <v>1591</v>
      </c>
      <c r="H383" t="s">
        <v>32</v>
      </c>
      <c r="I383" t="s">
        <v>29</v>
      </c>
      <c r="J383" t="s">
        <v>30</v>
      </c>
      <c r="K383" t="s">
        <v>31</v>
      </c>
      <c r="L383" t="s">
        <v>38</v>
      </c>
      <c r="M383" t="s">
        <v>31</v>
      </c>
      <c r="N383">
        <v>459</v>
      </c>
      <c r="O383">
        <v>313</v>
      </c>
      <c r="P383">
        <v>295</v>
      </c>
      <c r="Q383">
        <v>1067</v>
      </c>
      <c r="R383" s="15">
        <v>44667</v>
      </c>
      <c r="S383" t="s">
        <v>32</v>
      </c>
      <c r="T383" t="s">
        <v>29</v>
      </c>
      <c r="U383">
        <v>16918</v>
      </c>
    </row>
    <row r="384" spans="1:21" ht="14.25" customHeight="1" x14ac:dyDescent="0.35">
      <c r="A384" t="s">
        <v>1592</v>
      </c>
      <c r="B384" t="s">
        <v>1593</v>
      </c>
      <c r="C384" t="s">
        <v>23</v>
      </c>
      <c r="D384" t="s">
        <v>24</v>
      </c>
      <c r="E384" t="s">
        <v>124</v>
      </c>
      <c r="F384" t="s">
        <v>1594</v>
      </c>
      <c r="G384" t="s">
        <v>1595</v>
      </c>
      <c r="H384" t="s">
        <v>32</v>
      </c>
      <c r="I384" t="s">
        <v>29</v>
      </c>
      <c r="J384" t="s">
        <v>30</v>
      </c>
      <c r="K384" t="s">
        <v>31</v>
      </c>
      <c r="L384" t="s">
        <v>30</v>
      </c>
      <c r="M384" t="s">
        <v>31</v>
      </c>
      <c r="N384">
        <v>485</v>
      </c>
      <c r="O384">
        <v>321</v>
      </c>
      <c r="P384">
        <v>325</v>
      </c>
      <c r="Q384">
        <v>1131</v>
      </c>
      <c r="R384" s="15">
        <v>44670</v>
      </c>
      <c r="S384" t="s">
        <v>32</v>
      </c>
      <c r="T384" t="s">
        <v>29</v>
      </c>
      <c r="U384">
        <v>310764</v>
      </c>
    </row>
    <row r="385" spans="1:21" ht="14.25" customHeight="1" x14ac:dyDescent="0.35">
      <c r="A385" t="s">
        <v>1596</v>
      </c>
      <c r="B385" t="s">
        <v>1597</v>
      </c>
      <c r="C385" t="s">
        <v>23</v>
      </c>
      <c r="D385" t="s">
        <v>24</v>
      </c>
      <c r="E385" t="s">
        <v>596</v>
      </c>
      <c r="F385" t="s">
        <v>1598</v>
      </c>
      <c r="G385" t="s">
        <v>1599</v>
      </c>
      <c r="H385" t="s">
        <v>28</v>
      </c>
      <c r="I385" t="s">
        <v>29</v>
      </c>
      <c r="J385" t="s">
        <v>30</v>
      </c>
      <c r="K385" t="s">
        <v>31</v>
      </c>
      <c r="L385" t="s">
        <v>30</v>
      </c>
      <c r="M385" t="s">
        <v>31</v>
      </c>
      <c r="N385">
        <v>555</v>
      </c>
      <c r="O385">
        <v>301</v>
      </c>
      <c r="P385">
        <v>305</v>
      </c>
      <c r="Q385">
        <v>1161</v>
      </c>
      <c r="R385" s="15">
        <v>44670</v>
      </c>
      <c r="S385" t="s">
        <v>32</v>
      </c>
      <c r="T385" t="s">
        <v>29</v>
      </c>
      <c r="U385">
        <v>96021</v>
      </c>
    </row>
    <row r="386" spans="1:21" ht="14.25" customHeight="1" x14ac:dyDescent="0.35">
      <c r="A386" t="s">
        <v>1600</v>
      </c>
      <c r="B386" t="s">
        <v>1601</v>
      </c>
      <c r="C386" t="s">
        <v>23</v>
      </c>
      <c r="D386" t="s">
        <v>24</v>
      </c>
      <c r="E386" t="s">
        <v>258</v>
      </c>
      <c r="F386" t="s">
        <v>1602</v>
      </c>
      <c r="G386" t="s">
        <v>1603</v>
      </c>
      <c r="H386" t="s">
        <v>38</v>
      </c>
      <c r="I386" t="s">
        <v>31</v>
      </c>
      <c r="J386" t="s">
        <v>38</v>
      </c>
      <c r="K386" t="s">
        <v>31</v>
      </c>
      <c r="L386" t="s">
        <v>38</v>
      </c>
      <c r="M386" t="s">
        <v>31</v>
      </c>
      <c r="N386">
        <v>295</v>
      </c>
      <c r="O386">
        <v>259</v>
      </c>
      <c r="P386">
        <v>220</v>
      </c>
      <c r="Q386">
        <v>774</v>
      </c>
      <c r="R386" s="15">
        <v>44670</v>
      </c>
      <c r="S386" t="s">
        <v>30</v>
      </c>
      <c r="T386" t="s">
        <v>31</v>
      </c>
      <c r="U386">
        <v>89800</v>
      </c>
    </row>
    <row r="387" spans="1:21" ht="14.25" customHeight="1" x14ac:dyDescent="0.35">
      <c r="A387" t="s">
        <v>1604</v>
      </c>
      <c r="B387" t="s">
        <v>1605</v>
      </c>
      <c r="C387" t="s">
        <v>23</v>
      </c>
      <c r="D387" t="s">
        <v>24</v>
      </c>
      <c r="E387" t="s">
        <v>224</v>
      </c>
      <c r="F387" t="s">
        <v>1606</v>
      </c>
      <c r="G387" t="s">
        <v>1607</v>
      </c>
      <c r="H387" t="s">
        <v>32</v>
      </c>
      <c r="I387" t="s">
        <v>29</v>
      </c>
      <c r="J387" t="s">
        <v>30</v>
      </c>
      <c r="K387" t="s">
        <v>31</v>
      </c>
      <c r="L387" t="s">
        <v>30</v>
      </c>
      <c r="M387" t="s">
        <v>31</v>
      </c>
      <c r="N387">
        <v>435</v>
      </c>
      <c r="O387">
        <v>341</v>
      </c>
      <c r="P387">
        <v>310</v>
      </c>
      <c r="Q387">
        <v>1086</v>
      </c>
      <c r="R387" s="15">
        <v>44723</v>
      </c>
      <c r="S387" t="s">
        <v>32</v>
      </c>
      <c r="T387" t="s">
        <v>29</v>
      </c>
      <c r="U387">
        <v>64040</v>
      </c>
    </row>
    <row r="388" spans="1:21" ht="14.25" customHeight="1" x14ac:dyDescent="0.35">
      <c r="A388" t="s">
        <v>1608</v>
      </c>
      <c r="B388" t="s">
        <v>1609</v>
      </c>
      <c r="C388" t="s">
        <v>23</v>
      </c>
      <c r="D388" t="s">
        <v>24</v>
      </c>
      <c r="E388" t="s">
        <v>124</v>
      </c>
      <c r="F388" t="s">
        <v>1610</v>
      </c>
      <c r="G388" t="s">
        <v>1611</v>
      </c>
      <c r="H388" t="s">
        <v>28</v>
      </c>
      <c r="I388" t="s">
        <v>29</v>
      </c>
      <c r="J388" t="s">
        <v>30</v>
      </c>
      <c r="K388" t="s">
        <v>31</v>
      </c>
      <c r="L388" t="s">
        <v>30</v>
      </c>
      <c r="M388" t="s">
        <v>31</v>
      </c>
      <c r="N388">
        <v>510</v>
      </c>
      <c r="O388">
        <v>301</v>
      </c>
      <c r="P388">
        <v>305</v>
      </c>
      <c r="Q388">
        <v>1116</v>
      </c>
      <c r="R388" s="15">
        <v>44670</v>
      </c>
      <c r="S388" t="s">
        <v>32</v>
      </c>
      <c r="T388" t="s">
        <v>29</v>
      </c>
      <c r="U388">
        <v>1757898</v>
      </c>
    </row>
    <row r="389" spans="1:21" ht="14.25" customHeight="1" x14ac:dyDescent="0.35">
      <c r="A389" t="s">
        <v>1612</v>
      </c>
      <c r="B389" t="s">
        <v>1613</v>
      </c>
      <c r="C389" t="s">
        <v>23</v>
      </c>
      <c r="D389" t="s">
        <v>24</v>
      </c>
      <c r="E389" t="s">
        <v>224</v>
      </c>
      <c r="F389" t="s">
        <v>1614</v>
      </c>
      <c r="G389" t="s">
        <v>1615</v>
      </c>
      <c r="H389" t="s">
        <v>30</v>
      </c>
      <c r="I389" t="s">
        <v>31</v>
      </c>
      <c r="J389" t="s">
        <v>30</v>
      </c>
      <c r="K389" t="s">
        <v>31</v>
      </c>
      <c r="L389" t="s">
        <v>30</v>
      </c>
      <c r="M389" t="s">
        <v>31</v>
      </c>
      <c r="N389">
        <v>325</v>
      </c>
      <c r="O389">
        <v>312</v>
      </c>
      <c r="P389">
        <v>310</v>
      </c>
      <c r="Q389">
        <v>947</v>
      </c>
      <c r="R389" s="15">
        <v>44670</v>
      </c>
      <c r="S389" t="s">
        <v>32</v>
      </c>
      <c r="T389" t="s">
        <v>29</v>
      </c>
      <c r="U389">
        <v>1601712</v>
      </c>
    </row>
    <row r="390" spans="1:21" ht="14.25" customHeight="1" x14ac:dyDescent="0.35">
      <c r="A390" t="s">
        <v>1616</v>
      </c>
      <c r="B390" t="s">
        <v>1617</v>
      </c>
      <c r="C390" t="s">
        <v>23</v>
      </c>
      <c r="D390" t="s">
        <v>24</v>
      </c>
      <c r="E390" t="s">
        <v>321</v>
      </c>
      <c r="F390" t="s">
        <v>1618</v>
      </c>
      <c r="G390" t="s">
        <v>1619</v>
      </c>
      <c r="H390" t="s">
        <v>38</v>
      </c>
      <c r="I390" t="s">
        <v>31</v>
      </c>
      <c r="J390" t="s">
        <v>38</v>
      </c>
      <c r="K390" t="s">
        <v>31</v>
      </c>
      <c r="L390" t="s">
        <v>38</v>
      </c>
      <c r="M390" t="s">
        <v>31</v>
      </c>
      <c r="N390">
        <v>225</v>
      </c>
      <c r="O390">
        <v>247</v>
      </c>
      <c r="P390">
        <v>205</v>
      </c>
      <c r="Q390">
        <v>677</v>
      </c>
      <c r="R390" s="15">
        <v>44670</v>
      </c>
      <c r="S390" t="s">
        <v>38</v>
      </c>
      <c r="T390" t="s">
        <v>31</v>
      </c>
      <c r="U390">
        <v>1063761</v>
      </c>
    </row>
    <row r="391" spans="1:21" ht="14.25" customHeight="1" x14ac:dyDescent="0.35">
      <c r="A391" t="s">
        <v>1620</v>
      </c>
      <c r="B391" t="s">
        <v>1621</v>
      </c>
      <c r="C391" t="s">
        <v>23</v>
      </c>
      <c r="D391" t="s">
        <v>24</v>
      </c>
      <c r="E391" t="s">
        <v>330</v>
      </c>
      <c r="F391" t="s">
        <v>1622</v>
      </c>
      <c r="G391" t="s">
        <v>1623</v>
      </c>
      <c r="H391" t="s">
        <v>599</v>
      </c>
      <c r="I391" t="s">
        <v>600</v>
      </c>
      <c r="J391" t="s">
        <v>30</v>
      </c>
      <c r="K391" t="s">
        <v>31</v>
      </c>
      <c r="L391" t="s">
        <v>30</v>
      </c>
      <c r="M391" t="s">
        <v>31</v>
      </c>
      <c r="N391">
        <v>700</v>
      </c>
      <c r="O391">
        <v>386</v>
      </c>
      <c r="P391">
        <v>310</v>
      </c>
      <c r="Q391">
        <v>1396</v>
      </c>
      <c r="R391" s="15">
        <v>44670</v>
      </c>
      <c r="S391" t="s">
        <v>28</v>
      </c>
      <c r="T391" t="s">
        <v>29</v>
      </c>
      <c r="U391">
        <v>1032208</v>
      </c>
    </row>
    <row r="392" spans="1:21" ht="14.25" customHeight="1" x14ac:dyDescent="0.35">
      <c r="A392" t="s">
        <v>1624</v>
      </c>
      <c r="B392" t="s">
        <v>1625</v>
      </c>
      <c r="C392" t="s">
        <v>23</v>
      </c>
      <c r="D392" t="s">
        <v>24</v>
      </c>
      <c r="E392" t="s">
        <v>330</v>
      </c>
      <c r="F392" t="s">
        <v>1626</v>
      </c>
      <c r="G392" t="s">
        <v>1627</v>
      </c>
      <c r="H392" t="s">
        <v>28</v>
      </c>
      <c r="I392" t="s">
        <v>29</v>
      </c>
      <c r="J392" t="s">
        <v>30</v>
      </c>
      <c r="K392" t="s">
        <v>31</v>
      </c>
      <c r="L392" t="s">
        <v>30</v>
      </c>
      <c r="M392" t="s">
        <v>31</v>
      </c>
      <c r="N392">
        <v>515</v>
      </c>
      <c r="O392">
        <v>307</v>
      </c>
      <c r="P392">
        <v>330</v>
      </c>
      <c r="Q392">
        <v>1152</v>
      </c>
      <c r="R392" s="15">
        <v>44670</v>
      </c>
      <c r="S392" t="s">
        <v>32</v>
      </c>
      <c r="T392" t="s">
        <v>29</v>
      </c>
      <c r="U392">
        <v>92122</v>
      </c>
    </row>
    <row r="393" spans="1:21" ht="14.25" customHeight="1" x14ac:dyDescent="0.35">
      <c r="A393" t="s">
        <v>1628</v>
      </c>
      <c r="B393" t="s">
        <v>1629</v>
      </c>
      <c r="C393" t="s">
        <v>23</v>
      </c>
      <c r="D393" t="s">
        <v>24</v>
      </c>
      <c r="E393" t="s">
        <v>224</v>
      </c>
      <c r="F393" t="s">
        <v>1630</v>
      </c>
      <c r="G393" t="s">
        <v>1631</v>
      </c>
      <c r="H393" t="s">
        <v>38</v>
      </c>
      <c r="I393" t="s">
        <v>31</v>
      </c>
      <c r="J393" t="s">
        <v>38</v>
      </c>
      <c r="K393" t="s">
        <v>31</v>
      </c>
      <c r="L393" t="s">
        <v>38</v>
      </c>
      <c r="M393" t="s">
        <v>31</v>
      </c>
      <c r="N393">
        <v>225</v>
      </c>
      <c r="O393">
        <v>211</v>
      </c>
      <c r="P393">
        <v>210</v>
      </c>
      <c r="Q393">
        <v>646</v>
      </c>
      <c r="R393" s="15">
        <v>44670</v>
      </c>
      <c r="S393" t="s">
        <v>38</v>
      </c>
      <c r="T393" t="s">
        <v>31</v>
      </c>
      <c r="U393">
        <v>93751</v>
      </c>
    </row>
    <row r="394" spans="1:21" ht="14.25" customHeight="1" x14ac:dyDescent="0.35">
      <c r="A394" t="s">
        <v>1632</v>
      </c>
      <c r="B394" t="s">
        <v>1633</v>
      </c>
      <c r="C394" t="s">
        <v>23</v>
      </c>
      <c r="D394" t="s">
        <v>24</v>
      </c>
      <c r="E394" t="s">
        <v>390</v>
      </c>
      <c r="F394" t="s">
        <v>1634</v>
      </c>
      <c r="G394" t="s">
        <v>1635</v>
      </c>
      <c r="H394" t="s">
        <v>28</v>
      </c>
      <c r="I394" t="s">
        <v>29</v>
      </c>
      <c r="J394" t="s">
        <v>30</v>
      </c>
      <c r="K394" t="s">
        <v>31</v>
      </c>
      <c r="L394" t="s">
        <v>38</v>
      </c>
      <c r="M394" t="s">
        <v>31</v>
      </c>
      <c r="N394">
        <v>500</v>
      </c>
      <c r="O394">
        <v>300</v>
      </c>
      <c r="P394">
        <v>261</v>
      </c>
      <c r="Q394">
        <v>1061</v>
      </c>
      <c r="R394" s="15">
        <v>44670</v>
      </c>
      <c r="S394" t="s">
        <v>32</v>
      </c>
      <c r="T394" t="s">
        <v>29</v>
      </c>
      <c r="U394">
        <v>91440</v>
      </c>
    </row>
    <row r="395" spans="1:21" ht="14.25" customHeight="1" x14ac:dyDescent="0.35">
      <c r="A395" t="s">
        <v>1636</v>
      </c>
      <c r="B395" t="s">
        <v>1637</v>
      </c>
      <c r="C395" t="s">
        <v>23</v>
      </c>
      <c r="D395" t="s">
        <v>24</v>
      </c>
      <c r="E395" t="s">
        <v>1101</v>
      </c>
      <c r="F395" t="s">
        <v>1638</v>
      </c>
      <c r="G395" t="s">
        <v>1639</v>
      </c>
      <c r="H395" t="s">
        <v>28</v>
      </c>
      <c r="I395" t="s">
        <v>29</v>
      </c>
      <c r="J395" t="s">
        <v>30</v>
      </c>
      <c r="K395" t="s">
        <v>31</v>
      </c>
      <c r="L395" t="s">
        <v>32</v>
      </c>
      <c r="M395" t="s">
        <v>29</v>
      </c>
      <c r="N395">
        <v>520</v>
      </c>
      <c r="O395">
        <v>330</v>
      </c>
      <c r="P395">
        <v>400</v>
      </c>
      <c r="Q395">
        <v>1250</v>
      </c>
      <c r="R395" s="15">
        <v>44723</v>
      </c>
      <c r="S395" t="s">
        <v>28</v>
      </c>
      <c r="T395" t="s">
        <v>29</v>
      </c>
      <c r="U395">
        <v>101829</v>
      </c>
    </row>
    <row r="396" spans="1:21" ht="14.25" customHeight="1" x14ac:dyDescent="0.35">
      <c r="A396" t="s">
        <v>1640</v>
      </c>
      <c r="B396" t="s">
        <v>1641</v>
      </c>
      <c r="C396" t="s">
        <v>23</v>
      </c>
      <c r="D396" t="s">
        <v>24</v>
      </c>
      <c r="E396" t="s">
        <v>76</v>
      </c>
      <c r="F396" t="s">
        <v>1642</v>
      </c>
      <c r="G396" t="s">
        <v>1643</v>
      </c>
      <c r="H396" t="s">
        <v>28</v>
      </c>
      <c r="I396" t="s">
        <v>29</v>
      </c>
      <c r="J396" t="s">
        <v>30</v>
      </c>
      <c r="K396" t="s">
        <v>31</v>
      </c>
      <c r="L396" t="s">
        <v>30</v>
      </c>
      <c r="M396" t="s">
        <v>31</v>
      </c>
      <c r="N396">
        <v>500</v>
      </c>
      <c r="O396">
        <v>305</v>
      </c>
      <c r="P396">
        <v>305</v>
      </c>
      <c r="Q396">
        <v>1110</v>
      </c>
      <c r="R396" s="15">
        <v>44668</v>
      </c>
      <c r="S396" t="s">
        <v>32</v>
      </c>
      <c r="T396" t="s">
        <v>29</v>
      </c>
      <c r="U396">
        <v>874766</v>
      </c>
    </row>
    <row r="397" spans="1:21" ht="14.25" customHeight="1" x14ac:dyDescent="0.35">
      <c r="A397" t="s">
        <v>1644</v>
      </c>
      <c r="B397" t="s">
        <v>1645</v>
      </c>
      <c r="C397" t="s">
        <v>23</v>
      </c>
      <c r="D397" t="s">
        <v>24</v>
      </c>
      <c r="E397" t="s">
        <v>96</v>
      </c>
      <c r="F397" t="s">
        <v>1646</v>
      </c>
      <c r="G397" t="s">
        <v>1647</v>
      </c>
      <c r="H397" t="s">
        <v>38</v>
      </c>
      <c r="I397" t="s">
        <v>31</v>
      </c>
      <c r="J397" t="s">
        <v>38</v>
      </c>
      <c r="K397" t="s">
        <v>31</v>
      </c>
      <c r="L397" t="s">
        <v>38</v>
      </c>
      <c r="M397" t="s">
        <v>31</v>
      </c>
      <c r="N397">
        <v>200</v>
      </c>
      <c r="O397">
        <v>200</v>
      </c>
      <c r="P397">
        <v>200</v>
      </c>
      <c r="Q397">
        <v>600</v>
      </c>
      <c r="R397" s="15">
        <v>44670</v>
      </c>
      <c r="S397" t="s">
        <v>38</v>
      </c>
      <c r="T397" t="s">
        <v>31</v>
      </c>
      <c r="U397">
        <v>1385157</v>
      </c>
    </row>
    <row r="398" spans="1:21" ht="14.25" customHeight="1" x14ac:dyDescent="0.35">
      <c r="A398" t="s">
        <v>1648</v>
      </c>
      <c r="B398" t="s">
        <v>1649</v>
      </c>
      <c r="C398" t="s">
        <v>23</v>
      </c>
      <c r="D398" t="s">
        <v>24</v>
      </c>
      <c r="E398" t="s">
        <v>124</v>
      </c>
      <c r="F398" t="s">
        <v>1650</v>
      </c>
      <c r="G398" t="s">
        <v>1651</v>
      </c>
      <c r="H398" t="s">
        <v>38</v>
      </c>
      <c r="I398" t="s">
        <v>31</v>
      </c>
      <c r="J398" t="s">
        <v>38</v>
      </c>
      <c r="K398" t="s">
        <v>31</v>
      </c>
      <c r="L398" t="s">
        <v>38</v>
      </c>
      <c r="M398" t="s">
        <v>31</v>
      </c>
      <c r="N398">
        <v>200</v>
      </c>
      <c r="O398">
        <v>200</v>
      </c>
      <c r="P398">
        <v>200</v>
      </c>
      <c r="Q398">
        <v>600</v>
      </c>
      <c r="R398" s="15">
        <v>44670</v>
      </c>
      <c r="S398" t="s">
        <v>38</v>
      </c>
      <c r="T398" t="s">
        <v>31</v>
      </c>
      <c r="U398">
        <v>96943</v>
      </c>
    </row>
    <row r="399" spans="1:21" ht="14.25" customHeight="1" x14ac:dyDescent="0.35">
      <c r="A399" t="s">
        <v>1652</v>
      </c>
      <c r="B399" t="s">
        <v>1653</v>
      </c>
      <c r="C399" t="s">
        <v>23</v>
      </c>
      <c r="D399" t="s">
        <v>24</v>
      </c>
      <c r="E399" t="s">
        <v>138</v>
      </c>
      <c r="F399" t="s">
        <v>1654</v>
      </c>
      <c r="G399" t="s">
        <v>1655</v>
      </c>
      <c r="H399" t="s">
        <v>32</v>
      </c>
      <c r="I399" t="s">
        <v>29</v>
      </c>
      <c r="J399" t="s">
        <v>30</v>
      </c>
      <c r="K399" t="s">
        <v>31</v>
      </c>
      <c r="L399" t="s">
        <v>30</v>
      </c>
      <c r="M399" t="s">
        <v>31</v>
      </c>
      <c r="N399">
        <v>480</v>
      </c>
      <c r="O399">
        <v>308</v>
      </c>
      <c r="P399">
        <v>300</v>
      </c>
      <c r="Q399">
        <v>1088</v>
      </c>
      <c r="R399" s="15">
        <v>44723</v>
      </c>
      <c r="S399" t="s">
        <v>32</v>
      </c>
      <c r="T399" t="s">
        <v>29</v>
      </c>
      <c r="U399">
        <v>92230</v>
      </c>
    </row>
    <row r="400" spans="1:21" ht="14.25" customHeight="1" x14ac:dyDescent="0.35">
      <c r="A400" t="s">
        <v>1656</v>
      </c>
      <c r="B400" t="s">
        <v>1657</v>
      </c>
      <c r="C400" t="s">
        <v>23</v>
      </c>
      <c r="D400" t="s">
        <v>24</v>
      </c>
      <c r="E400" t="s">
        <v>96</v>
      </c>
      <c r="F400" t="s">
        <v>1658</v>
      </c>
      <c r="G400" t="s">
        <v>1659</v>
      </c>
      <c r="H400" t="s">
        <v>28</v>
      </c>
      <c r="I400" t="s">
        <v>29</v>
      </c>
      <c r="J400" t="s">
        <v>30</v>
      </c>
      <c r="K400" t="s">
        <v>31</v>
      </c>
      <c r="L400" t="s">
        <v>30</v>
      </c>
      <c r="M400" t="s">
        <v>31</v>
      </c>
      <c r="N400">
        <v>500</v>
      </c>
      <c r="O400">
        <v>300</v>
      </c>
      <c r="P400">
        <v>300</v>
      </c>
      <c r="Q400">
        <v>1100</v>
      </c>
      <c r="R400" s="15">
        <v>44670</v>
      </c>
      <c r="S400" t="s">
        <v>32</v>
      </c>
      <c r="T400" t="s">
        <v>29</v>
      </c>
      <c r="U400">
        <v>1094285</v>
      </c>
    </row>
    <row r="401" spans="1:21" ht="14.25" customHeight="1" x14ac:dyDescent="0.35">
      <c r="A401" t="s">
        <v>1660</v>
      </c>
      <c r="B401" t="s">
        <v>1661</v>
      </c>
      <c r="C401" t="s">
        <v>23</v>
      </c>
      <c r="D401" t="s">
        <v>24</v>
      </c>
      <c r="E401" t="s">
        <v>596</v>
      </c>
      <c r="F401" t="s">
        <v>1662</v>
      </c>
      <c r="G401" t="s">
        <v>1663</v>
      </c>
      <c r="H401" t="s">
        <v>28</v>
      </c>
      <c r="I401" t="s">
        <v>29</v>
      </c>
      <c r="J401" t="s">
        <v>30</v>
      </c>
      <c r="K401" t="s">
        <v>31</v>
      </c>
      <c r="L401" t="s">
        <v>30</v>
      </c>
      <c r="M401" t="s">
        <v>31</v>
      </c>
      <c r="N401">
        <v>550</v>
      </c>
      <c r="O401">
        <v>342</v>
      </c>
      <c r="P401">
        <v>313</v>
      </c>
      <c r="Q401">
        <v>1205</v>
      </c>
      <c r="R401" s="15">
        <v>44670</v>
      </c>
      <c r="S401" t="s">
        <v>28</v>
      </c>
      <c r="T401" t="s">
        <v>29</v>
      </c>
      <c r="U401">
        <v>27419</v>
      </c>
    </row>
    <row r="402" spans="1:21" ht="14.25" customHeight="1" x14ac:dyDescent="0.35">
      <c r="A402" t="s">
        <v>1664</v>
      </c>
      <c r="B402" t="s">
        <v>1665</v>
      </c>
      <c r="C402" t="s">
        <v>23</v>
      </c>
      <c r="D402" t="s">
        <v>24</v>
      </c>
      <c r="E402" t="s">
        <v>596</v>
      </c>
      <c r="F402" t="s">
        <v>1666</v>
      </c>
      <c r="G402" t="s">
        <v>1667</v>
      </c>
      <c r="H402" t="s">
        <v>28</v>
      </c>
      <c r="I402" t="s">
        <v>29</v>
      </c>
      <c r="J402" t="s">
        <v>30</v>
      </c>
      <c r="K402" t="s">
        <v>31</v>
      </c>
      <c r="L402" t="s">
        <v>30</v>
      </c>
      <c r="M402" t="s">
        <v>31</v>
      </c>
      <c r="N402">
        <v>500</v>
      </c>
      <c r="O402">
        <v>300</v>
      </c>
      <c r="P402">
        <v>300</v>
      </c>
      <c r="Q402">
        <v>1100</v>
      </c>
      <c r="R402" s="15">
        <v>44670</v>
      </c>
      <c r="S402" t="s">
        <v>32</v>
      </c>
      <c r="T402" t="s">
        <v>29</v>
      </c>
      <c r="U402">
        <v>109198</v>
      </c>
    </row>
    <row r="403" spans="1:21" ht="14.25" customHeight="1" x14ac:dyDescent="0.35">
      <c r="A403" t="s">
        <v>1668</v>
      </c>
      <c r="B403" t="s">
        <v>1669</v>
      </c>
      <c r="C403" t="s">
        <v>23</v>
      </c>
      <c r="D403" t="s">
        <v>24</v>
      </c>
      <c r="E403" t="s">
        <v>1541</v>
      </c>
      <c r="F403" t="s">
        <v>1670</v>
      </c>
      <c r="G403" t="s">
        <v>1671</v>
      </c>
      <c r="H403" t="s">
        <v>32</v>
      </c>
      <c r="I403" t="s">
        <v>29</v>
      </c>
      <c r="J403" t="s">
        <v>30</v>
      </c>
      <c r="K403" t="s">
        <v>31</v>
      </c>
      <c r="L403" t="s">
        <v>30</v>
      </c>
      <c r="M403" t="s">
        <v>31</v>
      </c>
      <c r="N403">
        <v>483</v>
      </c>
      <c r="O403">
        <v>310</v>
      </c>
      <c r="P403">
        <v>300</v>
      </c>
      <c r="Q403">
        <v>1093</v>
      </c>
      <c r="R403" s="15">
        <v>44723</v>
      </c>
      <c r="S403" t="s">
        <v>32</v>
      </c>
      <c r="T403" t="s">
        <v>29</v>
      </c>
      <c r="U403">
        <v>1116132</v>
      </c>
    </row>
    <row r="404" spans="1:21" ht="14.25" customHeight="1" x14ac:dyDescent="0.35">
      <c r="A404" t="s">
        <v>1672</v>
      </c>
      <c r="B404" t="s">
        <v>1673</v>
      </c>
      <c r="C404" t="s">
        <v>23</v>
      </c>
      <c r="D404" t="s">
        <v>24</v>
      </c>
      <c r="E404" t="s">
        <v>76</v>
      </c>
      <c r="F404" t="s">
        <v>1674</v>
      </c>
      <c r="G404" t="s">
        <v>1675</v>
      </c>
      <c r="H404" t="s">
        <v>28</v>
      </c>
      <c r="I404" t="s">
        <v>29</v>
      </c>
      <c r="J404" t="s">
        <v>30</v>
      </c>
      <c r="K404" t="s">
        <v>31</v>
      </c>
      <c r="L404" t="s">
        <v>30</v>
      </c>
      <c r="M404" t="s">
        <v>31</v>
      </c>
      <c r="N404">
        <v>500</v>
      </c>
      <c r="O404">
        <v>300</v>
      </c>
      <c r="P404">
        <v>300</v>
      </c>
      <c r="Q404">
        <v>1100</v>
      </c>
      <c r="R404" s="15">
        <v>44769</v>
      </c>
      <c r="S404" t="s">
        <v>32</v>
      </c>
      <c r="T404" t="s">
        <v>29</v>
      </c>
      <c r="U404">
        <v>86312</v>
      </c>
    </row>
    <row r="405" spans="1:21" ht="14.25" customHeight="1" x14ac:dyDescent="0.35">
      <c r="A405" t="s">
        <v>1676</v>
      </c>
      <c r="B405" t="s">
        <v>1677</v>
      </c>
      <c r="C405" t="s">
        <v>23</v>
      </c>
      <c r="D405" t="s">
        <v>24</v>
      </c>
      <c r="E405" t="s">
        <v>133</v>
      </c>
      <c r="F405" t="s">
        <v>1678</v>
      </c>
      <c r="G405" t="s">
        <v>1679</v>
      </c>
      <c r="H405" t="s">
        <v>28</v>
      </c>
      <c r="I405" t="s">
        <v>29</v>
      </c>
      <c r="J405" t="s">
        <v>30</v>
      </c>
      <c r="K405" t="s">
        <v>31</v>
      </c>
      <c r="L405" t="s">
        <v>38</v>
      </c>
      <c r="M405" t="s">
        <v>31</v>
      </c>
      <c r="N405">
        <v>527</v>
      </c>
      <c r="O405">
        <v>332</v>
      </c>
      <c r="P405">
        <v>280</v>
      </c>
      <c r="Q405">
        <v>1139</v>
      </c>
      <c r="R405" s="15">
        <v>44670</v>
      </c>
      <c r="S405" t="s">
        <v>32</v>
      </c>
      <c r="T405" t="s">
        <v>29</v>
      </c>
      <c r="U405">
        <v>97745</v>
      </c>
    </row>
    <row r="406" spans="1:21" ht="14.25" customHeight="1" x14ac:dyDescent="0.35">
      <c r="A406" t="s">
        <v>1680</v>
      </c>
      <c r="B406" t="s">
        <v>1681</v>
      </c>
      <c r="C406" t="s">
        <v>23</v>
      </c>
      <c r="D406" t="s">
        <v>24</v>
      </c>
      <c r="E406" t="s">
        <v>86</v>
      </c>
      <c r="F406" t="s">
        <v>1682</v>
      </c>
      <c r="G406" t="s">
        <v>1683</v>
      </c>
      <c r="H406" t="s">
        <v>599</v>
      </c>
      <c r="I406" t="s">
        <v>600</v>
      </c>
      <c r="J406" t="s">
        <v>30</v>
      </c>
      <c r="K406" t="s">
        <v>31</v>
      </c>
      <c r="L406" t="s">
        <v>30</v>
      </c>
      <c r="M406" t="s">
        <v>31</v>
      </c>
      <c r="N406">
        <v>700</v>
      </c>
      <c r="O406">
        <v>389</v>
      </c>
      <c r="P406">
        <v>320</v>
      </c>
      <c r="Q406">
        <v>1409</v>
      </c>
      <c r="R406" s="15">
        <v>44723</v>
      </c>
      <c r="S406" t="s">
        <v>28</v>
      </c>
      <c r="T406" t="s">
        <v>29</v>
      </c>
      <c r="U406">
        <v>1466258</v>
      </c>
    </row>
    <row r="407" spans="1:21" ht="14.25" customHeight="1" x14ac:dyDescent="0.35">
      <c r="A407" t="s">
        <v>1684</v>
      </c>
      <c r="B407" t="s">
        <v>1685</v>
      </c>
      <c r="C407" t="s">
        <v>23</v>
      </c>
      <c r="D407" t="s">
        <v>24</v>
      </c>
      <c r="E407" t="s">
        <v>415</v>
      </c>
      <c r="F407" t="s">
        <v>1686</v>
      </c>
      <c r="G407" t="s">
        <v>1687</v>
      </c>
      <c r="H407" t="s">
        <v>28</v>
      </c>
      <c r="I407" t="s">
        <v>29</v>
      </c>
      <c r="J407" t="s">
        <v>30</v>
      </c>
      <c r="K407" t="s">
        <v>31</v>
      </c>
      <c r="L407" t="s">
        <v>30</v>
      </c>
      <c r="M407" t="s">
        <v>31</v>
      </c>
      <c r="N407">
        <v>530</v>
      </c>
      <c r="O407">
        <v>374</v>
      </c>
      <c r="P407">
        <v>340</v>
      </c>
      <c r="Q407">
        <v>1244</v>
      </c>
      <c r="R407" s="15">
        <v>44670</v>
      </c>
      <c r="S407" t="s">
        <v>28</v>
      </c>
      <c r="T407" t="s">
        <v>29</v>
      </c>
      <c r="U407">
        <v>100493</v>
      </c>
    </row>
    <row r="408" spans="1:21" ht="14.25" customHeight="1" x14ac:dyDescent="0.35">
      <c r="A408" t="s">
        <v>1688</v>
      </c>
      <c r="B408" t="s">
        <v>1689</v>
      </c>
      <c r="C408" t="s">
        <v>23</v>
      </c>
      <c r="D408" t="s">
        <v>24</v>
      </c>
      <c r="E408" t="s">
        <v>91</v>
      </c>
      <c r="F408" t="s">
        <v>1690</v>
      </c>
      <c r="G408" t="s">
        <v>1691</v>
      </c>
      <c r="H408" t="s">
        <v>32</v>
      </c>
      <c r="I408" t="s">
        <v>29</v>
      </c>
      <c r="J408" t="s">
        <v>30</v>
      </c>
      <c r="K408" t="s">
        <v>31</v>
      </c>
      <c r="L408" t="s">
        <v>30</v>
      </c>
      <c r="M408" t="s">
        <v>31</v>
      </c>
      <c r="N408">
        <v>400</v>
      </c>
      <c r="O408">
        <v>306</v>
      </c>
      <c r="P408">
        <v>305</v>
      </c>
      <c r="Q408">
        <v>1011</v>
      </c>
      <c r="R408" s="15">
        <v>44670</v>
      </c>
      <c r="S408" t="s">
        <v>32</v>
      </c>
      <c r="T408" t="s">
        <v>29</v>
      </c>
      <c r="U408">
        <v>860731</v>
      </c>
    </row>
    <row r="409" spans="1:21" ht="14.25" customHeight="1" x14ac:dyDescent="0.35">
      <c r="A409" t="s">
        <v>1692</v>
      </c>
      <c r="B409" t="s">
        <v>1693</v>
      </c>
      <c r="C409" t="s">
        <v>23</v>
      </c>
      <c r="D409" t="s">
        <v>24</v>
      </c>
      <c r="E409" t="s">
        <v>1101</v>
      </c>
      <c r="F409" t="s">
        <v>1694</v>
      </c>
      <c r="G409" t="s">
        <v>1695</v>
      </c>
      <c r="H409" t="s">
        <v>28</v>
      </c>
      <c r="I409" t="s">
        <v>29</v>
      </c>
      <c r="J409" t="s">
        <v>30</v>
      </c>
      <c r="K409" t="s">
        <v>31</v>
      </c>
      <c r="L409" t="s">
        <v>38</v>
      </c>
      <c r="M409" t="s">
        <v>31</v>
      </c>
      <c r="N409">
        <v>500</v>
      </c>
      <c r="O409">
        <v>300</v>
      </c>
      <c r="P409">
        <v>200</v>
      </c>
      <c r="Q409">
        <v>1000</v>
      </c>
      <c r="R409" s="15">
        <v>44821</v>
      </c>
      <c r="S409" t="s">
        <v>32</v>
      </c>
      <c r="T409" t="s">
        <v>29</v>
      </c>
      <c r="U409">
        <v>217346</v>
      </c>
    </row>
    <row r="410" spans="1:21" ht="14.25" customHeight="1" x14ac:dyDescent="0.35">
      <c r="A410" t="s">
        <v>1696</v>
      </c>
      <c r="B410" t="s">
        <v>1697</v>
      </c>
      <c r="C410" t="s">
        <v>23</v>
      </c>
      <c r="D410" t="s">
        <v>24</v>
      </c>
      <c r="E410" t="s">
        <v>124</v>
      </c>
      <c r="F410" t="s">
        <v>1698</v>
      </c>
      <c r="G410" t="s">
        <v>1699</v>
      </c>
      <c r="H410" t="s">
        <v>28</v>
      </c>
      <c r="I410" t="s">
        <v>29</v>
      </c>
      <c r="J410" t="s">
        <v>30</v>
      </c>
      <c r="K410" t="s">
        <v>31</v>
      </c>
      <c r="L410" t="s">
        <v>30</v>
      </c>
      <c r="M410" t="s">
        <v>31</v>
      </c>
      <c r="N410">
        <v>500</v>
      </c>
      <c r="O410">
        <v>300</v>
      </c>
      <c r="P410">
        <v>300</v>
      </c>
      <c r="Q410">
        <v>1100</v>
      </c>
      <c r="R410" s="15">
        <v>44670</v>
      </c>
      <c r="S410" t="s">
        <v>32</v>
      </c>
      <c r="T410" t="s">
        <v>29</v>
      </c>
      <c r="U410">
        <v>731766</v>
      </c>
    </row>
    <row r="411" spans="1:21" ht="14.25" customHeight="1" x14ac:dyDescent="0.35">
      <c r="A411" t="s">
        <v>1700</v>
      </c>
      <c r="B411" t="s">
        <v>1701</v>
      </c>
      <c r="C411" t="s">
        <v>23</v>
      </c>
      <c r="D411" t="s">
        <v>24</v>
      </c>
      <c r="E411" t="s">
        <v>99</v>
      </c>
      <c r="F411" t="s">
        <v>1702</v>
      </c>
      <c r="G411" t="s">
        <v>1703</v>
      </c>
      <c r="H411" t="s">
        <v>28</v>
      </c>
      <c r="I411" t="s">
        <v>29</v>
      </c>
      <c r="J411" t="s">
        <v>30</v>
      </c>
      <c r="K411" t="s">
        <v>31</v>
      </c>
      <c r="L411" t="s">
        <v>38</v>
      </c>
      <c r="M411" t="s">
        <v>31</v>
      </c>
      <c r="N411">
        <v>540</v>
      </c>
      <c r="O411">
        <v>374</v>
      </c>
      <c r="P411">
        <v>245</v>
      </c>
      <c r="Q411">
        <v>1159</v>
      </c>
      <c r="R411" s="15">
        <v>44670</v>
      </c>
      <c r="S411" t="s">
        <v>32</v>
      </c>
      <c r="T411" t="s">
        <v>29</v>
      </c>
      <c r="U411">
        <v>1090727</v>
      </c>
    </row>
    <row r="412" spans="1:21" ht="14.25" customHeight="1" x14ac:dyDescent="0.35">
      <c r="A412" t="s">
        <v>1704</v>
      </c>
      <c r="B412" t="s">
        <v>1705</v>
      </c>
      <c r="C412" t="s">
        <v>23</v>
      </c>
      <c r="D412" t="s">
        <v>24</v>
      </c>
      <c r="E412" t="s">
        <v>321</v>
      </c>
      <c r="F412" t="s">
        <v>1706</v>
      </c>
      <c r="G412" t="s">
        <v>1707</v>
      </c>
      <c r="H412" t="s">
        <v>38</v>
      </c>
      <c r="I412" t="s">
        <v>31</v>
      </c>
      <c r="J412" t="s">
        <v>30</v>
      </c>
      <c r="K412" t="s">
        <v>31</v>
      </c>
      <c r="L412" t="s">
        <v>38</v>
      </c>
      <c r="M412" t="s">
        <v>31</v>
      </c>
      <c r="N412">
        <v>225</v>
      </c>
      <c r="O412">
        <v>301</v>
      </c>
      <c r="P412">
        <v>215</v>
      </c>
      <c r="Q412">
        <v>741</v>
      </c>
      <c r="R412" s="15">
        <v>44670</v>
      </c>
      <c r="S412" t="s">
        <v>38</v>
      </c>
      <c r="T412" t="s">
        <v>31</v>
      </c>
      <c r="U412">
        <v>74208</v>
      </c>
    </row>
    <row r="413" spans="1:21" ht="14.25" customHeight="1" x14ac:dyDescent="0.35">
      <c r="A413" t="s">
        <v>1708</v>
      </c>
      <c r="B413" t="s">
        <v>1709</v>
      </c>
      <c r="C413" t="s">
        <v>23</v>
      </c>
      <c r="D413" t="s">
        <v>24</v>
      </c>
      <c r="E413" t="s">
        <v>124</v>
      </c>
      <c r="F413" t="s">
        <v>1710</v>
      </c>
      <c r="G413" t="s">
        <v>1711</v>
      </c>
      <c r="H413" t="s">
        <v>28</v>
      </c>
      <c r="I413" t="s">
        <v>29</v>
      </c>
      <c r="J413" t="s">
        <v>30</v>
      </c>
      <c r="K413" t="s">
        <v>31</v>
      </c>
      <c r="L413" t="s">
        <v>30</v>
      </c>
      <c r="M413" t="s">
        <v>31</v>
      </c>
      <c r="N413">
        <v>560</v>
      </c>
      <c r="O413">
        <v>320</v>
      </c>
      <c r="P413">
        <v>338</v>
      </c>
      <c r="Q413">
        <v>1218</v>
      </c>
      <c r="R413" s="15">
        <v>44670</v>
      </c>
      <c r="S413" t="s">
        <v>28</v>
      </c>
      <c r="T413" t="s">
        <v>29</v>
      </c>
      <c r="U413">
        <v>352915</v>
      </c>
    </row>
    <row r="414" spans="1:21" ht="14.25" customHeight="1" x14ac:dyDescent="0.35">
      <c r="A414" t="s">
        <v>1712</v>
      </c>
      <c r="B414" t="s">
        <v>1713</v>
      </c>
      <c r="C414" t="s">
        <v>23</v>
      </c>
      <c r="D414" t="s">
        <v>24</v>
      </c>
      <c r="E414" t="s">
        <v>258</v>
      </c>
      <c r="F414" t="s">
        <v>1714</v>
      </c>
      <c r="G414" t="s">
        <v>1715</v>
      </c>
      <c r="H414" t="s">
        <v>28</v>
      </c>
      <c r="I414" t="s">
        <v>29</v>
      </c>
      <c r="J414" t="s">
        <v>30</v>
      </c>
      <c r="K414" t="s">
        <v>31</v>
      </c>
      <c r="L414" t="s">
        <v>30</v>
      </c>
      <c r="M414" t="s">
        <v>31</v>
      </c>
      <c r="N414">
        <v>515</v>
      </c>
      <c r="O414">
        <v>379</v>
      </c>
      <c r="P414">
        <v>315</v>
      </c>
      <c r="Q414">
        <v>1209</v>
      </c>
      <c r="R414" s="15">
        <v>44669</v>
      </c>
      <c r="S414" t="s">
        <v>28</v>
      </c>
      <c r="T414" t="s">
        <v>29</v>
      </c>
      <c r="U414">
        <v>1285785</v>
      </c>
    </row>
    <row r="415" spans="1:21" ht="14.25" customHeight="1" x14ac:dyDescent="0.35">
      <c r="A415" t="s">
        <v>1716</v>
      </c>
      <c r="B415" t="s">
        <v>1717</v>
      </c>
      <c r="C415" t="s">
        <v>23</v>
      </c>
      <c r="D415" t="s">
        <v>24</v>
      </c>
      <c r="E415" t="s">
        <v>138</v>
      </c>
      <c r="F415" t="s">
        <v>1718</v>
      </c>
      <c r="G415" t="s">
        <v>1719</v>
      </c>
      <c r="H415" t="s">
        <v>30</v>
      </c>
      <c r="I415" t="s">
        <v>31</v>
      </c>
      <c r="J415" t="s">
        <v>30</v>
      </c>
      <c r="K415" t="s">
        <v>31</v>
      </c>
      <c r="L415" t="s">
        <v>30</v>
      </c>
      <c r="M415" t="s">
        <v>31</v>
      </c>
      <c r="N415">
        <v>336</v>
      </c>
      <c r="O415">
        <v>317</v>
      </c>
      <c r="P415">
        <v>300</v>
      </c>
      <c r="Q415">
        <v>953</v>
      </c>
      <c r="R415" s="15">
        <v>44670</v>
      </c>
      <c r="S415" t="s">
        <v>32</v>
      </c>
      <c r="T415" t="s">
        <v>29</v>
      </c>
      <c r="U415">
        <v>36104</v>
      </c>
    </row>
    <row r="416" spans="1:21" ht="14.25" customHeight="1" x14ac:dyDescent="0.35">
      <c r="A416" t="s">
        <v>1720</v>
      </c>
      <c r="B416" t="s">
        <v>1721</v>
      </c>
      <c r="C416" t="s">
        <v>23</v>
      </c>
      <c r="D416" t="s">
        <v>24</v>
      </c>
      <c r="E416" t="s">
        <v>41</v>
      </c>
      <c r="F416" t="s">
        <v>1722</v>
      </c>
      <c r="G416" t="s">
        <v>1723</v>
      </c>
      <c r="H416" t="s">
        <v>32</v>
      </c>
      <c r="I416" t="s">
        <v>29</v>
      </c>
      <c r="J416" t="s">
        <v>30</v>
      </c>
      <c r="K416" t="s">
        <v>31</v>
      </c>
      <c r="L416" t="s">
        <v>30</v>
      </c>
      <c r="M416" t="s">
        <v>31</v>
      </c>
      <c r="N416">
        <v>472</v>
      </c>
      <c r="O416">
        <v>318</v>
      </c>
      <c r="P416">
        <v>300</v>
      </c>
      <c r="Q416">
        <v>1090</v>
      </c>
      <c r="R416" s="15">
        <v>44670</v>
      </c>
      <c r="S416" t="s">
        <v>32</v>
      </c>
      <c r="T416" t="s">
        <v>29</v>
      </c>
      <c r="U416">
        <v>1067701</v>
      </c>
    </row>
    <row r="417" spans="1:21" ht="14.25" customHeight="1" x14ac:dyDescent="0.35">
      <c r="A417" t="s">
        <v>1724</v>
      </c>
      <c r="B417" t="s">
        <v>1725</v>
      </c>
      <c r="C417" t="s">
        <v>23</v>
      </c>
      <c r="D417" t="s">
        <v>24</v>
      </c>
      <c r="E417" t="s">
        <v>321</v>
      </c>
      <c r="F417" t="s">
        <v>1726</v>
      </c>
      <c r="G417" t="s">
        <v>1727</v>
      </c>
      <c r="H417" t="s">
        <v>28</v>
      </c>
      <c r="I417" t="s">
        <v>29</v>
      </c>
      <c r="J417" t="s">
        <v>30</v>
      </c>
      <c r="K417" t="s">
        <v>31</v>
      </c>
      <c r="L417" t="s">
        <v>30</v>
      </c>
      <c r="M417" t="s">
        <v>31</v>
      </c>
      <c r="N417">
        <v>540</v>
      </c>
      <c r="O417">
        <v>326</v>
      </c>
      <c r="P417">
        <v>325</v>
      </c>
      <c r="Q417">
        <v>1191</v>
      </c>
      <c r="R417" s="15">
        <v>44670</v>
      </c>
      <c r="S417" t="s">
        <v>32</v>
      </c>
      <c r="T417" t="s">
        <v>29</v>
      </c>
      <c r="U417">
        <v>899689</v>
      </c>
    </row>
    <row r="418" spans="1:21" ht="14.25" customHeight="1" x14ac:dyDescent="0.35">
      <c r="A418" t="s">
        <v>1728</v>
      </c>
      <c r="B418" t="s">
        <v>1729</v>
      </c>
      <c r="C418" t="s">
        <v>23</v>
      </c>
      <c r="D418" t="s">
        <v>24</v>
      </c>
      <c r="E418" t="s">
        <v>607</v>
      </c>
      <c r="F418" t="s">
        <v>1730</v>
      </c>
      <c r="G418" t="s">
        <v>1731</v>
      </c>
      <c r="H418" t="s">
        <v>599</v>
      </c>
      <c r="I418" t="s">
        <v>600</v>
      </c>
      <c r="J418" t="s">
        <v>30</v>
      </c>
      <c r="K418" t="s">
        <v>31</v>
      </c>
      <c r="L418" t="s">
        <v>30</v>
      </c>
      <c r="M418" t="s">
        <v>31</v>
      </c>
      <c r="N418">
        <v>608</v>
      </c>
      <c r="O418">
        <v>307</v>
      </c>
      <c r="P418">
        <v>330</v>
      </c>
      <c r="Q418">
        <v>1245</v>
      </c>
      <c r="R418" s="15">
        <v>44670</v>
      </c>
      <c r="S418" t="s">
        <v>28</v>
      </c>
      <c r="T418" t="s">
        <v>29</v>
      </c>
      <c r="U418">
        <v>1035002</v>
      </c>
    </row>
    <row r="419" spans="1:21" ht="14.25" customHeight="1" x14ac:dyDescent="0.35">
      <c r="A419" t="s">
        <v>1732</v>
      </c>
      <c r="B419" t="s">
        <v>1733</v>
      </c>
      <c r="C419" t="s">
        <v>23</v>
      </c>
      <c r="D419" t="s">
        <v>24</v>
      </c>
      <c r="E419" t="s">
        <v>1541</v>
      </c>
      <c r="F419" t="s">
        <v>1734</v>
      </c>
      <c r="G419" t="s">
        <v>1735</v>
      </c>
      <c r="H419" t="s">
        <v>28</v>
      </c>
      <c r="I419" t="s">
        <v>29</v>
      </c>
      <c r="J419" t="s">
        <v>30</v>
      </c>
      <c r="K419" t="s">
        <v>31</v>
      </c>
      <c r="L419" t="s">
        <v>30</v>
      </c>
      <c r="M419" t="s">
        <v>31</v>
      </c>
      <c r="N419">
        <v>505</v>
      </c>
      <c r="O419">
        <v>301</v>
      </c>
      <c r="P419">
        <v>300</v>
      </c>
      <c r="Q419">
        <v>1106</v>
      </c>
      <c r="R419" s="15">
        <v>44670</v>
      </c>
      <c r="S419" t="s">
        <v>32</v>
      </c>
      <c r="T419" t="s">
        <v>29</v>
      </c>
      <c r="U419">
        <v>103379</v>
      </c>
    </row>
    <row r="420" spans="1:21" ht="14.25" customHeight="1" x14ac:dyDescent="0.35">
      <c r="A420" t="s">
        <v>1736</v>
      </c>
      <c r="B420" t="s">
        <v>1737</v>
      </c>
      <c r="C420" t="s">
        <v>23</v>
      </c>
      <c r="D420" t="s">
        <v>24</v>
      </c>
      <c r="E420" t="s">
        <v>91</v>
      </c>
      <c r="F420" t="s">
        <v>1738</v>
      </c>
      <c r="G420" t="s">
        <v>1739</v>
      </c>
      <c r="H420" t="s">
        <v>28</v>
      </c>
      <c r="I420" t="s">
        <v>29</v>
      </c>
      <c r="J420" t="s">
        <v>30</v>
      </c>
      <c r="K420" t="s">
        <v>31</v>
      </c>
      <c r="L420" t="s">
        <v>30</v>
      </c>
      <c r="M420" t="s">
        <v>31</v>
      </c>
      <c r="N420">
        <v>504</v>
      </c>
      <c r="O420">
        <v>368</v>
      </c>
      <c r="P420">
        <v>310</v>
      </c>
      <c r="Q420">
        <v>1182</v>
      </c>
      <c r="R420" s="15">
        <v>44670</v>
      </c>
      <c r="S420" t="s">
        <v>32</v>
      </c>
      <c r="T420" t="s">
        <v>29</v>
      </c>
      <c r="U420">
        <v>1403161</v>
      </c>
    </row>
    <row r="421" spans="1:21" ht="14.25" customHeight="1" x14ac:dyDescent="0.35">
      <c r="A421" t="s">
        <v>1740</v>
      </c>
      <c r="B421" t="s">
        <v>1741</v>
      </c>
      <c r="C421" t="s">
        <v>23</v>
      </c>
      <c r="D421" t="s">
        <v>24</v>
      </c>
      <c r="E421" t="s">
        <v>321</v>
      </c>
      <c r="F421" t="s">
        <v>1742</v>
      </c>
      <c r="G421" t="s">
        <v>1743</v>
      </c>
      <c r="H421" t="s">
        <v>28</v>
      </c>
      <c r="I421" t="s">
        <v>29</v>
      </c>
      <c r="J421" t="s">
        <v>30</v>
      </c>
      <c r="K421" t="s">
        <v>31</v>
      </c>
      <c r="L421" t="s">
        <v>30</v>
      </c>
      <c r="M421" t="s">
        <v>31</v>
      </c>
      <c r="N421">
        <v>500</v>
      </c>
      <c r="O421">
        <v>300</v>
      </c>
      <c r="P421">
        <v>300</v>
      </c>
      <c r="Q421">
        <v>1100</v>
      </c>
      <c r="R421" s="15">
        <v>44670</v>
      </c>
      <c r="S421" t="s">
        <v>32</v>
      </c>
      <c r="T421" t="s">
        <v>29</v>
      </c>
      <c r="U421">
        <v>740260</v>
      </c>
    </row>
    <row r="422" spans="1:21" ht="14.25" customHeight="1" x14ac:dyDescent="0.35">
      <c r="A422" t="s">
        <v>1744</v>
      </c>
      <c r="B422" t="s">
        <v>1745</v>
      </c>
      <c r="C422" t="s">
        <v>23</v>
      </c>
      <c r="D422" t="s">
        <v>24</v>
      </c>
      <c r="E422" t="s">
        <v>1524</v>
      </c>
      <c r="F422" t="s">
        <v>1746</v>
      </c>
      <c r="G422" t="s">
        <v>1747</v>
      </c>
      <c r="H422" t="s">
        <v>28</v>
      </c>
      <c r="I422" t="s">
        <v>29</v>
      </c>
      <c r="J422" t="s">
        <v>30</v>
      </c>
      <c r="K422" t="s">
        <v>31</v>
      </c>
      <c r="L422" t="s">
        <v>30</v>
      </c>
      <c r="M422" t="s">
        <v>31</v>
      </c>
      <c r="N422">
        <v>570</v>
      </c>
      <c r="O422">
        <v>319</v>
      </c>
      <c r="P422">
        <v>300</v>
      </c>
      <c r="Q422">
        <v>1189</v>
      </c>
      <c r="R422" s="15">
        <v>44670</v>
      </c>
      <c r="S422" t="s">
        <v>32</v>
      </c>
      <c r="T422" t="s">
        <v>29</v>
      </c>
      <c r="U422">
        <v>1396009</v>
      </c>
    </row>
    <row r="423" spans="1:21" ht="14.25" customHeight="1" x14ac:dyDescent="0.35">
      <c r="A423" t="s">
        <v>1748</v>
      </c>
      <c r="B423" t="s">
        <v>1749</v>
      </c>
      <c r="C423" t="s">
        <v>23</v>
      </c>
      <c r="D423" t="s">
        <v>24</v>
      </c>
      <c r="E423" t="s">
        <v>330</v>
      </c>
      <c r="F423" t="s">
        <v>1750</v>
      </c>
      <c r="G423" t="s">
        <v>1751</v>
      </c>
      <c r="H423" t="s">
        <v>599</v>
      </c>
      <c r="I423" t="s">
        <v>600</v>
      </c>
      <c r="J423" t="s">
        <v>32</v>
      </c>
      <c r="K423" t="s">
        <v>29</v>
      </c>
      <c r="L423" t="s">
        <v>30</v>
      </c>
      <c r="M423" t="s">
        <v>31</v>
      </c>
      <c r="N423">
        <v>635</v>
      </c>
      <c r="O423">
        <v>438</v>
      </c>
      <c r="P423">
        <v>300</v>
      </c>
      <c r="Q423">
        <v>1373</v>
      </c>
      <c r="R423" s="15">
        <v>44670</v>
      </c>
      <c r="S423" t="s">
        <v>28</v>
      </c>
      <c r="T423" t="s">
        <v>29</v>
      </c>
      <c r="U423">
        <v>783325</v>
      </c>
    </row>
    <row r="424" spans="1:21" ht="14.25" customHeight="1" x14ac:dyDescent="0.35">
      <c r="A424" t="s">
        <v>1752</v>
      </c>
      <c r="B424" t="s">
        <v>1753</v>
      </c>
      <c r="C424" t="s">
        <v>23</v>
      </c>
      <c r="D424" t="s">
        <v>24</v>
      </c>
      <c r="E424" t="s">
        <v>321</v>
      </c>
      <c r="F424" t="s">
        <v>1754</v>
      </c>
      <c r="G424" t="s">
        <v>1755</v>
      </c>
      <c r="H424" t="s">
        <v>32</v>
      </c>
      <c r="I424" t="s">
        <v>29</v>
      </c>
      <c r="J424" t="s">
        <v>30</v>
      </c>
      <c r="K424" t="s">
        <v>31</v>
      </c>
      <c r="L424" t="s">
        <v>30</v>
      </c>
      <c r="M424" t="s">
        <v>31</v>
      </c>
      <c r="N424">
        <v>437</v>
      </c>
      <c r="O424">
        <v>326</v>
      </c>
      <c r="P424">
        <v>300</v>
      </c>
      <c r="Q424">
        <v>1063</v>
      </c>
      <c r="R424" s="15">
        <v>44672</v>
      </c>
      <c r="S424" t="s">
        <v>32</v>
      </c>
      <c r="T424" t="s">
        <v>29</v>
      </c>
      <c r="U424">
        <v>766704</v>
      </c>
    </row>
    <row r="425" spans="1:21" ht="14.25" customHeight="1" x14ac:dyDescent="0.35">
      <c r="A425" t="s">
        <v>1756</v>
      </c>
      <c r="B425" t="s">
        <v>1757</v>
      </c>
      <c r="C425" t="s">
        <v>23</v>
      </c>
      <c r="D425" t="s">
        <v>24</v>
      </c>
      <c r="E425" t="s">
        <v>133</v>
      </c>
      <c r="F425" t="s">
        <v>1758</v>
      </c>
      <c r="G425" t="s">
        <v>1759</v>
      </c>
      <c r="H425" t="s">
        <v>38</v>
      </c>
      <c r="I425" t="s">
        <v>31</v>
      </c>
      <c r="J425" t="s">
        <v>38</v>
      </c>
      <c r="K425" t="s">
        <v>31</v>
      </c>
      <c r="L425" t="s">
        <v>38</v>
      </c>
      <c r="M425" t="s">
        <v>31</v>
      </c>
      <c r="N425">
        <v>270</v>
      </c>
      <c r="O425">
        <v>292</v>
      </c>
      <c r="P425">
        <v>235</v>
      </c>
      <c r="Q425">
        <v>797</v>
      </c>
      <c r="R425" s="15">
        <v>44670</v>
      </c>
      <c r="S425" t="s">
        <v>30</v>
      </c>
      <c r="T425" t="s">
        <v>31</v>
      </c>
      <c r="U425">
        <v>1000697</v>
      </c>
    </row>
    <row r="426" spans="1:21" ht="14.25" customHeight="1" x14ac:dyDescent="0.35">
      <c r="A426" t="s">
        <v>1760</v>
      </c>
      <c r="B426" t="s">
        <v>1761</v>
      </c>
      <c r="C426" t="s">
        <v>23</v>
      </c>
      <c r="D426" t="s">
        <v>24</v>
      </c>
      <c r="E426" t="s">
        <v>233</v>
      </c>
      <c r="F426" t="s">
        <v>1762</v>
      </c>
      <c r="G426" t="s">
        <v>1763</v>
      </c>
      <c r="H426" t="s">
        <v>599</v>
      </c>
      <c r="I426" t="s">
        <v>600</v>
      </c>
      <c r="J426" t="s">
        <v>32</v>
      </c>
      <c r="K426" t="s">
        <v>29</v>
      </c>
      <c r="L426" t="s">
        <v>38</v>
      </c>
      <c r="M426" t="s">
        <v>31</v>
      </c>
      <c r="N426">
        <v>613</v>
      </c>
      <c r="O426">
        <v>408</v>
      </c>
      <c r="P426">
        <v>285</v>
      </c>
      <c r="Q426">
        <v>1306</v>
      </c>
      <c r="R426" s="15">
        <v>44670</v>
      </c>
      <c r="S426" t="s">
        <v>28</v>
      </c>
      <c r="T426" t="s">
        <v>29</v>
      </c>
      <c r="U426">
        <v>823768</v>
      </c>
    </row>
    <row r="427" spans="1:21" ht="14.25" customHeight="1" x14ac:dyDescent="0.35">
      <c r="A427" t="s">
        <v>1764</v>
      </c>
      <c r="B427" t="s">
        <v>1765</v>
      </c>
      <c r="C427" t="s">
        <v>23</v>
      </c>
      <c r="D427" t="s">
        <v>24</v>
      </c>
      <c r="E427" t="s">
        <v>390</v>
      </c>
      <c r="F427" t="s">
        <v>1766</v>
      </c>
      <c r="G427" t="s">
        <v>1767</v>
      </c>
      <c r="H427" t="s">
        <v>599</v>
      </c>
      <c r="I427" t="s">
        <v>600</v>
      </c>
      <c r="J427" t="s">
        <v>30</v>
      </c>
      <c r="K427" t="s">
        <v>31</v>
      </c>
      <c r="L427" t="s">
        <v>30</v>
      </c>
      <c r="M427" t="s">
        <v>31</v>
      </c>
      <c r="N427">
        <v>607</v>
      </c>
      <c r="O427">
        <v>311</v>
      </c>
      <c r="P427">
        <v>320</v>
      </c>
      <c r="Q427">
        <v>1238</v>
      </c>
      <c r="R427" s="15">
        <v>44670</v>
      </c>
      <c r="S427" t="s">
        <v>28</v>
      </c>
      <c r="T427" t="s">
        <v>29</v>
      </c>
      <c r="U427">
        <v>943452</v>
      </c>
    </row>
    <row r="428" spans="1:21" ht="14.25" customHeight="1" x14ac:dyDescent="0.35">
      <c r="A428" t="s">
        <v>1768</v>
      </c>
      <c r="B428" t="s">
        <v>1769</v>
      </c>
      <c r="C428" t="s">
        <v>23</v>
      </c>
      <c r="D428" t="s">
        <v>24</v>
      </c>
      <c r="E428" t="s">
        <v>607</v>
      </c>
      <c r="F428" t="s">
        <v>1770</v>
      </c>
      <c r="G428" t="s">
        <v>1771</v>
      </c>
      <c r="H428" t="s">
        <v>28</v>
      </c>
      <c r="I428" t="s">
        <v>29</v>
      </c>
      <c r="J428" t="s">
        <v>30</v>
      </c>
      <c r="K428" t="s">
        <v>31</v>
      </c>
      <c r="L428" t="s">
        <v>30</v>
      </c>
      <c r="M428" t="s">
        <v>31</v>
      </c>
      <c r="N428">
        <v>500</v>
      </c>
      <c r="O428">
        <v>300</v>
      </c>
      <c r="P428">
        <v>300</v>
      </c>
      <c r="Q428">
        <v>1100</v>
      </c>
      <c r="R428" s="15">
        <v>44671</v>
      </c>
      <c r="S428" t="s">
        <v>32</v>
      </c>
      <c r="T428" t="s">
        <v>29</v>
      </c>
      <c r="U428">
        <v>107263</v>
      </c>
    </row>
    <row r="429" spans="1:21" ht="14.25" customHeight="1" x14ac:dyDescent="0.35">
      <c r="A429" t="s">
        <v>1772</v>
      </c>
      <c r="B429" t="s">
        <v>1773</v>
      </c>
      <c r="C429" t="s">
        <v>23</v>
      </c>
      <c r="D429" t="s">
        <v>24</v>
      </c>
      <c r="E429" t="s">
        <v>138</v>
      </c>
      <c r="F429" t="s">
        <v>1774</v>
      </c>
      <c r="G429" t="s">
        <v>1775</v>
      </c>
      <c r="H429" t="s">
        <v>28</v>
      </c>
      <c r="I429" t="s">
        <v>29</v>
      </c>
      <c r="J429" t="s">
        <v>30</v>
      </c>
      <c r="K429" t="s">
        <v>31</v>
      </c>
      <c r="L429" t="s">
        <v>30</v>
      </c>
      <c r="M429" t="s">
        <v>31</v>
      </c>
      <c r="N429">
        <v>500</v>
      </c>
      <c r="O429">
        <v>300</v>
      </c>
      <c r="P429">
        <v>300</v>
      </c>
      <c r="Q429">
        <v>1100</v>
      </c>
      <c r="R429" s="15">
        <v>44670</v>
      </c>
      <c r="S429" t="s">
        <v>32</v>
      </c>
      <c r="T429" t="s">
        <v>29</v>
      </c>
      <c r="U429">
        <v>72971</v>
      </c>
    </row>
    <row r="430" spans="1:21" ht="14.25" customHeight="1" x14ac:dyDescent="0.35">
      <c r="A430" t="s">
        <v>1776</v>
      </c>
      <c r="B430" t="s">
        <v>1777</v>
      </c>
      <c r="C430" t="s">
        <v>23</v>
      </c>
      <c r="D430" t="s">
        <v>24</v>
      </c>
      <c r="E430" t="s">
        <v>46</v>
      </c>
      <c r="F430" t="s">
        <v>1778</v>
      </c>
      <c r="G430" t="s">
        <v>1779</v>
      </c>
      <c r="H430" t="s">
        <v>28</v>
      </c>
      <c r="I430" t="s">
        <v>29</v>
      </c>
      <c r="J430" t="s">
        <v>30</v>
      </c>
      <c r="K430" t="s">
        <v>31</v>
      </c>
      <c r="L430" t="s">
        <v>30</v>
      </c>
      <c r="M430" t="s">
        <v>31</v>
      </c>
      <c r="N430">
        <v>500</v>
      </c>
      <c r="O430">
        <v>301</v>
      </c>
      <c r="P430">
        <v>300</v>
      </c>
      <c r="Q430">
        <v>1101</v>
      </c>
      <c r="R430" s="15">
        <v>44671</v>
      </c>
      <c r="S430" t="s">
        <v>32</v>
      </c>
      <c r="T430" t="s">
        <v>29</v>
      </c>
      <c r="U430">
        <v>106640</v>
      </c>
    </row>
    <row r="431" spans="1:21" ht="14.25" customHeight="1" x14ac:dyDescent="0.35">
      <c r="A431" t="s">
        <v>1780</v>
      </c>
      <c r="B431" t="s">
        <v>1781</v>
      </c>
      <c r="C431" t="s">
        <v>23</v>
      </c>
      <c r="D431" t="s">
        <v>24</v>
      </c>
      <c r="E431" t="s">
        <v>133</v>
      </c>
      <c r="F431" t="s">
        <v>1782</v>
      </c>
      <c r="G431" t="s">
        <v>1783</v>
      </c>
      <c r="H431" t="s">
        <v>28</v>
      </c>
      <c r="I431" t="s">
        <v>29</v>
      </c>
      <c r="J431" t="s">
        <v>30</v>
      </c>
      <c r="K431" t="s">
        <v>31</v>
      </c>
      <c r="L431" t="s">
        <v>30</v>
      </c>
      <c r="M431" t="s">
        <v>31</v>
      </c>
      <c r="N431">
        <v>540</v>
      </c>
      <c r="O431">
        <v>330</v>
      </c>
      <c r="P431">
        <v>305</v>
      </c>
      <c r="Q431">
        <v>1175</v>
      </c>
      <c r="R431" s="15">
        <v>44671</v>
      </c>
      <c r="S431" t="s">
        <v>32</v>
      </c>
      <c r="T431" t="s">
        <v>29</v>
      </c>
      <c r="U431">
        <v>105770</v>
      </c>
    </row>
    <row r="432" spans="1:21" ht="14.25" customHeight="1" x14ac:dyDescent="0.35">
      <c r="A432" t="s">
        <v>1784</v>
      </c>
      <c r="B432" t="s">
        <v>1785</v>
      </c>
      <c r="C432" t="s">
        <v>23</v>
      </c>
      <c r="D432" t="s">
        <v>24</v>
      </c>
      <c r="E432" t="s">
        <v>76</v>
      </c>
      <c r="F432" t="s">
        <v>1786</v>
      </c>
      <c r="G432" t="s">
        <v>1787</v>
      </c>
      <c r="H432" t="s">
        <v>30</v>
      </c>
      <c r="I432" t="s">
        <v>31</v>
      </c>
      <c r="J432" t="s">
        <v>38</v>
      </c>
      <c r="K432" t="s">
        <v>31</v>
      </c>
      <c r="L432" t="s">
        <v>30</v>
      </c>
      <c r="M432" t="s">
        <v>31</v>
      </c>
      <c r="N432">
        <v>360</v>
      </c>
      <c r="O432">
        <v>294</v>
      </c>
      <c r="P432">
        <v>300</v>
      </c>
      <c r="Q432">
        <v>954</v>
      </c>
      <c r="R432" s="15">
        <v>44670</v>
      </c>
      <c r="S432" t="s">
        <v>32</v>
      </c>
      <c r="T432" t="s">
        <v>29</v>
      </c>
      <c r="U432">
        <v>11544</v>
      </c>
    </row>
    <row r="433" spans="1:21" ht="14.25" customHeight="1" x14ac:dyDescent="0.35">
      <c r="A433" t="s">
        <v>1788</v>
      </c>
      <c r="B433" t="s">
        <v>1789</v>
      </c>
      <c r="C433" t="s">
        <v>23</v>
      </c>
      <c r="D433" t="s">
        <v>24</v>
      </c>
      <c r="E433" t="s">
        <v>596</v>
      </c>
      <c r="F433" t="s">
        <v>1790</v>
      </c>
      <c r="G433" t="s">
        <v>1791</v>
      </c>
      <c r="H433" t="s">
        <v>30</v>
      </c>
      <c r="I433" t="s">
        <v>31</v>
      </c>
      <c r="J433" t="s">
        <v>38</v>
      </c>
      <c r="K433" t="s">
        <v>31</v>
      </c>
      <c r="L433" t="s">
        <v>38</v>
      </c>
      <c r="M433" t="s">
        <v>31</v>
      </c>
      <c r="N433">
        <v>310</v>
      </c>
      <c r="O433">
        <v>281</v>
      </c>
      <c r="P433">
        <v>220</v>
      </c>
      <c r="Q433">
        <v>811</v>
      </c>
      <c r="R433" s="15">
        <v>44670</v>
      </c>
      <c r="S433" t="s">
        <v>30</v>
      </c>
      <c r="T433" t="s">
        <v>31</v>
      </c>
      <c r="U433">
        <v>104169</v>
      </c>
    </row>
    <row r="434" spans="1:21" ht="14.25" customHeight="1" x14ac:dyDescent="0.35">
      <c r="A434" t="s">
        <v>1792</v>
      </c>
      <c r="B434" t="s">
        <v>1793</v>
      </c>
      <c r="C434" t="s">
        <v>23</v>
      </c>
      <c r="D434" t="s">
        <v>24</v>
      </c>
      <c r="E434" t="s">
        <v>91</v>
      </c>
      <c r="F434" t="s">
        <v>1794</v>
      </c>
      <c r="G434" t="s">
        <v>1795</v>
      </c>
      <c r="H434" t="s">
        <v>38</v>
      </c>
      <c r="I434" t="s">
        <v>31</v>
      </c>
      <c r="J434" t="s">
        <v>38</v>
      </c>
      <c r="K434" t="s">
        <v>31</v>
      </c>
      <c r="L434" t="s">
        <v>38</v>
      </c>
      <c r="M434" t="s">
        <v>31</v>
      </c>
      <c r="N434">
        <v>205</v>
      </c>
      <c r="O434">
        <v>205</v>
      </c>
      <c r="P434">
        <v>228</v>
      </c>
      <c r="Q434">
        <v>638</v>
      </c>
      <c r="R434" s="15">
        <v>44671</v>
      </c>
      <c r="S434" t="s">
        <v>38</v>
      </c>
      <c r="T434" t="s">
        <v>31</v>
      </c>
      <c r="U434">
        <v>1365135</v>
      </c>
    </row>
    <row r="435" spans="1:21" ht="14.25" customHeight="1" x14ac:dyDescent="0.35">
      <c r="A435" t="s">
        <v>1796</v>
      </c>
      <c r="B435" t="s">
        <v>1797</v>
      </c>
      <c r="C435" t="s">
        <v>23</v>
      </c>
      <c r="D435" t="s">
        <v>24</v>
      </c>
      <c r="E435" t="s">
        <v>55</v>
      </c>
      <c r="F435" t="s">
        <v>1798</v>
      </c>
      <c r="G435" t="s">
        <v>1799</v>
      </c>
      <c r="H435" t="s">
        <v>28</v>
      </c>
      <c r="I435" t="s">
        <v>29</v>
      </c>
      <c r="J435" t="s">
        <v>30</v>
      </c>
      <c r="K435" t="s">
        <v>31</v>
      </c>
      <c r="L435" t="s">
        <v>30</v>
      </c>
      <c r="M435" t="s">
        <v>31</v>
      </c>
      <c r="N435">
        <v>500</v>
      </c>
      <c r="O435">
        <v>320</v>
      </c>
      <c r="P435">
        <v>310</v>
      </c>
      <c r="Q435">
        <v>1130</v>
      </c>
      <c r="R435" s="15">
        <v>44671</v>
      </c>
      <c r="S435" t="s">
        <v>32</v>
      </c>
      <c r="T435" t="s">
        <v>29</v>
      </c>
      <c r="U435">
        <v>1041061</v>
      </c>
    </row>
    <row r="436" spans="1:21" ht="14.25" customHeight="1" x14ac:dyDescent="0.35">
      <c r="A436" t="s">
        <v>1800</v>
      </c>
      <c r="B436" t="s">
        <v>1801</v>
      </c>
      <c r="C436" t="s">
        <v>23</v>
      </c>
      <c r="D436" t="s">
        <v>24</v>
      </c>
      <c r="E436" t="s">
        <v>390</v>
      </c>
      <c r="F436" t="s">
        <v>1802</v>
      </c>
      <c r="G436" t="s">
        <v>1803</v>
      </c>
      <c r="H436" t="s">
        <v>30</v>
      </c>
      <c r="I436" t="s">
        <v>31</v>
      </c>
      <c r="J436" t="s">
        <v>38</v>
      </c>
      <c r="K436" t="s">
        <v>31</v>
      </c>
      <c r="L436" t="s">
        <v>38</v>
      </c>
      <c r="M436" t="s">
        <v>31</v>
      </c>
      <c r="N436">
        <v>374</v>
      </c>
      <c r="O436">
        <v>254</v>
      </c>
      <c r="P436">
        <v>210</v>
      </c>
      <c r="Q436">
        <v>838</v>
      </c>
      <c r="R436" s="15">
        <v>44671</v>
      </c>
      <c r="S436" t="s">
        <v>30</v>
      </c>
      <c r="T436" t="s">
        <v>31</v>
      </c>
      <c r="U436">
        <v>1524472</v>
      </c>
    </row>
    <row r="437" spans="1:21" ht="14.25" customHeight="1" x14ac:dyDescent="0.35">
      <c r="A437" t="s">
        <v>1804</v>
      </c>
      <c r="B437" t="s">
        <v>1805</v>
      </c>
      <c r="C437" t="s">
        <v>23</v>
      </c>
      <c r="D437" t="s">
        <v>24</v>
      </c>
      <c r="E437" t="s">
        <v>321</v>
      </c>
      <c r="F437" t="s">
        <v>1806</v>
      </c>
      <c r="G437" t="s">
        <v>1807</v>
      </c>
      <c r="H437" t="s">
        <v>599</v>
      </c>
      <c r="I437" t="s">
        <v>600</v>
      </c>
      <c r="J437" t="s">
        <v>30</v>
      </c>
      <c r="K437" t="s">
        <v>31</v>
      </c>
      <c r="L437" t="s">
        <v>30</v>
      </c>
      <c r="M437" t="s">
        <v>31</v>
      </c>
      <c r="N437">
        <v>700</v>
      </c>
      <c r="O437">
        <v>340</v>
      </c>
      <c r="P437">
        <v>300</v>
      </c>
      <c r="Q437">
        <v>1340</v>
      </c>
      <c r="R437" s="15">
        <v>44671</v>
      </c>
      <c r="S437" t="s">
        <v>28</v>
      </c>
      <c r="T437" t="s">
        <v>29</v>
      </c>
      <c r="U437">
        <v>106535</v>
      </c>
    </row>
    <row r="438" spans="1:21" ht="14.25" customHeight="1" x14ac:dyDescent="0.35">
      <c r="A438" t="s">
        <v>1808</v>
      </c>
      <c r="B438" t="s">
        <v>1809</v>
      </c>
      <c r="C438" t="s">
        <v>23</v>
      </c>
      <c r="D438" t="s">
        <v>24</v>
      </c>
      <c r="E438" t="s">
        <v>1096</v>
      </c>
      <c r="F438" t="s">
        <v>1810</v>
      </c>
      <c r="G438" t="s">
        <v>1811</v>
      </c>
      <c r="H438" t="s">
        <v>28</v>
      </c>
      <c r="I438" t="s">
        <v>29</v>
      </c>
      <c r="J438" t="s">
        <v>30</v>
      </c>
      <c r="K438" t="s">
        <v>31</v>
      </c>
      <c r="L438" t="s">
        <v>30</v>
      </c>
      <c r="M438" t="s">
        <v>31</v>
      </c>
      <c r="N438">
        <v>555</v>
      </c>
      <c r="O438">
        <v>324</v>
      </c>
      <c r="P438">
        <v>305</v>
      </c>
      <c r="Q438">
        <v>1184</v>
      </c>
      <c r="R438" s="15">
        <v>44671</v>
      </c>
      <c r="S438" t="s">
        <v>32</v>
      </c>
      <c r="T438" t="s">
        <v>29</v>
      </c>
      <c r="U438">
        <v>1732845</v>
      </c>
    </row>
    <row r="439" spans="1:21" ht="14.25" customHeight="1" x14ac:dyDescent="0.35">
      <c r="A439" t="s">
        <v>1812</v>
      </c>
      <c r="B439" t="s">
        <v>1813</v>
      </c>
      <c r="C439" t="s">
        <v>23</v>
      </c>
      <c r="D439" t="s">
        <v>24</v>
      </c>
      <c r="E439" t="s">
        <v>607</v>
      </c>
      <c r="F439" t="s">
        <v>1814</v>
      </c>
      <c r="G439" t="s">
        <v>1815</v>
      </c>
      <c r="H439" t="s">
        <v>28</v>
      </c>
      <c r="I439" t="s">
        <v>29</v>
      </c>
      <c r="J439" t="s">
        <v>30</v>
      </c>
      <c r="K439" t="s">
        <v>31</v>
      </c>
      <c r="L439" t="s">
        <v>30</v>
      </c>
      <c r="M439" t="s">
        <v>31</v>
      </c>
      <c r="N439">
        <v>538</v>
      </c>
      <c r="O439">
        <v>322</v>
      </c>
      <c r="P439">
        <v>313</v>
      </c>
      <c r="Q439">
        <v>1173</v>
      </c>
      <c r="R439" s="15">
        <v>44668</v>
      </c>
      <c r="S439" t="s">
        <v>32</v>
      </c>
      <c r="T439" t="s">
        <v>29</v>
      </c>
      <c r="U439">
        <v>34088</v>
      </c>
    </row>
    <row r="440" spans="1:21" ht="14.25" customHeight="1" x14ac:dyDescent="0.35">
      <c r="A440" t="s">
        <v>1816</v>
      </c>
      <c r="B440" t="s">
        <v>1817</v>
      </c>
      <c r="C440" t="s">
        <v>23</v>
      </c>
      <c r="D440" t="s">
        <v>24</v>
      </c>
      <c r="E440" t="s">
        <v>124</v>
      </c>
      <c r="F440" t="s">
        <v>1818</v>
      </c>
      <c r="G440" t="s">
        <v>1819</v>
      </c>
      <c r="H440" t="s">
        <v>28</v>
      </c>
      <c r="I440" t="s">
        <v>29</v>
      </c>
      <c r="J440" t="s">
        <v>30</v>
      </c>
      <c r="K440" t="s">
        <v>31</v>
      </c>
      <c r="L440" t="s">
        <v>30</v>
      </c>
      <c r="M440" t="s">
        <v>31</v>
      </c>
      <c r="N440">
        <v>520</v>
      </c>
      <c r="O440">
        <v>330</v>
      </c>
      <c r="P440">
        <v>310</v>
      </c>
      <c r="Q440">
        <v>1160</v>
      </c>
      <c r="R440" s="15">
        <v>44671</v>
      </c>
      <c r="S440" t="s">
        <v>32</v>
      </c>
      <c r="T440" t="s">
        <v>29</v>
      </c>
      <c r="U440">
        <v>1136869</v>
      </c>
    </row>
    <row r="441" spans="1:21" ht="14.25" customHeight="1" x14ac:dyDescent="0.35">
      <c r="A441" t="s">
        <v>1820</v>
      </c>
      <c r="B441" t="s">
        <v>1821</v>
      </c>
      <c r="C441" t="s">
        <v>23</v>
      </c>
      <c r="D441" t="s">
        <v>24</v>
      </c>
      <c r="E441" t="s">
        <v>215</v>
      </c>
      <c r="F441" t="s">
        <v>1822</v>
      </c>
      <c r="G441" t="s">
        <v>1823</v>
      </c>
      <c r="H441" t="s">
        <v>28</v>
      </c>
      <c r="I441" t="s">
        <v>29</v>
      </c>
      <c r="J441" t="s">
        <v>30</v>
      </c>
      <c r="K441" t="s">
        <v>31</v>
      </c>
      <c r="L441" t="s">
        <v>30</v>
      </c>
      <c r="M441" t="s">
        <v>31</v>
      </c>
      <c r="N441">
        <v>520</v>
      </c>
      <c r="O441">
        <v>348</v>
      </c>
      <c r="P441">
        <v>310</v>
      </c>
      <c r="Q441">
        <v>1178</v>
      </c>
      <c r="R441" s="15">
        <v>44671</v>
      </c>
      <c r="S441" t="s">
        <v>32</v>
      </c>
      <c r="T441" t="s">
        <v>29</v>
      </c>
      <c r="U441">
        <v>1555280</v>
      </c>
    </row>
    <row r="442" spans="1:21" ht="14.25" customHeight="1" x14ac:dyDescent="0.35">
      <c r="A442" t="s">
        <v>1824</v>
      </c>
      <c r="B442" t="s">
        <v>1825</v>
      </c>
      <c r="C442" t="s">
        <v>23</v>
      </c>
      <c r="D442" t="s">
        <v>24</v>
      </c>
      <c r="E442" t="s">
        <v>390</v>
      </c>
      <c r="F442" t="s">
        <v>1826</v>
      </c>
      <c r="G442" t="s">
        <v>1827</v>
      </c>
      <c r="H442" t="s">
        <v>28</v>
      </c>
      <c r="I442" t="s">
        <v>29</v>
      </c>
      <c r="J442" t="s">
        <v>30</v>
      </c>
      <c r="K442" t="s">
        <v>31</v>
      </c>
      <c r="L442" t="s">
        <v>30</v>
      </c>
      <c r="M442" t="s">
        <v>31</v>
      </c>
      <c r="N442">
        <v>560</v>
      </c>
      <c r="O442">
        <v>339</v>
      </c>
      <c r="P442">
        <v>305</v>
      </c>
      <c r="Q442">
        <v>1204</v>
      </c>
      <c r="R442" s="15">
        <v>44668</v>
      </c>
      <c r="S442" t="s">
        <v>28</v>
      </c>
      <c r="T442" t="s">
        <v>29</v>
      </c>
      <c r="U442">
        <v>315189</v>
      </c>
    </row>
    <row r="443" spans="1:21" ht="14.25" customHeight="1" x14ac:dyDescent="0.35">
      <c r="A443" t="s">
        <v>1828</v>
      </c>
      <c r="B443" t="s">
        <v>1829</v>
      </c>
      <c r="C443" t="s">
        <v>23</v>
      </c>
      <c r="D443" t="s">
        <v>24</v>
      </c>
      <c r="E443" t="s">
        <v>258</v>
      </c>
      <c r="F443" t="s">
        <v>1830</v>
      </c>
      <c r="G443" t="s">
        <v>1831</v>
      </c>
      <c r="H443" t="s">
        <v>28</v>
      </c>
      <c r="I443" t="s">
        <v>29</v>
      </c>
      <c r="J443" t="s">
        <v>30</v>
      </c>
      <c r="K443" t="s">
        <v>31</v>
      </c>
      <c r="L443" t="s">
        <v>38</v>
      </c>
      <c r="M443" t="s">
        <v>31</v>
      </c>
      <c r="N443">
        <v>550</v>
      </c>
      <c r="O443">
        <v>341</v>
      </c>
      <c r="P443">
        <v>295</v>
      </c>
      <c r="Q443">
        <v>1186</v>
      </c>
      <c r="R443" s="15">
        <v>44668</v>
      </c>
      <c r="S443" t="s">
        <v>32</v>
      </c>
      <c r="T443" t="s">
        <v>29</v>
      </c>
      <c r="U443">
        <v>1666700</v>
      </c>
    </row>
    <row r="444" spans="1:21" ht="14.25" customHeight="1" x14ac:dyDescent="0.35">
      <c r="A444" t="s">
        <v>1832</v>
      </c>
      <c r="B444" t="s">
        <v>1833</v>
      </c>
      <c r="C444" t="s">
        <v>23</v>
      </c>
      <c r="D444" t="s">
        <v>24</v>
      </c>
      <c r="E444" t="s">
        <v>330</v>
      </c>
      <c r="F444" t="s">
        <v>1834</v>
      </c>
      <c r="G444" t="s">
        <v>1835</v>
      </c>
      <c r="H444" t="s">
        <v>28</v>
      </c>
      <c r="I444" t="s">
        <v>29</v>
      </c>
      <c r="J444" t="s">
        <v>30</v>
      </c>
      <c r="K444" t="s">
        <v>31</v>
      </c>
      <c r="L444" t="s">
        <v>30</v>
      </c>
      <c r="M444" t="s">
        <v>31</v>
      </c>
      <c r="N444">
        <v>535</v>
      </c>
      <c r="O444">
        <v>325</v>
      </c>
      <c r="P444">
        <v>310</v>
      </c>
      <c r="Q444">
        <v>1170</v>
      </c>
      <c r="R444" s="15">
        <v>44668</v>
      </c>
      <c r="S444" t="s">
        <v>32</v>
      </c>
      <c r="T444" t="s">
        <v>29</v>
      </c>
      <c r="U444">
        <v>715957</v>
      </c>
    </row>
    <row r="445" spans="1:21" ht="14.25" customHeight="1" x14ac:dyDescent="0.35">
      <c r="A445" t="s">
        <v>1836</v>
      </c>
      <c r="B445" t="s">
        <v>1837</v>
      </c>
      <c r="C445" t="s">
        <v>23</v>
      </c>
      <c r="D445" t="s">
        <v>24</v>
      </c>
      <c r="E445" t="s">
        <v>124</v>
      </c>
      <c r="F445" t="s">
        <v>1838</v>
      </c>
      <c r="G445" t="s">
        <v>1839</v>
      </c>
      <c r="H445" t="s">
        <v>28</v>
      </c>
      <c r="I445" t="s">
        <v>29</v>
      </c>
      <c r="J445" t="s">
        <v>30</v>
      </c>
      <c r="K445" t="s">
        <v>31</v>
      </c>
      <c r="L445" t="s">
        <v>30</v>
      </c>
      <c r="M445" t="s">
        <v>31</v>
      </c>
      <c r="N445">
        <v>540</v>
      </c>
      <c r="O445">
        <v>302</v>
      </c>
      <c r="P445">
        <v>315</v>
      </c>
      <c r="Q445">
        <v>1157</v>
      </c>
      <c r="R445" s="15">
        <v>44668</v>
      </c>
      <c r="S445" t="s">
        <v>32</v>
      </c>
      <c r="T445" t="s">
        <v>29</v>
      </c>
      <c r="U445">
        <v>64803</v>
      </c>
    </row>
    <row r="446" spans="1:21" ht="14.25" customHeight="1" x14ac:dyDescent="0.35">
      <c r="A446" t="s">
        <v>1840</v>
      </c>
      <c r="B446" t="s">
        <v>1841</v>
      </c>
      <c r="C446" t="s">
        <v>23</v>
      </c>
      <c r="D446" t="s">
        <v>24</v>
      </c>
      <c r="E446" t="s">
        <v>71</v>
      </c>
      <c r="F446" t="s">
        <v>1842</v>
      </c>
      <c r="G446" t="s">
        <v>1843</v>
      </c>
      <c r="H446" t="s">
        <v>28</v>
      </c>
      <c r="I446" t="s">
        <v>29</v>
      </c>
      <c r="J446" t="s">
        <v>30</v>
      </c>
      <c r="K446" t="s">
        <v>31</v>
      </c>
      <c r="L446" t="s">
        <v>30</v>
      </c>
      <c r="M446" t="s">
        <v>31</v>
      </c>
      <c r="N446">
        <v>515</v>
      </c>
      <c r="O446">
        <v>300</v>
      </c>
      <c r="P446">
        <v>313</v>
      </c>
      <c r="Q446">
        <v>1128</v>
      </c>
      <c r="R446" s="15">
        <v>44668</v>
      </c>
      <c r="S446" t="s">
        <v>32</v>
      </c>
      <c r="T446" t="s">
        <v>29</v>
      </c>
      <c r="U446">
        <v>27904</v>
      </c>
    </row>
    <row r="447" spans="1:21" ht="14.25" customHeight="1" x14ac:dyDescent="0.35">
      <c r="A447" t="s">
        <v>1844</v>
      </c>
      <c r="B447" t="s">
        <v>1845</v>
      </c>
      <c r="C447" t="s">
        <v>23</v>
      </c>
      <c r="D447" t="s">
        <v>24</v>
      </c>
      <c r="E447" t="s">
        <v>91</v>
      </c>
      <c r="F447" t="s">
        <v>1846</v>
      </c>
      <c r="G447" t="s">
        <v>1847</v>
      </c>
      <c r="H447" t="s">
        <v>38</v>
      </c>
      <c r="I447" t="s">
        <v>31</v>
      </c>
      <c r="J447" t="s">
        <v>38</v>
      </c>
      <c r="K447" t="s">
        <v>31</v>
      </c>
      <c r="L447" t="s">
        <v>38</v>
      </c>
      <c r="M447" t="s">
        <v>31</v>
      </c>
      <c r="N447">
        <v>215</v>
      </c>
      <c r="O447">
        <v>241</v>
      </c>
      <c r="P447">
        <v>200</v>
      </c>
      <c r="Q447">
        <v>656</v>
      </c>
      <c r="R447" s="15">
        <v>44670</v>
      </c>
      <c r="S447" t="s">
        <v>38</v>
      </c>
      <c r="T447" t="s">
        <v>31</v>
      </c>
      <c r="U447">
        <v>1108524</v>
      </c>
    </row>
    <row r="448" spans="1:21" ht="14.25" customHeight="1" x14ac:dyDescent="0.35">
      <c r="A448" t="s">
        <v>1848</v>
      </c>
      <c r="B448" t="s">
        <v>1849</v>
      </c>
      <c r="C448" t="s">
        <v>23</v>
      </c>
      <c r="D448" t="s">
        <v>24</v>
      </c>
      <c r="E448" t="s">
        <v>607</v>
      </c>
      <c r="F448" t="s">
        <v>1850</v>
      </c>
      <c r="G448" t="s">
        <v>1851</v>
      </c>
      <c r="H448" t="s">
        <v>38</v>
      </c>
      <c r="I448" t="s">
        <v>31</v>
      </c>
      <c r="J448" t="s">
        <v>38</v>
      </c>
      <c r="K448" t="s">
        <v>31</v>
      </c>
      <c r="L448" t="s">
        <v>38</v>
      </c>
      <c r="M448" t="s">
        <v>31</v>
      </c>
      <c r="N448">
        <v>210</v>
      </c>
      <c r="O448">
        <v>217</v>
      </c>
      <c r="P448">
        <v>210</v>
      </c>
      <c r="Q448">
        <v>637</v>
      </c>
      <c r="R448" s="15">
        <v>44673</v>
      </c>
      <c r="S448" t="s">
        <v>38</v>
      </c>
      <c r="T448" t="s">
        <v>31</v>
      </c>
      <c r="U448">
        <v>93410</v>
      </c>
    </row>
    <row r="449" spans="1:21" ht="14.25" customHeight="1" x14ac:dyDescent="0.35">
      <c r="A449" t="s">
        <v>1852</v>
      </c>
      <c r="B449" t="s">
        <v>1853</v>
      </c>
      <c r="C449" t="s">
        <v>23</v>
      </c>
      <c r="D449" t="s">
        <v>24</v>
      </c>
      <c r="E449" t="s">
        <v>258</v>
      </c>
      <c r="F449" t="s">
        <v>1854</v>
      </c>
      <c r="G449" t="s">
        <v>1855</v>
      </c>
      <c r="H449" t="s">
        <v>599</v>
      </c>
      <c r="I449" t="s">
        <v>600</v>
      </c>
      <c r="J449" t="s">
        <v>30</v>
      </c>
      <c r="K449" t="s">
        <v>31</v>
      </c>
      <c r="L449" t="s">
        <v>30</v>
      </c>
      <c r="M449" t="s">
        <v>31</v>
      </c>
      <c r="N449">
        <v>610</v>
      </c>
      <c r="O449">
        <v>312</v>
      </c>
      <c r="P449">
        <v>320</v>
      </c>
      <c r="Q449">
        <v>1242</v>
      </c>
      <c r="R449" s="15">
        <v>44722</v>
      </c>
      <c r="S449" t="s">
        <v>28</v>
      </c>
      <c r="T449" t="s">
        <v>29</v>
      </c>
      <c r="U449">
        <v>1755672</v>
      </c>
    </row>
    <row r="450" spans="1:21" ht="14.25" customHeight="1" x14ac:dyDescent="0.35">
      <c r="A450" t="s">
        <v>1856</v>
      </c>
      <c r="B450" t="s">
        <v>1857</v>
      </c>
      <c r="C450" t="s">
        <v>23</v>
      </c>
      <c r="D450" t="s">
        <v>24</v>
      </c>
      <c r="E450" t="s">
        <v>607</v>
      </c>
      <c r="F450" t="s">
        <v>1858</v>
      </c>
      <c r="G450" t="s">
        <v>1859</v>
      </c>
      <c r="H450" t="s">
        <v>28</v>
      </c>
      <c r="I450" t="s">
        <v>29</v>
      </c>
      <c r="J450" t="s">
        <v>30</v>
      </c>
      <c r="K450" t="s">
        <v>31</v>
      </c>
      <c r="L450" t="s">
        <v>30</v>
      </c>
      <c r="M450" t="s">
        <v>31</v>
      </c>
      <c r="N450">
        <v>555</v>
      </c>
      <c r="O450">
        <v>329</v>
      </c>
      <c r="P450">
        <v>310</v>
      </c>
      <c r="Q450">
        <v>1194</v>
      </c>
      <c r="R450" s="15">
        <v>44723</v>
      </c>
      <c r="S450" t="s">
        <v>32</v>
      </c>
      <c r="T450" t="s">
        <v>29</v>
      </c>
      <c r="U450">
        <v>858470</v>
      </c>
    </row>
    <row r="451" spans="1:21" ht="14.25" customHeight="1" x14ac:dyDescent="0.35">
      <c r="A451" t="s">
        <v>1860</v>
      </c>
      <c r="B451" t="s">
        <v>1861</v>
      </c>
      <c r="C451" t="s">
        <v>23</v>
      </c>
      <c r="D451" t="s">
        <v>24</v>
      </c>
      <c r="E451" t="s">
        <v>215</v>
      </c>
      <c r="F451" t="s">
        <v>1862</v>
      </c>
      <c r="G451" t="s">
        <v>1863</v>
      </c>
      <c r="H451" t="s">
        <v>32</v>
      </c>
      <c r="I451" t="s">
        <v>29</v>
      </c>
      <c r="J451" t="s">
        <v>30</v>
      </c>
      <c r="K451" t="s">
        <v>31</v>
      </c>
      <c r="L451" t="s">
        <v>30</v>
      </c>
      <c r="M451" t="s">
        <v>31</v>
      </c>
      <c r="N451">
        <v>483</v>
      </c>
      <c r="O451">
        <v>303</v>
      </c>
      <c r="P451">
        <v>305</v>
      </c>
      <c r="Q451">
        <v>1091</v>
      </c>
      <c r="R451" s="15">
        <v>44667</v>
      </c>
      <c r="S451" t="s">
        <v>32</v>
      </c>
      <c r="T451" t="s">
        <v>29</v>
      </c>
      <c r="U451">
        <v>1596783</v>
      </c>
    </row>
    <row r="452" spans="1:21" ht="14.25" customHeight="1" x14ac:dyDescent="0.35">
      <c r="A452" t="s">
        <v>1864</v>
      </c>
      <c r="B452" t="s">
        <v>1865</v>
      </c>
      <c r="C452" t="s">
        <v>23</v>
      </c>
      <c r="D452" t="s">
        <v>24</v>
      </c>
      <c r="E452" t="s">
        <v>415</v>
      </c>
      <c r="F452" t="s">
        <v>1866</v>
      </c>
      <c r="G452" t="s">
        <v>1867</v>
      </c>
      <c r="H452" t="s">
        <v>28</v>
      </c>
      <c r="I452" t="s">
        <v>29</v>
      </c>
      <c r="J452" t="s">
        <v>30</v>
      </c>
      <c r="K452" t="s">
        <v>31</v>
      </c>
      <c r="L452" t="s">
        <v>30</v>
      </c>
      <c r="M452" t="s">
        <v>31</v>
      </c>
      <c r="N452">
        <v>515</v>
      </c>
      <c r="O452">
        <v>301</v>
      </c>
      <c r="P452">
        <v>305</v>
      </c>
      <c r="Q452">
        <v>1121</v>
      </c>
      <c r="R452" s="15">
        <v>44667</v>
      </c>
      <c r="S452" t="s">
        <v>32</v>
      </c>
      <c r="T452" t="s">
        <v>29</v>
      </c>
      <c r="U452">
        <v>16732</v>
      </c>
    </row>
    <row r="453" spans="1:21" ht="14.25" customHeight="1" x14ac:dyDescent="0.35">
      <c r="A453" t="s">
        <v>1868</v>
      </c>
      <c r="B453" t="s">
        <v>1869</v>
      </c>
      <c r="C453" t="s">
        <v>23</v>
      </c>
      <c r="D453" t="s">
        <v>24</v>
      </c>
      <c r="E453" t="s">
        <v>133</v>
      </c>
      <c r="F453" t="s">
        <v>1870</v>
      </c>
      <c r="G453" t="s">
        <v>1871</v>
      </c>
      <c r="H453" t="s">
        <v>28</v>
      </c>
      <c r="I453" t="s">
        <v>29</v>
      </c>
      <c r="J453" t="s">
        <v>30</v>
      </c>
      <c r="K453" t="s">
        <v>31</v>
      </c>
      <c r="L453" t="s">
        <v>38</v>
      </c>
      <c r="M453" t="s">
        <v>31</v>
      </c>
      <c r="N453">
        <v>510</v>
      </c>
      <c r="O453">
        <v>322</v>
      </c>
      <c r="P453">
        <v>235</v>
      </c>
      <c r="Q453">
        <v>1067</v>
      </c>
      <c r="R453" s="15">
        <v>44667</v>
      </c>
      <c r="S453" t="s">
        <v>32</v>
      </c>
      <c r="T453" t="s">
        <v>29</v>
      </c>
      <c r="U453">
        <v>1100682</v>
      </c>
    </row>
    <row r="454" spans="1:21" ht="14.25" customHeight="1" x14ac:dyDescent="0.35">
      <c r="A454" t="s">
        <v>1872</v>
      </c>
      <c r="B454" t="s">
        <v>1873</v>
      </c>
      <c r="C454" t="s">
        <v>23</v>
      </c>
      <c r="D454" t="s">
        <v>24</v>
      </c>
      <c r="E454" t="s">
        <v>607</v>
      </c>
      <c r="F454" t="s">
        <v>1874</v>
      </c>
      <c r="G454" t="s">
        <v>1875</v>
      </c>
      <c r="H454" t="s">
        <v>599</v>
      </c>
      <c r="I454" t="s">
        <v>600</v>
      </c>
      <c r="J454" t="s">
        <v>28</v>
      </c>
      <c r="K454" t="s">
        <v>29</v>
      </c>
      <c r="L454" t="s">
        <v>30</v>
      </c>
      <c r="M454" t="s">
        <v>31</v>
      </c>
      <c r="N454">
        <v>687</v>
      </c>
      <c r="O454">
        <v>544</v>
      </c>
      <c r="P454">
        <v>305</v>
      </c>
      <c r="Q454">
        <v>1536</v>
      </c>
      <c r="R454" s="15">
        <v>44667</v>
      </c>
      <c r="S454" t="s">
        <v>28</v>
      </c>
      <c r="T454" t="s">
        <v>29</v>
      </c>
      <c r="U454">
        <v>1163165</v>
      </c>
    </row>
    <row r="455" spans="1:21" ht="14.25" customHeight="1" x14ac:dyDescent="0.35">
      <c r="A455" t="s">
        <v>1876</v>
      </c>
      <c r="B455" t="s">
        <v>1877</v>
      </c>
      <c r="C455" t="s">
        <v>23</v>
      </c>
      <c r="D455" t="s">
        <v>24</v>
      </c>
      <c r="E455" t="s">
        <v>124</v>
      </c>
      <c r="F455" t="s">
        <v>1878</v>
      </c>
      <c r="G455" t="s">
        <v>1879</v>
      </c>
      <c r="H455" t="s">
        <v>28</v>
      </c>
      <c r="I455" t="s">
        <v>29</v>
      </c>
      <c r="J455" t="s">
        <v>30</v>
      </c>
      <c r="K455" t="s">
        <v>31</v>
      </c>
      <c r="L455" t="s">
        <v>30</v>
      </c>
      <c r="M455" t="s">
        <v>31</v>
      </c>
      <c r="N455">
        <v>500</v>
      </c>
      <c r="O455">
        <v>300</v>
      </c>
      <c r="P455">
        <v>300</v>
      </c>
      <c r="Q455">
        <v>1100</v>
      </c>
      <c r="R455" s="15">
        <v>44667</v>
      </c>
      <c r="S455" t="s">
        <v>32</v>
      </c>
      <c r="T455" t="s">
        <v>29</v>
      </c>
      <c r="U455">
        <v>711404</v>
      </c>
    </row>
    <row r="456" spans="1:21" ht="14.25" customHeight="1" x14ac:dyDescent="0.35">
      <c r="A456" t="s">
        <v>1880</v>
      </c>
      <c r="B456" t="s">
        <v>1881</v>
      </c>
      <c r="C456" t="s">
        <v>23</v>
      </c>
      <c r="D456" t="s">
        <v>24</v>
      </c>
      <c r="E456" t="s">
        <v>224</v>
      </c>
      <c r="F456" t="s">
        <v>1882</v>
      </c>
      <c r="G456" t="s">
        <v>1883</v>
      </c>
      <c r="H456" t="s">
        <v>28</v>
      </c>
      <c r="I456" t="s">
        <v>29</v>
      </c>
      <c r="J456" t="s">
        <v>30</v>
      </c>
      <c r="K456" t="s">
        <v>31</v>
      </c>
      <c r="L456" t="s">
        <v>30</v>
      </c>
      <c r="M456" t="s">
        <v>31</v>
      </c>
      <c r="N456">
        <v>508</v>
      </c>
      <c r="O456">
        <v>309</v>
      </c>
      <c r="P456">
        <v>320</v>
      </c>
      <c r="Q456">
        <v>1137</v>
      </c>
      <c r="R456" s="15">
        <v>44667</v>
      </c>
      <c r="S456" t="s">
        <v>32</v>
      </c>
      <c r="T456" t="s">
        <v>29</v>
      </c>
      <c r="U456">
        <v>927628</v>
      </c>
    </row>
    <row r="457" spans="1:21" ht="14.25" customHeight="1" x14ac:dyDescent="0.35">
      <c r="A457" t="s">
        <v>1884</v>
      </c>
      <c r="B457" t="s">
        <v>1885</v>
      </c>
      <c r="C457" t="s">
        <v>23</v>
      </c>
      <c r="D457" t="s">
        <v>24</v>
      </c>
      <c r="E457" t="s">
        <v>124</v>
      </c>
      <c r="F457" t="s">
        <v>1886</v>
      </c>
      <c r="G457" t="s">
        <v>1887</v>
      </c>
      <c r="H457" t="s">
        <v>28</v>
      </c>
      <c r="I457" t="s">
        <v>29</v>
      </c>
      <c r="J457" t="s">
        <v>30</v>
      </c>
      <c r="K457" t="s">
        <v>31</v>
      </c>
      <c r="L457" t="s">
        <v>30</v>
      </c>
      <c r="M457" t="s">
        <v>31</v>
      </c>
      <c r="N457">
        <v>548</v>
      </c>
      <c r="O457">
        <v>355</v>
      </c>
      <c r="P457">
        <v>315</v>
      </c>
      <c r="Q457">
        <v>1218</v>
      </c>
      <c r="R457" s="15">
        <v>44667</v>
      </c>
      <c r="S457" t="s">
        <v>28</v>
      </c>
      <c r="T457" t="s">
        <v>29</v>
      </c>
      <c r="U457">
        <v>1071739</v>
      </c>
    </row>
    <row r="458" spans="1:21" ht="14.25" customHeight="1" x14ac:dyDescent="0.35">
      <c r="A458" t="s">
        <v>1888</v>
      </c>
      <c r="B458" t="s">
        <v>1889</v>
      </c>
      <c r="C458" t="s">
        <v>23</v>
      </c>
      <c r="D458" t="s">
        <v>24</v>
      </c>
      <c r="E458" t="s">
        <v>330</v>
      </c>
      <c r="F458" t="s">
        <v>1890</v>
      </c>
      <c r="G458" t="s">
        <v>1891</v>
      </c>
      <c r="H458" t="s">
        <v>28</v>
      </c>
      <c r="I458" t="s">
        <v>29</v>
      </c>
      <c r="J458" t="s">
        <v>30</v>
      </c>
      <c r="K458" t="s">
        <v>31</v>
      </c>
      <c r="L458" t="s">
        <v>38</v>
      </c>
      <c r="M458" t="s">
        <v>31</v>
      </c>
      <c r="N458">
        <v>550</v>
      </c>
      <c r="O458">
        <v>320</v>
      </c>
      <c r="P458">
        <v>260</v>
      </c>
      <c r="Q458">
        <v>1130</v>
      </c>
      <c r="R458" s="15">
        <v>44667</v>
      </c>
      <c r="S458" t="s">
        <v>32</v>
      </c>
      <c r="T458" t="s">
        <v>29</v>
      </c>
      <c r="U458">
        <v>1130310</v>
      </c>
    </row>
    <row r="459" spans="1:21" ht="14.25" customHeight="1" x14ac:dyDescent="0.35">
      <c r="A459" t="s">
        <v>1892</v>
      </c>
      <c r="B459" t="s">
        <v>1893</v>
      </c>
      <c r="C459" t="s">
        <v>23</v>
      </c>
      <c r="D459" t="s">
        <v>24</v>
      </c>
      <c r="E459" t="s">
        <v>330</v>
      </c>
      <c r="F459" t="s">
        <v>1894</v>
      </c>
      <c r="G459" t="s">
        <v>1895</v>
      </c>
      <c r="H459" t="s">
        <v>32</v>
      </c>
      <c r="I459" t="s">
        <v>29</v>
      </c>
      <c r="J459" t="s">
        <v>599</v>
      </c>
      <c r="K459" t="s">
        <v>600</v>
      </c>
      <c r="L459" t="s">
        <v>1896</v>
      </c>
      <c r="M459" t="s">
        <v>906</v>
      </c>
      <c r="N459">
        <v>450</v>
      </c>
      <c r="O459">
        <v>667</v>
      </c>
      <c r="P459">
        <v>75</v>
      </c>
      <c r="Q459">
        <v>1192</v>
      </c>
      <c r="R459" s="15">
        <v>44667</v>
      </c>
      <c r="S459" t="s">
        <v>32</v>
      </c>
      <c r="T459" t="s">
        <v>29</v>
      </c>
      <c r="U459">
        <v>811156</v>
      </c>
    </row>
    <row r="460" spans="1:21" ht="14.25" customHeight="1" x14ac:dyDescent="0.35">
      <c r="A460" t="s">
        <v>1897</v>
      </c>
      <c r="B460" t="s">
        <v>1898</v>
      </c>
      <c r="C460" t="s">
        <v>23</v>
      </c>
      <c r="D460" t="s">
        <v>24</v>
      </c>
      <c r="E460" t="s">
        <v>390</v>
      </c>
      <c r="F460" t="s">
        <v>1899</v>
      </c>
      <c r="G460" t="s">
        <v>1900</v>
      </c>
      <c r="H460" t="s">
        <v>28</v>
      </c>
      <c r="I460" t="s">
        <v>29</v>
      </c>
      <c r="J460" t="s">
        <v>30</v>
      </c>
      <c r="K460" t="s">
        <v>31</v>
      </c>
      <c r="L460" t="s">
        <v>30</v>
      </c>
      <c r="M460" t="s">
        <v>31</v>
      </c>
      <c r="N460">
        <v>510</v>
      </c>
      <c r="O460">
        <v>320</v>
      </c>
      <c r="P460">
        <v>300</v>
      </c>
      <c r="Q460">
        <v>1130</v>
      </c>
      <c r="R460" s="15">
        <v>44668</v>
      </c>
      <c r="S460" t="s">
        <v>32</v>
      </c>
      <c r="T460" t="s">
        <v>29</v>
      </c>
      <c r="U460">
        <v>26172</v>
      </c>
    </row>
    <row r="461" spans="1:21" ht="14.25" customHeight="1" x14ac:dyDescent="0.35">
      <c r="A461" t="s">
        <v>1901</v>
      </c>
      <c r="B461" t="s">
        <v>1902</v>
      </c>
      <c r="C461" t="s">
        <v>23</v>
      </c>
      <c r="D461" t="s">
        <v>24</v>
      </c>
      <c r="E461" t="s">
        <v>46</v>
      </c>
      <c r="F461" t="s">
        <v>1903</v>
      </c>
      <c r="G461" t="s">
        <v>1904</v>
      </c>
      <c r="H461" t="s">
        <v>28</v>
      </c>
      <c r="I461" t="s">
        <v>29</v>
      </c>
      <c r="J461" t="s">
        <v>30</v>
      </c>
      <c r="K461" t="s">
        <v>31</v>
      </c>
      <c r="L461" t="s">
        <v>30</v>
      </c>
      <c r="M461" t="s">
        <v>31</v>
      </c>
      <c r="N461">
        <v>520</v>
      </c>
      <c r="O461">
        <v>310</v>
      </c>
      <c r="P461">
        <v>310</v>
      </c>
      <c r="Q461">
        <v>1140</v>
      </c>
      <c r="R461" s="15">
        <v>44667</v>
      </c>
      <c r="S461" t="s">
        <v>32</v>
      </c>
      <c r="T461" t="s">
        <v>29</v>
      </c>
      <c r="U461">
        <v>21665</v>
      </c>
    </row>
    <row r="462" spans="1:21" ht="14.25" customHeight="1" x14ac:dyDescent="0.35">
      <c r="A462" t="s">
        <v>1905</v>
      </c>
      <c r="B462" t="s">
        <v>1906</v>
      </c>
      <c r="C462" t="s">
        <v>23</v>
      </c>
      <c r="D462" t="s">
        <v>24</v>
      </c>
      <c r="E462" t="s">
        <v>1907</v>
      </c>
      <c r="F462" t="s">
        <v>1908</v>
      </c>
      <c r="G462" t="s">
        <v>1909</v>
      </c>
      <c r="H462" t="s">
        <v>28</v>
      </c>
      <c r="I462" t="s">
        <v>29</v>
      </c>
      <c r="J462" t="s">
        <v>30</v>
      </c>
      <c r="K462" t="s">
        <v>31</v>
      </c>
      <c r="L462" t="s">
        <v>30</v>
      </c>
      <c r="M462" t="s">
        <v>31</v>
      </c>
      <c r="N462">
        <v>526</v>
      </c>
      <c r="O462">
        <v>310</v>
      </c>
      <c r="P462">
        <v>305</v>
      </c>
      <c r="Q462">
        <v>1141</v>
      </c>
      <c r="R462" s="15">
        <v>44667</v>
      </c>
      <c r="S462" t="s">
        <v>32</v>
      </c>
      <c r="T462" t="s">
        <v>29</v>
      </c>
      <c r="U462">
        <v>66740</v>
      </c>
    </row>
    <row r="463" spans="1:21" ht="14.25" customHeight="1" x14ac:dyDescent="0.35">
      <c r="A463" t="s">
        <v>1910</v>
      </c>
      <c r="B463" t="s">
        <v>1911</v>
      </c>
      <c r="C463" t="s">
        <v>23</v>
      </c>
      <c r="D463" t="s">
        <v>24</v>
      </c>
      <c r="E463" t="s">
        <v>138</v>
      </c>
      <c r="F463" t="s">
        <v>1912</v>
      </c>
      <c r="G463" t="s">
        <v>1913</v>
      </c>
      <c r="H463" t="s">
        <v>38</v>
      </c>
      <c r="I463" t="s">
        <v>31</v>
      </c>
      <c r="J463" t="s">
        <v>38</v>
      </c>
      <c r="K463" t="s">
        <v>31</v>
      </c>
      <c r="L463" t="s">
        <v>38</v>
      </c>
      <c r="M463" t="s">
        <v>31</v>
      </c>
      <c r="N463">
        <v>230</v>
      </c>
      <c r="O463">
        <v>215</v>
      </c>
      <c r="P463">
        <v>205</v>
      </c>
      <c r="Q463">
        <v>650</v>
      </c>
      <c r="R463" s="15">
        <v>44667</v>
      </c>
      <c r="S463" t="s">
        <v>38</v>
      </c>
      <c r="T463" t="s">
        <v>31</v>
      </c>
      <c r="U463">
        <v>759944</v>
      </c>
    </row>
    <row r="464" spans="1:21" ht="14.25" customHeight="1" x14ac:dyDescent="0.35">
      <c r="A464" t="s">
        <v>1914</v>
      </c>
      <c r="B464" t="s">
        <v>1915</v>
      </c>
      <c r="C464" t="s">
        <v>23</v>
      </c>
      <c r="D464" t="s">
        <v>24</v>
      </c>
      <c r="E464" t="s">
        <v>415</v>
      </c>
      <c r="F464" t="s">
        <v>1916</v>
      </c>
      <c r="G464" t="s">
        <v>1917</v>
      </c>
      <c r="H464" t="s">
        <v>28</v>
      </c>
      <c r="I464" t="s">
        <v>29</v>
      </c>
      <c r="J464" t="s">
        <v>30</v>
      </c>
      <c r="K464" t="s">
        <v>31</v>
      </c>
      <c r="L464" t="s">
        <v>30</v>
      </c>
      <c r="M464" t="s">
        <v>31</v>
      </c>
      <c r="N464">
        <v>525</v>
      </c>
      <c r="O464">
        <v>306</v>
      </c>
      <c r="P464">
        <v>300</v>
      </c>
      <c r="Q464">
        <v>1131</v>
      </c>
      <c r="R464" s="15">
        <v>44667</v>
      </c>
      <c r="S464" t="s">
        <v>32</v>
      </c>
      <c r="T464" t="s">
        <v>29</v>
      </c>
      <c r="U464">
        <v>23217</v>
      </c>
    </row>
    <row r="465" spans="1:21" ht="14.25" customHeight="1" x14ac:dyDescent="0.35">
      <c r="A465" t="s">
        <v>1918</v>
      </c>
      <c r="B465" t="s">
        <v>1919</v>
      </c>
      <c r="C465" t="s">
        <v>23</v>
      </c>
      <c r="D465" t="s">
        <v>24</v>
      </c>
      <c r="E465" t="s">
        <v>124</v>
      </c>
      <c r="F465" t="s">
        <v>1920</v>
      </c>
      <c r="G465" t="s">
        <v>1921</v>
      </c>
      <c r="H465" t="s">
        <v>28</v>
      </c>
      <c r="I465" t="s">
        <v>29</v>
      </c>
      <c r="J465" t="s">
        <v>30</v>
      </c>
      <c r="K465" t="s">
        <v>31</v>
      </c>
      <c r="L465" t="s">
        <v>30</v>
      </c>
      <c r="M465" t="s">
        <v>31</v>
      </c>
      <c r="N465">
        <v>508</v>
      </c>
      <c r="O465">
        <v>328</v>
      </c>
      <c r="P465">
        <v>310</v>
      </c>
      <c r="Q465">
        <v>1146</v>
      </c>
      <c r="R465" s="15">
        <v>44667</v>
      </c>
      <c r="S465" t="s">
        <v>32</v>
      </c>
      <c r="T465" t="s">
        <v>29</v>
      </c>
      <c r="U465">
        <v>1739940</v>
      </c>
    </row>
    <row r="466" spans="1:21" ht="14.25" customHeight="1" x14ac:dyDescent="0.35">
      <c r="A466" t="s">
        <v>1922</v>
      </c>
      <c r="B466" t="s">
        <v>1923</v>
      </c>
      <c r="C466" t="s">
        <v>23</v>
      </c>
      <c r="D466" t="s">
        <v>24</v>
      </c>
      <c r="E466" t="s">
        <v>124</v>
      </c>
      <c r="F466" t="s">
        <v>1924</v>
      </c>
      <c r="G466" t="s">
        <v>1925</v>
      </c>
      <c r="H466" t="s">
        <v>28</v>
      </c>
      <c r="I466" t="s">
        <v>29</v>
      </c>
      <c r="J466" t="s">
        <v>30</v>
      </c>
      <c r="K466" t="s">
        <v>31</v>
      </c>
      <c r="L466" t="s">
        <v>30</v>
      </c>
      <c r="M466" t="s">
        <v>31</v>
      </c>
      <c r="N466">
        <v>505</v>
      </c>
      <c r="O466">
        <v>300</v>
      </c>
      <c r="P466">
        <v>315</v>
      </c>
      <c r="Q466">
        <v>1120</v>
      </c>
      <c r="R466" s="15">
        <v>44667</v>
      </c>
      <c r="S466" t="s">
        <v>32</v>
      </c>
      <c r="T466" t="s">
        <v>29</v>
      </c>
      <c r="U466">
        <v>721371</v>
      </c>
    </row>
    <row r="467" spans="1:21" ht="14.25" customHeight="1" x14ac:dyDescent="0.35">
      <c r="A467" t="s">
        <v>1926</v>
      </c>
      <c r="B467" t="s">
        <v>1927</v>
      </c>
      <c r="C467" t="s">
        <v>23</v>
      </c>
      <c r="D467" t="s">
        <v>24</v>
      </c>
      <c r="E467" t="s">
        <v>91</v>
      </c>
      <c r="F467" t="s">
        <v>1928</v>
      </c>
      <c r="G467" t="s">
        <v>1929</v>
      </c>
      <c r="H467" t="s">
        <v>38</v>
      </c>
      <c r="I467" t="s">
        <v>31</v>
      </c>
      <c r="J467" t="s">
        <v>38</v>
      </c>
      <c r="K467" t="s">
        <v>31</v>
      </c>
      <c r="L467" t="s">
        <v>38</v>
      </c>
      <c r="M467" t="s">
        <v>31</v>
      </c>
      <c r="N467">
        <v>210</v>
      </c>
      <c r="O467">
        <v>230</v>
      </c>
      <c r="P467">
        <v>215</v>
      </c>
      <c r="Q467">
        <v>655</v>
      </c>
      <c r="R467" s="15">
        <v>44669</v>
      </c>
      <c r="S467" t="s">
        <v>38</v>
      </c>
      <c r="T467" t="s">
        <v>31</v>
      </c>
      <c r="U467">
        <v>1141391</v>
      </c>
    </row>
    <row r="468" spans="1:21" ht="14.25" customHeight="1" x14ac:dyDescent="0.35">
      <c r="A468" t="s">
        <v>1930</v>
      </c>
      <c r="B468" t="s">
        <v>1931</v>
      </c>
      <c r="C468" t="s">
        <v>23</v>
      </c>
      <c r="D468" t="s">
        <v>24</v>
      </c>
      <c r="E468" t="s">
        <v>415</v>
      </c>
      <c r="F468" t="s">
        <v>1932</v>
      </c>
      <c r="G468" t="s">
        <v>1933</v>
      </c>
      <c r="H468" t="s">
        <v>30</v>
      </c>
      <c r="I468" t="s">
        <v>31</v>
      </c>
      <c r="J468" t="s">
        <v>38</v>
      </c>
      <c r="K468" t="s">
        <v>31</v>
      </c>
      <c r="L468" t="s">
        <v>30</v>
      </c>
      <c r="M468" t="s">
        <v>31</v>
      </c>
      <c r="N468">
        <v>345</v>
      </c>
      <c r="O468">
        <v>256</v>
      </c>
      <c r="P468">
        <v>300</v>
      </c>
      <c r="Q468">
        <v>901</v>
      </c>
      <c r="R468" s="15">
        <v>44722</v>
      </c>
      <c r="S468" t="s">
        <v>32</v>
      </c>
      <c r="T468" t="s">
        <v>29</v>
      </c>
      <c r="U468">
        <v>1679273</v>
      </c>
    </row>
    <row r="469" spans="1:21" ht="14.25" customHeight="1" x14ac:dyDescent="0.35">
      <c r="A469" t="s">
        <v>1934</v>
      </c>
      <c r="B469" t="s">
        <v>1935</v>
      </c>
      <c r="C469" t="s">
        <v>23</v>
      </c>
      <c r="D469" t="s">
        <v>24</v>
      </c>
      <c r="E469" t="s">
        <v>321</v>
      </c>
      <c r="F469" t="s">
        <v>1936</v>
      </c>
      <c r="G469" t="s">
        <v>1937</v>
      </c>
      <c r="H469" t="s">
        <v>30</v>
      </c>
      <c r="I469" t="s">
        <v>31</v>
      </c>
      <c r="J469" t="s">
        <v>38</v>
      </c>
      <c r="K469" t="s">
        <v>31</v>
      </c>
      <c r="L469" t="s">
        <v>38</v>
      </c>
      <c r="M469" t="s">
        <v>31</v>
      </c>
      <c r="N469">
        <v>315</v>
      </c>
      <c r="O469">
        <v>261</v>
      </c>
      <c r="P469">
        <v>210</v>
      </c>
      <c r="Q469">
        <v>786</v>
      </c>
      <c r="R469" s="15">
        <v>44669</v>
      </c>
      <c r="S469" t="s">
        <v>30</v>
      </c>
      <c r="T469" t="s">
        <v>31</v>
      </c>
      <c r="U469">
        <v>912595</v>
      </c>
    </row>
    <row r="470" spans="1:21" ht="14.25" customHeight="1" x14ac:dyDescent="0.35">
      <c r="A470" t="s">
        <v>1938</v>
      </c>
      <c r="B470" t="s">
        <v>1939</v>
      </c>
      <c r="C470" t="s">
        <v>23</v>
      </c>
      <c r="D470" t="s">
        <v>24</v>
      </c>
      <c r="E470" t="s">
        <v>1524</v>
      </c>
      <c r="F470" t="s">
        <v>1940</v>
      </c>
      <c r="G470" t="s">
        <v>1941</v>
      </c>
      <c r="H470" t="s">
        <v>28</v>
      </c>
      <c r="I470" t="s">
        <v>29</v>
      </c>
      <c r="J470" t="s">
        <v>30</v>
      </c>
      <c r="K470" t="s">
        <v>31</v>
      </c>
      <c r="L470" t="s">
        <v>30</v>
      </c>
      <c r="M470" t="s">
        <v>31</v>
      </c>
      <c r="N470">
        <v>573</v>
      </c>
      <c r="O470">
        <v>313</v>
      </c>
      <c r="P470">
        <v>300</v>
      </c>
      <c r="Q470">
        <v>1186</v>
      </c>
      <c r="R470" s="15">
        <v>44669</v>
      </c>
      <c r="S470" t="s">
        <v>32</v>
      </c>
      <c r="T470" t="s">
        <v>29</v>
      </c>
      <c r="U470">
        <v>916076</v>
      </c>
    </row>
    <row r="471" spans="1:21" ht="14.25" customHeight="1" x14ac:dyDescent="0.35">
      <c r="A471" t="s">
        <v>1942</v>
      </c>
      <c r="B471" t="s">
        <v>1943</v>
      </c>
      <c r="C471" t="s">
        <v>23</v>
      </c>
      <c r="D471" t="s">
        <v>24</v>
      </c>
      <c r="E471" t="s">
        <v>71</v>
      </c>
      <c r="F471" t="s">
        <v>1944</v>
      </c>
      <c r="G471" t="s">
        <v>1945</v>
      </c>
      <c r="H471" t="s">
        <v>38</v>
      </c>
      <c r="I471" t="s">
        <v>31</v>
      </c>
      <c r="J471" t="s">
        <v>30</v>
      </c>
      <c r="K471" t="s">
        <v>31</v>
      </c>
      <c r="L471" t="s">
        <v>38</v>
      </c>
      <c r="M471" t="s">
        <v>31</v>
      </c>
      <c r="N471">
        <v>295</v>
      </c>
      <c r="O471">
        <v>314</v>
      </c>
      <c r="P471">
        <v>218</v>
      </c>
      <c r="Q471">
        <v>827</v>
      </c>
      <c r="R471" s="15">
        <v>44670</v>
      </c>
      <c r="S471" t="s">
        <v>30</v>
      </c>
      <c r="T471" t="s">
        <v>31</v>
      </c>
      <c r="U471">
        <v>92380</v>
      </c>
    </row>
    <row r="472" spans="1:21" ht="14.25" customHeight="1" x14ac:dyDescent="0.35">
      <c r="A472" t="s">
        <v>1946</v>
      </c>
      <c r="B472" t="s">
        <v>1947</v>
      </c>
      <c r="C472" t="s">
        <v>23</v>
      </c>
      <c r="D472" t="s">
        <v>24</v>
      </c>
      <c r="E472" t="s">
        <v>76</v>
      </c>
      <c r="F472" t="s">
        <v>1948</v>
      </c>
      <c r="G472" t="s">
        <v>1949</v>
      </c>
      <c r="H472" t="s">
        <v>599</v>
      </c>
      <c r="I472" t="s">
        <v>600</v>
      </c>
      <c r="J472" t="s">
        <v>30</v>
      </c>
      <c r="K472" t="s">
        <v>31</v>
      </c>
      <c r="L472" t="s">
        <v>30</v>
      </c>
      <c r="M472" t="s">
        <v>31</v>
      </c>
      <c r="N472">
        <v>700</v>
      </c>
      <c r="O472">
        <v>300</v>
      </c>
      <c r="P472">
        <v>300</v>
      </c>
      <c r="Q472">
        <v>1300</v>
      </c>
      <c r="R472" s="15">
        <v>44669</v>
      </c>
      <c r="S472" t="s">
        <v>28</v>
      </c>
      <c r="T472" t="s">
        <v>29</v>
      </c>
      <c r="U472">
        <v>59558</v>
      </c>
    </row>
    <row r="473" spans="1:21" ht="14.25" customHeight="1" x14ac:dyDescent="0.35">
      <c r="A473" t="s">
        <v>1950</v>
      </c>
      <c r="B473" t="s">
        <v>1951</v>
      </c>
      <c r="C473" t="s">
        <v>23</v>
      </c>
      <c r="D473" t="s">
        <v>24</v>
      </c>
      <c r="E473" t="s">
        <v>46</v>
      </c>
      <c r="F473" t="s">
        <v>1952</v>
      </c>
      <c r="G473" t="s">
        <v>1953</v>
      </c>
      <c r="H473" t="s">
        <v>30</v>
      </c>
      <c r="I473" t="s">
        <v>31</v>
      </c>
      <c r="J473" t="s">
        <v>30</v>
      </c>
      <c r="K473" t="s">
        <v>31</v>
      </c>
      <c r="L473" t="s">
        <v>38</v>
      </c>
      <c r="M473" t="s">
        <v>31</v>
      </c>
      <c r="N473">
        <v>363</v>
      </c>
      <c r="O473">
        <v>344</v>
      </c>
      <c r="P473">
        <v>220</v>
      </c>
      <c r="Q473">
        <v>927</v>
      </c>
      <c r="R473" s="15">
        <v>44669</v>
      </c>
      <c r="S473" t="s">
        <v>32</v>
      </c>
      <c r="T473" t="s">
        <v>29</v>
      </c>
      <c r="U473">
        <v>920760</v>
      </c>
    </row>
    <row r="474" spans="1:21" ht="14.25" customHeight="1" x14ac:dyDescent="0.35">
      <c r="A474" t="s">
        <v>1954</v>
      </c>
      <c r="B474" t="s">
        <v>1955</v>
      </c>
      <c r="C474" t="s">
        <v>23</v>
      </c>
      <c r="D474" t="s">
        <v>24</v>
      </c>
      <c r="E474" t="s">
        <v>46</v>
      </c>
      <c r="F474" t="s">
        <v>1956</v>
      </c>
      <c r="G474" t="s">
        <v>1957</v>
      </c>
      <c r="H474" t="s">
        <v>28</v>
      </c>
      <c r="I474" t="s">
        <v>29</v>
      </c>
      <c r="J474" t="s">
        <v>32</v>
      </c>
      <c r="K474" t="s">
        <v>29</v>
      </c>
      <c r="L474" t="s">
        <v>30</v>
      </c>
      <c r="M474" t="s">
        <v>31</v>
      </c>
      <c r="N474">
        <v>560</v>
      </c>
      <c r="O474">
        <v>422</v>
      </c>
      <c r="P474">
        <v>310</v>
      </c>
      <c r="Q474">
        <v>1292</v>
      </c>
      <c r="R474" s="15">
        <v>44669</v>
      </c>
      <c r="S474" t="s">
        <v>28</v>
      </c>
      <c r="T474" t="s">
        <v>29</v>
      </c>
      <c r="U474">
        <v>80424</v>
      </c>
    </row>
    <row r="475" spans="1:21" ht="14.25" customHeight="1" x14ac:dyDescent="0.35">
      <c r="A475" t="s">
        <v>1958</v>
      </c>
      <c r="B475" t="s">
        <v>1959</v>
      </c>
      <c r="C475" t="s">
        <v>23</v>
      </c>
      <c r="D475" t="s">
        <v>24</v>
      </c>
      <c r="E475" t="s">
        <v>215</v>
      </c>
      <c r="F475" t="s">
        <v>1960</v>
      </c>
      <c r="G475" t="s">
        <v>1961</v>
      </c>
      <c r="H475" t="s">
        <v>28</v>
      </c>
      <c r="I475" t="s">
        <v>29</v>
      </c>
      <c r="J475" t="s">
        <v>30</v>
      </c>
      <c r="K475" t="s">
        <v>31</v>
      </c>
      <c r="L475" t="s">
        <v>30</v>
      </c>
      <c r="M475" t="s">
        <v>31</v>
      </c>
      <c r="N475">
        <v>515</v>
      </c>
      <c r="O475">
        <v>335</v>
      </c>
      <c r="P475">
        <v>305</v>
      </c>
      <c r="Q475">
        <v>1155</v>
      </c>
      <c r="R475" s="15">
        <v>44723</v>
      </c>
      <c r="S475" t="s">
        <v>32</v>
      </c>
      <c r="T475" t="s">
        <v>29</v>
      </c>
      <c r="U475">
        <v>1821825</v>
      </c>
    </row>
    <row r="476" spans="1:21" ht="14.25" customHeight="1" x14ac:dyDescent="0.35">
      <c r="A476" t="s">
        <v>1962</v>
      </c>
      <c r="B476" t="s">
        <v>1963</v>
      </c>
      <c r="C476" t="s">
        <v>23</v>
      </c>
      <c r="D476" t="s">
        <v>24</v>
      </c>
      <c r="E476" t="s">
        <v>607</v>
      </c>
      <c r="F476" t="s">
        <v>1964</v>
      </c>
      <c r="G476" t="s">
        <v>1965</v>
      </c>
      <c r="H476" t="s">
        <v>28</v>
      </c>
      <c r="I476" t="s">
        <v>29</v>
      </c>
      <c r="J476" t="s">
        <v>30</v>
      </c>
      <c r="K476" t="s">
        <v>31</v>
      </c>
      <c r="L476" t="s">
        <v>30</v>
      </c>
      <c r="M476" t="s">
        <v>31</v>
      </c>
      <c r="N476">
        <v>505</v>
      </c>
      <c r="O476">
        <v>302</v>
      </c>
      <c r="P476">
        <v>300</v>
      </c>
      <c r="Q476">
        <v>1107</v>
      </c>
      <c r="R476" s="15">
        <v>44669</v>
      </c>
      <c r="S476" t="s">
        <v>32</v>
      </c>
      <c r="T476" t="s">
        <v>29</v>
      </c>
      <c r="U476">
        <v>797468</v>
      </c>
    </row>
    <row r="477" spans="1:21" ht="14.25" customHeight="1" x14ac:dyDescent="0.35">
      <c r="A477" t="s">
        <v>1966</v>
      </c>
      <c r="B477" t="s">
        <v>1967</v>
      </c>
      <c r="C477" t="s">
        <v>23</v>
      </c>
      <c r="D477" t="s">
        <v>24</v>
      </c>
      <c r="E477" t="s">
        <v>91</v>
      </c>
      <c r="F477" t="s">
        <v>1968</v>
      </c>
      <c r="G477" t="s">
        <v>1969</v>
      </c>
      <c r="H477" t="s">
        <v>28</v>
      </c>
      <c r="I477" t="s">
        <v>29</v>
      </c>
      <c r="J477" t="s">
        <v>30</v>
      </c>
      <c r="K477" t="s">
        <v>31</v>
      </c>
      <c r="L477" t="s">
        <v>38</v>
      </c>
      <c r="M477" t="s">
        <v>31</v>
      </c>
      <c r="N477">
        <v>500</v>
      </c>
      <c r="O477">
        <v>318</v>
      </c>
      <c r="P477">
        <v>275</v>
      </c>
      <c r="Q477">
        <v>1093</v>
      </c>
      <c r="R477" s="15">
        <v>44722</v>
      </c>
      <c r="S477" t="s">
        <v>32</v>
      </c>
      <c r="T477" t="s">
        <v>29</v>
      </c>
      <c r="U477">
        <v>1571996</v>
      </c>
    </row>
    <row r="478" spans="1:21" ht="14.25" customHeight="1" x14ac:dyDescent="0.35">
      <c r="A478" t="s">
        <v>1970</v>
      </c>
      <c r="B478" t="s">
        <v>1971</v>
      </c>
      <c r="C478" t="s">
        <v>23</v>
      </c>
      <c r="D478" t="s">
        <v>24</v>
      </c>
      <c r="E478" t="s">
        <v>91</v>
      </c>
      <c r="F478" t="s">
        <v>1972</v>
      </c>
      <c r="G478" t="s">
        <v>1973</v>
      </c>
      <c r="H478" t="s">
        <v>32</v>
      </c>
      <c r="I478" t="s">
        <v>29</v>
      </c>
      <c r="J478" t="s">
        <v>30</v>
      </c>
      <c r="K478" t="s">
        <v>31</v>
      </c>
      <c r="L478" t="s">
        <v>30</v>
      </c>
      <c r="M478" t="s">
        <v>31</v>
      </c>
      <c r="N478">
        <v>470</v>
      </c>
      <c r="O478">
        <v>305</v>
      </c>
      <c r="P478">
        <v>315</v>
      </c>
      <c r="Q478">
        <v>1090</v>
      </c>
      <c r="R478" s="15">
        <v>44669</v>
      </c>
      <c r="S478" t="s">
        <v>32</v>
      </c>
      <c r="T478" t="s">
        <v>29</v>
      </c>
      <c r="U478">
        <v>1590955</v>
      </c>
    </row>
    <row r="479" spans="1:21" ht="14.25" customHeight="1" x14ac:dyDescent="0.35">
      <c r="A479" t="s">
        <v>1974</v>
      </c>
      <c r="B479" t="s">
        <v>1975</v>
      </c>
      <c r="C479" t="s">
        <v>23</v>
      </c>
      <c r="D479" t="s">
        <v>24</v>
      </c>
      <c r="E479" t="s">
        <v>330</v>
      </c>
      <c r="F479" t="s">
        <v>1976</v>
      </c>
      <c r="G479" t="s">
        <v>1977</v>
      </c>
      <c r="H479" t="s">
        <v>28</v>
      </c>
      <c r="I479" t="s">
        <v>29</v>
      </c>
      <c r="J479" t="s">
        <v>30</v>
      </c>
      <c r="K479" t="s">
        <v>31</v>
      </c>
      <c r="L479" t="s">
        <v>38</v>
      </c>
      <c r="M479" t="s">
        <v>31</v>
      </c>
      <c r="N479">
        <v>500</v>
      </c>
      <c r="O479">
        <v>300</v>
      </c>
      <c r="P479">
        <v>205</v>
      </c>
      <c r="Q479">
        <v>1005</v>
      </c>
      <c r="R479" s="15">
        <v>44670</v>
      </c>
      <c r="S479" t="s">
        <v>32</v>
      </c>
      <c r="T479" t="s">
        <v>29</v>
      </c>
      <c r="U479">
        <v>788784</v>
      </c>
    </row>
    <row r="480" spans="1:21" ht="14.25" customHeight="1" x14ac:dyDescent="0.35">
      <c r="A480" t="s">
        <v>1978</v>
      </c>
      <c r="B480" t="s">
        <v>1979</v>
      </c>
      <c r="C480" t="s">
        <v>23</v>
      </c>
      <c r="D480" t="s">
        <v>24</v>
      </c>
      <c r="E480" t="s">
        <v>607</v>
      </c>
      <c r="F480" t="s">
        <v>1980</v>
      </c>
      <c r="G480" t="s">
        <v>1981</v>
      </c>
      <c r="H480" t="s">
        <v>28</v>
      </c>
      <c r="I480" t="s">
        <v>29</v>
      </c>
      <c r="J480" t="s">
        <v>30</v>
      </c>
      <c r="K480" t="s">
        <v>31</v>
      </c>
      <c r="L480" t="s">
        <v>30</v>
      </c>
      <c r="M480" t="s">
        <v>31</v>
      </c>
      <c r="N480">
        <v>581</v>
      </c>
      <c r="O480">
        <v>326</v>
      </c>
      <c r="P480">
        <v>355</v>
      </c>
      <c r="Q480">
        <v>1262</v>
      </c>
      <c r="R480" s="15">
        <v>44669</v>
      </c>
      <c r="S480" t="s">
        <v>28</v>
      </c>
      <c r="T480" t="s">
        <v>29</v>
      </c>
      <c r="U480">
        <v>1039684</v>
      </c>
    </row>
    <row r="481" spans="1:21" ht="14.25" customHeight="1" x14ac:dyDescent="0.35">
      <c r="A481" t="s">
        <v>1982</v>
      </c>
      <c r="B481" t="s">
        <v>1983</v>
      </c>
      <c r="C481" t="s">
        <v>23</v>
      </c>
      <c r="D481" t="s">
        <v>24</v>
      </c>
      <c r="E481" t="s">
        <v>330</v>
      </c>
      <c r="F481" t="s">
        <v>1984</v>
      </c>
      <c r="G481" t="s">
        <v>1985</v>
      </c>
      <c r="H481" t="s">
        <v>30</v>
      </c>
      <c r="I481" t="s">
        <v>31</v>
      </c>
      <c r="J481" t="s">
        <v>30</v>
      </c>
      <c r="K481" t="s">
        <v>31</v>
      </c>
      <c r="L481" t="s">
        <v>38</v>
      </c>
      <c r="M481" t="s">
        <v>31</v>
      </c>
      <c r="N481">
        <v>371</v>
      </c>
      <c r="O481">
        <v>327</v>
      </c>
      <c r="P481">
        <v>218</v>
      </c>
      <c r="Q481">
        <v>916</v>
      </c>
      <c r="R481" s="15">
        <v>44669</v>
      </c>
      <c r="S481" t="s">
        <v>32</v>
      </c>
      <c r="T481" t="s">
        <v>29</v>
      </c>
      <c r="U481">
        <v>1013871</v>
      </c>
    </row>
    <row r="482" spans="1:21" ht="14.25" customHeight="1" x14ac:dyDescent="0.35">
      <c r="A482" t="s">
        <v>1986</v>
      </c>
      <c r="B482" t="s">
        <v>1987</v>
      </c>
      <c r="C482" t="s">
        <v>23</v>
      </c>
      <c r="D482" t="s">
        <v>24</v>
      </c>
      <c r="E482" t="s">
        <v>76</v>
      </c>
      <c r="F482" t="s">
        <v>1988</v>
      </c>
      <c r="G482" t="s">
        <v>1989</v>
      </c>
      <c r="H482" t="s">
        <v>28</v>
      </c>
      <c r="I482" t="s">
        <v>29</v>
      </c>
      <c r="J482" t="s">
        <v>30</v>
      </c>
      <c r="K482" t="s">
        <v>31</v>
      </c>
      <c r="L482" t="s">
        <v>30</v>
      </c>
      <c r="M482" t="s">
        <v>31</v>
      </c>
      <c r="N482">
        <v>505</v>
      </c>
      <c r="O482">
        <v>303</v>
      </c>
      <c r="P482">
        <v>313</v>
      </c>
      <c r="Q482">
        <v>1121</v>
      </c>
      <c r="R482" s="15">
        <v>44669</v>
      </c>
      <c r="S482" t="s">
        <v>32</v>
      </c>
      <c r="T482" t="s">
        <v>29</v>
      </c>
      <c r="U482">
        <v>60086</v>
      </c>
    </row>
    <row r="483" spans="1:21" ht="14.25" customHeight="1" x14ac:dyDescent="0.35">
      <c r="A483" t="s">
        <v>1990</v>
      </c>
      <c r="B483" t="s">
        <v>1991</v>
      </c>
      <c r="C483" t="s">
        <v>23</v>
      </c>
      <c r="D483" t="s">
        <v>24</v>
      </c>
      <c r="E483" t="s">
        <v>25</v>
      </c>
      <c r="F483" t="s">
        <v>1992</v>
      </c>
      <c r="G483" t="s">
        <v>1993</v>
      </c>
      <c r="H483" t="s">
        <v>28</v>
      </c>
      <c r="I483" t="s">
        <v>29</v>
      </c>
      <c r="J483" t="s">
        <v>30</v>
      </c>
      <c r="K483" t="s">
        <v>31</v>
      </c>
      <c r="L483" t="s">
        <v>30</v>
      </c>
      <c r="M483" t="s">
        <v>31</v>
      </c>
      <c r="N483">
        <v>543</v>
      </c>
      <c r="O483">
        <v>333</v>
      </c>
      <c r="P483">
        <v>305</v>
      </c>
      <c r="Q483">
        <v>1181</v>
      </c>
      <c r="R483" s="15">
        <v>44669</v>
      </c>
      <c r="S483" t="s">
        <v>32</v>
      </c>
      <c r="T483" t="s">
        <v>29</v>
      </c>
      <c r="U483">
        <v>29989</v>
      </c>
    </row>
    <row r="484" spans="1:21" ht="14.25" customHeight="1" x14ac:dyDescent="0.35">
      <c r="A484" t="s">
        <v>1994</v>
      </c>
      <c r="B484" t="s">
        <v>1995</v>
      </c>
      <c r="C484" t="s">
        <v>23</v>
      </c>
      <c r="D484" t="s">
        <v>24</v>
      </c>
      <c r="E484" t="s">
        <v>91</v>
      </c>
      <c r="F484" t="s">
        <v>1996</v>
      </c>
      <c r="G484" t="s">
        <v>1997</v>
      </c>
      <c r="H484" t="s">
        <v>28</v>
      </c>
      <c r="I484" t="s">
        <v>29</v>
      </c>
      <c r="J484" t="s">
        <v>30</v>
      </c>
      <c r="K484" t="s">
        <v>31</v>
      </c>
      <c r="L484" t="s">
        <v>38</v>
      </c>
      <c r="M484" t="s">
        <v>31</v>
      </c>
      <c r="N484">
        <v>500</v>
      </c>
      <c r="O484">
        <v>300</v>
      </c>
      <c r="P484">
        <v>200</v>
      </c>
      <c r="Q484">
        <v>1000</v>
      </c>
      <c r="R484" s="15">
        <v>44821</v>
      </c>
      <c r="S484" t="s">
        <v>32</v>
      </c>
      <c r="T484" t="s">
        <v>29</v>
      </c>
      <c r="U484">
        <v>1341439</v>
      </c>
    </row>
    <row r="485" spans="1:21" ht="14.25" customHeight="1" x14ac:dyDescent="0.35">
      <c r="A485" t="s">
        <v>1998</v>
      </c>
      <c r="B485" t="s">
        <v>1999</v>
      </c>
      <c r="C485" t="s">
        <v>23</v>
      </c>
      <c r="D485" t="s">
        <v>24</v>
      </c>
      <c r="E485" t="s">
        <v>321</v>
      </c>
      <c r="F485" t="s">
        <v>2000</v>
      </c>
      <c r="G485" t="s">
        <v>2001</v>
      </c>
      <c r="H485" t="s">
        <v>28</v>
      </c>
      <c r="I485" t="s">
        <v>29</v>
      </c>
      <c r="J485" t="s">
        <v>30</v>
      </c>
      <c r="K485" t="s">
        <v>31</v>
      </c>
      <c r="L485" t="s">
        <v>30</v>
      </c>
      <c r="M485" t="s">
        <v>31</v>
      </c>
      <c r="N485">
        <v>500</v>
      </c>
      <c r="O485">
        <v>300</v>
      </c>
      <c r="P485">
        <v>300</v>
      </c>
      <c r="Q485">
        <v>1100</v>
      </c>
      <c r="R485" s="15">
        <v>44670</v>
      </c>
      <c r="S485" t="s">
        <v>32</v>
      </c>
      <c r="T485" t="s">
        <v>29</v>
      </c>
      <c r="U485">
        <v>726728</v>
      </c>
    </row>
    <row r="486" spans="1:21" ht="14.25" customHeight="1" x14ac:dyDescent="0.35">
      <c r="A486" t="s">
        <v>2002</v>
      </c>
      <c r="B486" t="s">
        <v>2003</v>
      </c>
      <c r="C486" t="s">
        <v>23</v>
      </c>
      <c r="D486" t="s">
        <v>24</v>
      </c>
      <c r="E486" t="s">
        <v>55</v>
      </c>
      <c r="F486" t="s">
        <v>2004</v>
      </c>
      <c r="G486" t="s">
        <v>2005</v>
      </c>
      <c r="H486" t="s">
        <v>38</v>
      </c>
      <c r="I486" t="s">
        <v>31</v>
      </c>
      <c r="J486" t="s">
        <v>38</v>
      </c>
      <c r="K486" t="s">
        <v>31</v>
      </c>
      <c r="L486" t="s">
        <v>38</v>
      </c>
      <c r="M486" t="s">
        <v>31</v>
      </c>
      <c r="N486">
        <v>205</v>
      </c>
      <c r="O486">
        <v>205</v>
      </c>
      <c r="P486">
        <v>200</v>
      </c>
      <c r="Q486">
        <v>610</v>
      </c>
      <c r="R486" s="15">
        <v>44668</v>
      </c>
      <c r="S486" t="s">
        <v>38</v>
      </c>
      <c r="T486" t="s">
        <v>31</v>
      </c>
      <c r="U486">
        <v>1286681</v>
      </c>
    </row>
    <row r="487" spans="1:21" ht="14.25" customHeight="1" x14ac:dyDescent="0.35">
      <c r="A487" t="s">
        <v>2006</v>
      </c>
      <c r="B487" t="s">
        <v>2007</v>
      </c>
      <c r="C487" t="s">
        <v>23</v>
      </c>
      <c r="D487" t="s">
        <v>24</v>
      </c>
      <c r="E487" t="s">
        <v>917</v>
      </c>
      <c r="F487" t="s">
        <v>2008</v>
      </c>
      <c r="G487" t="s">
        <v>2009</v>
      </c>
      <c r="H487" t="s">
        <v>38</v>
      </c>
      <c r="I487" t="s">
        <v>31</v>
      </c>
      <c r="J487" t="s">
        <v>38</v>
      </c>
      <c r="K487" t="s">
        <v>31</v>
      </c>
      <c r="L487" t="s">
        <v>30</v>
      </c>
      <c r="M487" t="s">
        <v>31</v>
      </c>
      <c r="N487">
        <v>210</v>
      </c>
      <c r="O487">
        <v>200</v>
      </c>
      <c r="P487">
        <v>305</v>
      </c>
      <c r="Q487">
        <v>715</v>
      </c>
      <c r="R487" s="15">
        <v>44667</v>
      </c>
      <c r="S487" t="s">
        <v>38</v>
      </c>
      <c r="T487" t="s">
        <v>31</v>
      </c>
      <c r="U487">
        <v>732717</v>
      </c>
    </row>
    <row r="488" spans="1:21" ht="14.25" customHeight="1" x14ac:dyDescent="0.35">
      <c r="A488" t="s">
        <v>2010</v>
      </c>
      <c r="B488" t="s">
        <v>2011</v>
      </c>
      <c r="C488" t="s">
        <v>23</v>
      </c>
      <c r="D488" t="s">
        <v>24</v>
      </c>
      <c r="E488" t="s">
        <v>652</v>
      </c>
      <c r="F488" t="s">
        <v>2012</v>
      </c>
      <c r="G488" t="s">
        <v>2013</v>
      </c>
      <c r="H488" t="s">
        <v>38</v>
      </c>
      <c r="I488" t="s">
        <v>31</v>
      </c>
      <c r="J488" t="s">
        <v>38</v>
      </c>
      <c r="K488" t="s">
        <v>31</v>
      </c>
      <c r="L488" t="s">
        <v>38</v>
      </c>
      <c r="M488" t="s">
        <v>31</v>
      </c>
      <c r="N488">
        <v>290</v>
      </c>
      <c r="O488">
        <v>257</v>
      </c>
      <c r="P488">
        <v>245</v>
      </c>
      <c r="Q488">
        <v>792</v>
      </c>
      <c r="R488" s="15">
        <v>44670</v>
      </c>
      <c r="S488" t="s">
        <v>30</v>
      </c>
      <c r="T488" t="s">
        <v>31</v>
      </c>
      <c r="U488">
        <v>100885</v>
      </c>
    </row>
    <row r="489" spans="1:21" ht="14.25" customHeight="1" x14ac:dyDescent="0.35">
      <c r="A489" t="s">
        <v>2014</v>
      </c>
      <c r="B489" t="s">
        <v>2015</v>
      </c>
      <c r="C489" t="s">
        <v>23</v>
      </c>
      <c r="D489" t="s">
        <v>24</v>
      </c>
      <c r="E489" t="s">
        <v>1443</v>
      </c>
      <c r="F489" t="s">
        <v>2016</v>
      </c>
      <c r="G489" t="s">
        <v>2017</v>
      </c>
      <c r="H489" t="s">
        <v>599</v>
      </c>
      <c r="I489" t="s">
        <v>600</v>
      </c>
      <c r="J489" t="s">
        <v>30</v>
      </c>
      <c r="K489" t="s">
        <v>31</v>
      </c>
      <c r="L489" t="s">
        <v>30</v>
      </c>
      <c r="M489" t="s">
        <v>31</v>
      </c>
      <c r="N489">
        <v>675</v>
      </c>
      <c r="O489">
        <v>389</v>
      </c>
      <c r="P489">
        <v>355</v>
      </c>
      <c r="Q489">
        <v>1419</v>
      </c>
      <c r="R489" s="15">
        <v>44669</v>
      </c>
      <c r="S489" t="s">
        <v>28</v>
      </c>
      <c r="T489" t="s">
        <v>29</v>
      </c>
      <c r="U489">
        <v>1164727</v>
      </c>
    </row>
    <row r="490" spans="1:21" ht="14.25" customHeight="1" x14ac:dyDescent="0.35">
      <c r="A490" t="s">
        <v>2018</v>
      </c>
      <c r="B490" t="s">
        <v>2019</v>
      </c>
      <c r="C490" t="s">
        <v>23</v>
      </c>
      <c r="D490" t="s">
        <v>24</v>
      </c>
      <c r="E490" t="s">
        <v>99</v>
      </c>
      <c r="F490" t="s">
        <v>2020</v>
      </c>
      <c r="G490" t="s">
        <v>2021</v>
      </c>
      <c r="H490" t="s">
        <v>30</v>
      </c>
      <c r="I490" t="s">
        <v>31</v>
      </c>
      <c r="J490" t="s">
        <v>38</v>
      </c>
      <c r="K490" t="s">
        <v>31</v>
      </c>
      <c r="L490" t="s">
        <v>38</v>
      </c>
      <c r="M490" t="s">
        <v>31</v>
      </c>
      <c r="N490">
        <v>335</v>
      </c>
      <c r="O490">
        <v>278</v>
      </c>
      <c r="P490">
        <v>255</v>
      </c>
      <c r="Q490">
        <v>868</v>
      </c>
      <c r="R490" s="15">
        <v>44668</v>
      </c>
      <c r="S490" t="s">
        <v>30</v>
      </c>
      <c r="T490" t="s">
        <v>31</v>
      </c>
      <c r="U490">
        <v>1048911</v>
      </c>
    </row>
    <row r="491" spans="1:21" ht="14.25" customHeight="1" x14ac:dyDescent="0.35">
      <c r="A491" t="s">
        <v>2022</v>
      </c>
      <c r="B491" t="s">
        <v>2023</v>
      </c>
      <c r="C491" t="s">
        <v>23</v>
      </c>
      <c r="D491" t="s">
        <v>24</v>
      </c>
      <c r="E491" t="s">
        <v>1541</v>
      </c>
      <c r="F491" t="s">
        <v>2024</v>
      </c>
      <c r="G491" t="s">
        <v>2025</v>
      </c>
      <c r="H491" t="s">
        <v>38</v>
      </c>
      <c r="I491" t="s">
        <v>31</v>
      </c>
      <c r="J491" t="s">
        <v>38</v>
      </c>
      <c r="K491" t="s">
        <v>31</v>
      </c>
      <c r="L491" t="s">
        <v>38</v>
      </c>
      <c r="M491" t="s">
        <v>31</v>
      </c>
      <c r="N491">
        <v>205</v>
      </c>
      <c r="O491">
        <v>275</v>
      </c>
      <c r="P491">
        <v>200</v>
      </c>
      <c r="Q491">
        <v>680</v>
      </c>
      <c r="R491" s="15">
        <v>44669</v>
      </c>
      <c r="S491" t="s">
        <v>38</v>
      </c>
      <c r="T491" t="s">
        <v>31</v>
      </c>
      <c r="U491">
        <v>320187</v>
      </c>
    </row>
    <row r="492" spans="1:21" ht="14.25" customHeight="1" x14ac:dyDescent="0.35">
      <c r="A492" t="s">
        <v>2026</v>
      </c>
      <c r="B492" t="s">
        <v>2027</v>
      </c>
      <c r="C492" t="s">
        <v>23</v>
      </c>
      <c r="D492" t="s">
        <v>24</v>
      </c>
      <c r="E492" t="s">
        <v>35</v>
      </c>
      <c r="F492" t="s">
        <v>2028</v>
      </c>
      <c r="G492" t="s">
        <v>2029</v>
      </c>
      <c r="H492" t="s">
        <v>38</v>
      </c>
      <c r="I492" t="s">
        <v>31</v>
      </c>
      <c r="J492" t="s">
        <v>38</v>
      </c>
      <c r="K492" t="s">
        <v>31</v>
      </c>
      <c r="L492" t="s">
        <v>38</v>
      </c>
      <c r="M492" t="s">
        <v>31</v>
      </c>
      <c r="N492">
        <v>292</v>
      </c>
      <c r="O492">
        <v>246</v>
      </c>
      <c r="P492">
        <v>215</v>
      </c>
      <c r="Q492">
        <v>753</v>
      </c>
      <c r="R492" s="15">
        <v>44668</v>
      </c>
      <c r="S492" t="s">
        <v>30</v>
      </c>
      <c r="T492" t="s">
        <v>31</v>
      </c>
      <c r="U492">
        <v>37996</v>
      </c>
    </row>
    <row r="493" spans="1:21" ht="14.25" customHeight="1" x14ac:dyDescent="0.35">
      <c r="A493" t="s">
        <v>2030</v>
      </c>
      <c r="B493" t="s">
        <v>2031</v>
      </c>
      <c r="C493" t="s">
        <v>23</v>
      </c>
      <c r="D493" t="s">
        <v>24</v>
      </c>
      <c r="E493" t="s">
        <v>1101</v>
      </c>
      <c r="F493" t="s">
        <v>2032</v>
      </c>
      <c r="G493" t="s">
        <v>2033</v>
      </c>
      <c r="H493" t="s">
        <v>28</v>
      </c>
      <c r="I493" t="s">
        <v>29</v>
      </c>
      <c r="J493" t="s">
        <v>30</v>
      </c>
      <c r="K493" t="s">
        <v>31</v>
      </c>
      <c r="L493" t="s">
        <v>30</v>
      </c>
      <c r="M493" t="s">
        <v>31</v>
      </c>
      <c r="N493">
        <v>510</v>
      </c>
      <c r="O493">
        <v>324</v>
      </c>
      <c r="P493">
        <v>320</v>
      </c>
      <c r="Q493">
        <v>1154</v>
      </c>
      <c r="R493" s="15">
        <v>44669</v>
      </c>
      <c r="S493" t="s">
        <v>32</v>
      </c>
      <c r="T493" t="s">
        <v>29</v>
      </c>
      <c r="U493">
        <v>936468</v>
      </c>
    </row>
    <row r="494" spans="1:21" ht="14.25" customHeight="1" x14ac:dyDescent="0.35">
      <c r="A494" t="s">
        <v>2034</v>
      </c>
      <c r="B494" t="s">
        <v>2035</v>
      </c>
      <c r="C494" t="s">
        <v>23</v>
      </c>
      <c r="D494" t="s">
        <v>24</v>
      </c>
      <c r="E494" t="s">
        <v>233</v>
      </c>
      <c r="F494" t="s">
        <v>2036</v>
      </c>
      <c r="G494" t="s">
        <v>2037</v>
      </c>
      <c r="H494" t="s">
        <v>38</v>
      </c>
      <c r="I494" t="s">
        <v>31</v>
      </c>
      <c r="J494" t="s">
        <v>38</v>
      </c>
      <c r="K494" t="s">
        <v>31</v>
      </c>
      <c r="L494" t="s">
        <v>38</v>
      </c>
      <c r="M494" t="s">
        <v>31</v>
      </c>
      <c r="N494">
        <v>293</v>
      </c>
      <c r="O494">
        <v>235</v>
      </c>
      <c r="P494">
        <v>216</v>
      </c>
      <c r="Q494">
        <v>744</v>
      </c>
      <c r="R494" s="15">
        <v>44670</v>
      </c>
      <c r="S494" t="s">
        <v>38</v>
      </c>
      <c r="T494" t="s">
        <v>31</v>
      </c>
      <c r="U494">
        <v>1060391</v>
      </c>
    </row>
    <row r="495" spans="1:21" ht="14.25" customHeight="1" x14ac:dyDescent="0.35">
      <c r="A495" t="s">
        <v>2038</v>
      </c>
      <c r="B495" t="s">
        <v>2039</v>
      </c>
      <c r="C495" t="s">
        <v>23</v>
      </c>
      <c r="D495" t="s">
        <v>65</v>
      </c>
      <c r="E495" t="s">
        <v>189</v>
      </c>
      <c r="F495" t="s">
        <v>2040</v>
      </c>
      <c r="G495" t="s">
        <v>2041</v>
      </c>
      <c r="H495" t="s">
        <v>28</v>
      </c>
      <c r="I495" t="s">
        <v>29</v>
      </c>
      <c r="J495" t="s">
        <v>30</v>
      </c>
      <c r="K495" t="s">
        <v>31</v>
      </c>
      <c r="L495" t="s">
        <v>30</v>
      </c>
      <c r="M495" t="s">
        <v>31</v>
      </c>
      <c r="N495">
        <v>565</v>
      </c>
      <c r="O495">
        <v>316</v>
      </c>
      <c r="P495">
        <v>300</v>
      </c>
      <c r="Q495">
        <v>1181</v>
      </c>
      <c r="R495" s="15">
        <v>44668</v>
      </c>
      <c r="S495" t="s">
        <v>32</v>
      </c>
      <c r="T495" t="s">
        <v>29</v>
      </c>
      <c r="U495">
        <v>1463101</v>
      </c>
    </row>
    <row r="496" spans="1:21" ht="14.25" customHeight="1" x14ac:dyDescent="0.35">
      <c r="A496" t="s">
        <v>2042</v>
      </c>
      <c r="B496" t="s">
        <v>2043</v>
      </c>
      <c r="C496" t="s">
        <v>23</v>
      </c>
      <c r="D496" t="s">
        <v>65</v>
      </c>
      <c r="E496" t="s">
        <v>330</v>
      </c>
      <c r="F496" t="s">
        <v>2044</v>
      </c>
      <c r="G496" t="s">
        <v>2045</v>
      </c>
      <c r="H496" t="s">
        <v>599</v>
      </c>
      <c r="I496" t="s">
        <v>600</v>
      </c>
      <c r="J496" t="s">
        <v>32</v>
      </c>
      <c r="K496" t="s">
        <v>29</v>
      </c>
      <c r="L496" t="s">
        <v>30</v>
      </c>
      <c r="M496" t="s">
        <v>31</v>
      </c>
      <c r="N496">
        <v>694</v>
      </c>
      <c r="O496">
        <v>403</v>
      </c>
      <c r="P496">
        <v>316</v>
      </c>
      <c r="Q496">
        <v>1413</v>
      </c>
      <c r="R496" s="15">
        <v>44668</v>
      </c>
      <c r="S496" t="s">
        <v>28</v>
      </c>
      <c r="T496" t="s">
        <v>29</v>
      </c>
      <c r="U496">
        <v>1109357</v>
      </c>
    </row>
    <row r="497" spans="1:21" ht="14.25" customHeight="1" x14ac:dyDescent="0.35">
      <c r="A497" t="s">
        <v>2046</v>
      </c>
      <c r="B497" t="s">
        <v>2047</v>
      </c>
      <c r="C497" t="s">
        <v>23</v>
      </c>
      <c r="D497" t="s">
        <v>65</v>
      </c>
      <c r="E497" t="s">
        <v>99</v>
      </c>
      <c r="F497" t="s">
        <v>2048</v>
      </c>
      <c r="G497" t="s">
        <v>2049</v>
      </c>
      <c r="H497" t="s">
        <v>28</v>
      </c>
      <c r="I497" t="s">
        <v>29</v>
      </c>
      <c r="J497" t="s">
        <v>30</v>
      </c>
      <c r="K497" t="s">
        <v>31</v>
      </c>
      <c r="L497" t="s">
        <v>30</v>
      </c>
      <c r="M497" t="s">
        <v>31</v>
      </c>
      <c r="N497">
        <v>510</v>
      </c>
      <c r="O497">
        <v>302</v>
      </c>
      <c r="P497">
        <v>300</v>
      </c>
      <c r="Q497">
        <v>1112</v>
      </c>
      <c r="R497" s="15">
        <v>44668</v>
      </c>
      <c r="S497" t="s">
        <v>32</v>
      </c>
      <c r="T497" t="s">
        <v>29</v>
      </c>
      <c r="U497">
        <v>746515</v>
      </c>
    </row>
    <row r="498" spans="1:21" ht="14.25" customHeight="1" x14ac:dyDescent="0.35">
      <c r="A498" t="s">
        <v>2050</v>
      </c>
      <c r="B498" t="s">
        <v>2051</v>
      </c>
      <c r="C498" t="s">
        <v>23</v>
      </c>
      <c r="D498" t="s">
        <v>65</v>
      </c>
      <c r="E498" t="s">
        <v>55</v>
      </c>
      <c r="F498" t="s">
        <v>2052</v>
      </c>
      <c r="G498" t="s">
        <v>2053</v>
      </c>
      <c r="H498" t="s">
        <v>38</v>
      </c>
      <c r="I498" t="s">
        <v>31</v>
      </c>
      <c r="J498" t="s">
        <v>38</v>
      </c>
      <c r="K498" t="s">
        <v>31</v>
      </c>
      <c r="L498" t="s">
        <v>30</v>
      </c>
      <c r="M498" t="s">
        <v>31</v>
      </c>
      <c r="N498">
        <v>225</v>
      </c>
      <c r="O498">
        <v>242</v>
      </c>
      <c r="P498">
        <v>305</v>
      </c>
      <c r="Q498">
        <v>772</v>
      </c>
      <c r="R498" s="15">
        <v>44668</v>
      </c>
      <c r="S498" t="s">
        <v>30</v>
      </c>
      <c r="T498" t="s">
        <v>31</v>
      </c>
      <c r="U498">
        <v>1324424</v>
      </c>
    </row>
    <row r="499" spans="1:21" ht="14.25" customHeight="1" x14ac:dyDescent="0.35">
      <c r="A499" t="s">
        <v>2054</v>
      </c>
      <c r="B499" t="s">
        <v>2055</v>
      </c>
      <c r="C499" t="s">
        <v>23</v>
      </c>
      <c r="D499" t="s">
        <v>65</v>
      </c>
      <c r="E499" t="s">
        <v>41</v>
      </c>
      <c r="F499" t="s">
        <v>2056</v>
      </c>
      <c r="G499" t="s">
        <v>2057</v>
      </c>
      <c r="H499" t="s">
        <v>38</v>
      </c>
      <c r="I499" t="s">
        <v>31</v>
      </c>
      <c r="J499" t="s">
        <v>30</v>
      </c>
      <c r="K499" t="s">
        <v>31</v>
      </c>
      <c r="L499" t="s">
        <v>38</v>
      </c>
      <c r="M499" t="s">
        <v>31</v>
      </c>
      <c r="N499">
        <v>230</v>
      </c>
      <c r="O499">
        <v>302</v>
      </c>
      <c r="P499">
        <v>200</v>
      </c>
      <c r="Q499">
        <v>732</v>
      </c>
      <c r="R499" s="15">
        <v>44668</v>
      </c>
      <c r="S499" t="s">
        <v>38</v>
      </c>
      <c r="T499" t="s">
        <v>31</v>
      </c>
      <c r="U499">
        <v>815556</v>
      </c>
    </row>
    <row r="500" spans="1:21" ht="14.25" customHeight="1" x14ac:dyDescent="0.35">
      <c r="A500" t="s">
        <v>2058</v>
      </c>
      <c r="B500" t="s">
        <v>2059</v>
      </c>
      <c r="C500" t="s">
        <v>23</v>
      </c>
      <c r="D500" t="s">
        <v>65</v>
      </c>
      <c r="E500" t="s">
        <v>81</v>
      </c>
      <c r="F500" t="s">
        <v>2060</v>
      </c>
      <c r="G500" t="s">
        <v>2061</v>
      </c>
      <c r="H500" t="s">
        <v>38</v>
      </c>
      <c r="I500" t="s">
        <v>31</v>
      </c>
      <c r="J500" t="s">
        <v>38</v>
      </c>
      <c r="K500" t="s">
        <v>31</v>
      </c>
      <c r="L500" t="s">
        <v>38</v>
      </c>
      <c r="M500" t="s">
        <v>31</v>
      </c>
      <c r="N500">
        <v>200</v>
      </c>
      <c r="O500">
        <v>221</v>
      </c>
      <c r="P500">
        <v>215</v>
      </c>
      <c r="Q500">
        <v>636</v>
      </c>
      <c r="R500" s="15">
        <v>44668</v>
      </c>
      <c r="S500" t="s">
        <v>38</v>
      </c>
      <c r="T500" t="s">
        <v>31</v>
      </c>
      <c r="U500">
        <v>1048695</v>
      </c>
    </row>
    <row r="501" spans="1:21" ht="14.25" customHeight="1" x14ac:dyDescent="0.35">
      <c r="A501" t="s">
        <v>2062</v>
      </c>
      <c r="B501" t="s">
        <v>2063</v>
      </c>
      <c r="C501" t="s">
        <v>23</v>
      </c>
      <c r="D501" t="s">
        <v>65</v>
      </c>
      <c r="E501" t="s">
        <v>91</v>
      </c>
      <c r="F501" t="s">
        <v>2064</v>
      </c>
      <c r="G501" t="s">
        <v>2065</v>
      </c>
      <c r="H501" t="s">
        <v>30</v>
      </c>
      <c r="I501" t="s">
        <v>31</v>
      </c>
      <c r="J501" t="s">
        <v>30</v>
      </c>
      <c r="K501" t="s">
        <v>31</v>
      </c>
      <c r="L501" t="s">
        <v>30</v>
      </c>
      <c r="M501" t="s">
        <v>31</v>
      </c>
      <c r="N501">
        <v>395</v>
      </c>
      <c r="O501">
        <v>302</v>
      </c>
      <c r="P501">
        <v>310</v>
      </c>
      <c r="Q501">
        <v>1007</v>
      </c>
      <c r="R501" s="15">
        <v>44668</v>
      </c>
      <c r="S501" t="s">
        <v>32</v>
      </c>
      <c r="T501" t="s">
        <v>29</v>
      </c>
      <c r="U501">
        <v>798354</v>
      </c>
    </row>
    <row r="502" spans="1:21" ht="14.25" customHeight="1" x14ac:dyDescent="0.35">
      <c r="A502" t="s">
        <v>2066</v>
      </c>
      <c r="B502" t="s">
        <v>2067</v>
      </c>
      <c r="C502" t="s">
        <v>23</v>
      </c>
      <c r="D502" t="s">
        <v>65</v>
      </c>
      <c r="E502" t="s">
        <v>321</v>
      </c>
      <c r="F502" t="s">
        <v>2068</v>
      </c>
      <c r="G502" t="s">
        <v>2069</v>
      </c>
      <c r="H502" t="s">
        <v>28</v>
      </c>
      <c r="I502" t="s">
        <v>29</v>
      </c>
      <c r="J502" t="s">
        <v>30</v>
      </c>
      <c r="K502" t="s">
        <v>31</v>
      </c>
      <c r="L502" t="s">
        <v>30</v>
      </c>
      <c r="M502" t="s">
        <v>31</v>
      </c>
      <c r="N502">
        <v>515</v>
      </c>
      <c r="O502">
        <v>323</v>
      </c>
      <c r="P502">
        <v>315</v>
      </c>
      <c r="Q502">
        <v>1153</v>
      </c>
      <c r="R502" s="15">
        <v>44668</v>
      </c>
      <c r="S502" t="s">
        <v>32</v>
      </c>
      <c r="T502" t="s">
        <v>29</v>
      </c>
      <c r="U502">
        <v>1101239</v>
      </c>
    </row>
    <row r="503" spans="1:21" ht="14.25" customHeight="1" x14ac:dyDescent="0.35">
      <c r="A503" t="s">
        <v>2070</v>
      </c>
      <c r="B503" t="s">
        <v>2071</v>
      </c>
      <c r="C503" t="s">
        <v>23</v>
      </c>
      <c r="D503" t="s">
        <v>65</v>
      </c>
      <c r="E503" t="s">
        <v>91</v>
      </c>
      <c r="F503" t="s">
        <v>2072</v>
      </c>
      <c r="G503" t="s">
        <v>2073</v>
      </c>
      <c r="H503" t="s">
        <v>28</v>
      </c>
      <c r="I503" t="s">
        <v>29</v>
      </c>
      <c r="J503" t="s">
        <v>30</v>
      </c>
      <c r="K503" t="s">
        <v>31</v>
      </c>
      <c r="L503" t="s">
        <v>30</v>
      </c>
      <c r="M503" t="s">
        <v>31</v>
      </c>
      <c r="N503">
        <v>500</v>
      </c>
      <c r="O503">
        <v>306</v>
      </c>
      <c r="P503">
        <v>305</v>
      </c>
      <c r="Q503">
        <v>1111</v>
      </c>
      <c r="R503" s="15">
        <v>44668</v>
      </c>
      <c r="S503" t="s">
        <v>32</v>
      </c>
      <c r="T503" t="s">
        <v>29</v>
      </c>
      <c r="U503">
        <v>1262039</v>
      </c>
    </row>
    <row r="504" spans="1:21" ht="14.25" customHeight="1" x14ac:dyDescent="0.35">
      <c r="A504" t="s">
        <v>2074</v>
      </c>
      <c r="B504" t="s">
        <v>2075</v>
      </c>
      <c r="C504" t="s">
        <v>23</v>
      </c>
      <c r="D504" t="s">
        <v>65</v>
      </c>
      <c r="E504" t="s">
        <v>596</v>
      </c>
      <c r="F504" t="s">
        <v>2076</v>
      </c>
      <c r="G504" t="s">
        <v>2077</v>
      </c>
      <c r="H504" t="s">
        <v>38</v>
      </c>
      <c r="I504" t="s">
        <v>31</v>
      </c>
      <c r="J504" t="s">
        <v>38</v>
      </c>
      <c r="K504" t="s">
        <v>31</v>
      </c>
      <c r="L504" t="s">
        <v>38</v>
      </c>
      <c r="M504" t="s">
        <v>31</v>
      </c>
      <c r="N504">
        <v>235</v>
      </c>
      <c r="O504">
        <v>241</v>
      </c>
      <c r="P504">
        <v>235</v>
      </c>
      <c r="Q504">
        <v>711</v>
      </c>
      <c r="R504" s="15">
        <v>44668</v>
      </c>
      <c r="S504" t="s">
        <v>38</v>
      </c>
      <c r="T504" t="s">
        <v>31</v>
      </c>
      <c r="U504">
        <v>1370637</v>
      </c>
    </row>
    <row r="505" spans="1:21" ht="14.25" customHeight="1" x14ac:dyDescent="0.35">
      <c r="A505" t="s">
        <v>2078</v>
      </c>
      <c r="B505" t="s">
        <v>2079</v>
      </c>
      <c r="C505" t="s">
        <v>23</v>
      </c>
      <c r="D505" t="s">
        <v>24</v>
      </c>
      <c r="E505" t="s">
        <v>224</v>
      </c>
      <c r="F505" t="s">
        <v>2080</v>
      </c>
      <c r="G505" t="s">
        <v>2081</v>
      </c>
      <c r="H505" t="s">
        <v>30</v>
      </c>
      <c r="I505" t="s">
        <v>31</v>
      </c>
      <c r="J505" t="s">
        <v>30</v>
      </c>
      <c r="K505" t="s">
        <v>31</v>
      </c>
      <c r="L505" t="s">
        <v>30</v>
      </c>
      <c r="M505" t="s">
        <v>31</v>
      </c>
      <c r="N505">
        <v>321</v>
      </c>
      <c r="O505">
        <v>349</v>
      </c>
      <c r="P505">
        <v>310</v>
      </c>
      <c r="Q505">
        <v>980</v>
      </c>
      <c r="R505" s="15">
        <v>44668</v>
      </c>
      <c r="S505" t="s">
        <v>32</v>
      </c>
      <c r="T505" t="s">
        <v>29</v>
      </c>
      <c r="U505">
        <v>38777</v>
      </c>
    </row>
    <row r="506" spans="1:21" ht="14.25" customHeight="1" x14ac:dyDescent="0.35">
      <c r="A506" t="s">
        <v>2082</v>
      </c>
      <c r="B506" t="s">
        <v>2083</v>
      </c>
      <c r="C506" t="s">
        <v>23</v>
      </c>
      <c r="D506" t="s">
        <v>24</v>
      </c>
      <c r="E506" t="s">
        <v>321</v>
      </c>
      <c r="F506" t="s">
        <v>2084</v>
      </c>
      <c r="G506" t="s">
        <v>2085</v>
      </c>
      <c r="H506" t="s">
        <v>28</v>
      </c>
      <c r="I506" t="s">
        <v>29</v>
      </c>
      <c r="J506" t="s">
        <v>30</v>
      </c>
      <c r="K506" t="s">
        <v>31</v>
      </c>
      <c r="L506" t="s">
        <v>30</v>
      </c>
      <c r="M506" t="s">
        <v>31</v>
      </c>
      <c r="N506">
        <v>540</v>
      </c>
      <c r="O506">
        <v>317</v>
      </c>
      <c r="P506">
        <v>300</v>
      </c>
      <c r="Q506">
        <v>1157</v>
      </c>
      <c r="R506" s="15">
        <v>44668</v>
      </c>
      <c r="S506" t="s">
        <v>32</v>
      </c>
      <c r="T506" t="s">
        <v>29</v>
      </c>
      <c r="U506">
        <v>1297996</v>
      </c>
    </row>
    <row r="507" spans="1:21" ht="14.25" customHeight="1" x14ac:dyDescent="0.35">
      <c r="A507" t="s">
        <v>2086</v>
      </c>
      <c r="B507" t="s">
        <v>2087</v>
      </c>
      <c r="C507" t="s">
        <v>23</v>
      </c>
      <c r="D507" t="s">
        <v>24</v>
      </c>
      <c r="E507" t="s">
        <v>133</v>
      </c>
      <c r="F507" t="s">
        <v>2088</v>
      </c>
      <c r="G507" t="s">
        <v>2089</v>
      </c>
      <c r="H507" t="s">
        <v>28</v>
      </c>
      <c r="I507" t="s">
        <v>29</v>
      </c>
      <c r="J507" t="s">
        <v>30</v>
      </c>
      <c r="K507" t="s">
        <v>31</v>
      </c>
      <c r="L507" t="s">
        <v>30</v>
      </c>
      <c r="M507" t="s">
        <v>31</v>
      </c>
      <c r="N507">
        <v>530</v>
      </c>
      <c r="O507">
        <v>344</v>
      </c>
      <c r="P507">
        <v>385</v>
      </c>
      <c r="Q507">
        <v>1259</v>
      </c>
      <c r="R507" s="15">
        <v>44668</v>
      </c>
      <c r="S507" t="s">
        <v>28</v>
      </c>
      <c r="T507" t="s">
        <v>29</v>
      </c>
      <c r="U507">
        <v>313616</v>
      </c>
    </row>
    <row r="508" spans="1:21" ht="14.25" customHeight="1" x14ac:dyDescent="0.35">
      <c r="A508" t="s">
        <v>2090</v>
      </c>
      <c r="B508" t="s">
        <v>2091</v>
      </c>
      <c r="C508" t="s">
        <v>23</v>
      </c>
      <c r="D508" t="s">
        <v>24</v>
      </c>
      <c r="E508" t="s">
        <v>926</v>
      </c>
      <c r="F508" t="s">
        <v>2092</v>
      </c>
      <c r="G508" t="s">
        <v>2093</v>
      </c>
      <c r="H508" t="s">
        <v>30</v>
      </c>
      <c r="I508" t="s">
        <v>31</v>
      </c>
      <c r="J508" t="s">
        <v>30</v>
      </c>
      <c r="K508" t="s">
        <v>31</v>
      </c>
      <c r="L508" t="s">
        <v>30</v>
      </c>
      <c r="M508" t="s">
        <v>31</v>
      </c>
      <c r="N508">
        <v>390</v>
      </c>
      <c r="O508">
        <v>300</v>
      </c>
      <c r="P508">
        <v>305</v>
      </c>
      <c r="Q508">
        <v>995</v>
      </c>
      <c r="R508" s="15">
        <v>44722</v>
      </c>
      <c r="S508" t="s">
        <v>32</v>
      </c>
      <c r="T508" t="s">
        <v>29</v>
      </c>
      <c r="U508">
        <v>33185</v>
      </c>
    </row>
    <row r="509" spans="1:21" ht="14.25" customHeight="1" x14ac:dyDescent="0.35">
      <c r="A509" t="s">
        <v>2094</v>
      </c>
      <c r="B509" t="s">
        <v>2095</v>
      </c>
      <c r="C509" t="s">
        <v>23</v>
      </c>
      <c r="D509" t="s">
        <v>24</v>
      </c>
      <c r="E509" t="s">
        <v>46</v>
      </c>
      <c r="F509" t="s">
        <v>2096</v>
      </c>
      <c r="G509" t="s">
        <v>2097</v>
      </c>
      <c r="H509" t="s">
        <v>28</v>
      </c>
      <c r="I509" t="s">
        <v>29</v>
      </c>
      <c r="J509" t="s">
        <v>30</v>
      </c>
      <c r="K509" t="s">
        <v>31</v>
      </c>
      <c r="L509" t="s">
        <v>30</v>
      </c>
      <c r="M509" t="s">
        <v>31</v>
      </c>
      <c r="N509">
        <v>500</v>
      </c>
      <c r="O509">
        <v>300</v>
      </c>
      <c r="P509">
        <v>300</v>
      </c>
      <c r="Q509">
        <v>1100</v>
      </c>
      <c r="R509" s="15">
        <v>44668</v>
      </c>
      <c r="S509" t="s">
        <v>32</v>
      </c>
      <c r="T509" t="s">
        <v>29</v>
      </c>
      <c r="U509">
        <v>1001250</v>
      </c>
    </row>
    <row r="510" spans="1:21" ht="14.25" customHeight="1" x14ac:dyDescent="0.35">
      <c r="A510" t="s">
        <v>2098</v>
      </c>
      <c r="B510" t="s">
        <v>2099</v>
      </c>
      <c r="C510" t="s">
        <v>23</v>
      </c>
      <c r="D510" t="s">
        <v>24</v>
      </c>
      <c r="E510" t="s">
        <v>258</v>
      </c>
      <c r="F510" t="s">
        <v>2100</v>
      </c>
      <c r="G510" t="s">
        <v>2101</v>
      </c>
      <c r="H510" t="s">
        <v>28</v>
      </c>
      <c r="I510" t="s">
        <v>29</v>
      </c>
      <c r="J510" t="s">
        <v>30</v>
      </c>
      <c r="K510" t="s">
        <v>31</v>
      </c>
      <c r="L510" t="s">
        <v>30</v>
      </c>
      <c r="M510" t="s">
        <v>31</v>
      </c>
      <c r="N510">
        <v>583</v>
      </c>
      <c r="O510">
        <v>365</v>
      </c>
      <c r="P510">
        <v>310</v>
      </c>
      <c r="Q510">
        <v>1258</v>
      </c>
      <c r="R510" s="15">
        <v>44668</v>
      </c>
      <c r="S510" t="s">
        <v>28</v>
      </c>
      <c r="T510" t="s">
        <v>29</v>
      </c>
      <c r="U510">
        <v>915389</v>
      </c>
    </row>
    <row r="511" spans="1:21" ht="14.25" customHeight="1" x14ac:dyDescent="0.35">
      <c r="A511" t="s">
        <v>2102</v>
      </c>
      <c r="B511" t="s">
        <v>2103</v>
      </c>
      <c r="C511" t="s">
        <v>23</v>
      </c>
      <c r="D511" t="s">
        <v>24</v>
      </c>
      <c r="E511" t="s">
        <v>96</v>
      </c>
      <c r="F511" t="s">
        <v>2104</v>
      </c>
      <c r="G511" t="s">
        <v>2105</v>
      </c>
      <c r="H511" t="s">
        <v>599</v>
      </c>
      <c r="I511" t="s">
        <v>600</v>
      </c>
      <c r="J511" t="s">
        <v>30</v>
      </c>
      <c r="K511" t="s">
        <v>31</v>
      </c>
      <c r="L511" t="s">
        <v>30</v>
      </c>
      <c r="M511" t="s">
        <v>31</v>
      </c>
      <c r="N511">
        <v>605</v>
      </c>
      <c r="O511">
        <v>323</v>
      </c>
      <c r="P511">
        <v>315</v>
      </c>
      <c r="Q511">
        <v>1243</v>
      </c>
      <c r="R511" s="15">
        <v>44668</v>
      </c>
      <c r="S511" t="s">
        <v>28</v>
      </c>
      <c r="T511" t="s">
        <v>29</v>
      </c>
      <c r="U511">
        <v>32604</v>
      </c>
    </row>
    <row r="512" spans="1:21" ht="14.25" customHeight="1" x14ac:dyDescent="0.35">
      <c r="A512" t="s">
        <v>2106</v>
      </c>
      <c r="B512" t="s">
        <v>2107</v>
      </c>
      <c r="C512" t="s">
        <v>23</v>
      </c>
      <c r="D512" t="s">
        <v>24</v>
      </c>
      <c r="E512" t="s">
        <v>607</v>
      </c>
      <c r="F512" t="s">
        <v>2108</v>
      </c>
      <c r="G512" t="s">
        <v>2109</v>
      </c>
      <c r="H512" t="s">
        <v>28</v>
      </c>
      <c r="I512" t="s">
        <v>29</v>
      </c>
      <c r="J512" t="s">
        <v>38</v>
      </c>
      <c r="K512" t="s">
        <v>31</v>
      </c>
      <c r="L512" t="s">
        <v>38</v>
      </c>
      <c r="M512" t="s">
        <v>31</v>
      </c>
      <c r="N512">
        <v>550</v>
      </c>
      <c r="O512">
        <v>252</v>
      </c>
      <c r="P512">
        <v>240</v>
      </c>
      <c r="Q512">
        <v>1042</v>
      </c>
      <c r="R512" s="15">
        <v>44668</v>
      </c>
      <c r="S512" t="s">
        <v>32</v>
      </c>
      <c r="T512" t="s">
        <v>29</v>
      </c>
      <c r="U512">
        <v>821189</v>
      </c>
    </row>
    <row r="513" spans="1:21" ht="14.25" customHeight="1" x14ac:dyDescent="0.35">
      <c r="A513" t="s">
        <v>2110</v>
      </c>
      <c r="B513" t="s">
        <v>2111</v>
      </c>
      <c r="C513" t="s">
        <v>23</v>
      </c>
      <c r="D513" t="s">
        <v>24</v>
      </c>
      <c r="E513" t="s">
        <v>321</v>
      </c>
      <c r="F513" t="s">
        <v>2112</v>
      </c>
      <c r="G513" t="s">
        <v>2113</v>
      </c>
      <c r="H513" t="s">
        <v>38</v>
      </c>
      <c r="I513" t="s">
        <v>31</v>
      </c>
      <c r="J513" t="s">
        <v>38</v>
      </c>
      <c r="K513" t="s">
        <v>31</v>
      </c>
      <c r="L513" t="s">
        <v>38</v>
      </c>
      <c r="M513" t="s">
        <v>31</v>
      </c>
      <c r="N513">
        <v>235</v>
      </c>
      <c r="O513">
        <v>208</v>
      </c>
      <c r="P513">
        <v>210</v>
      </c>
      <c r="Q513">
        <v>653</v>
      </c>
      <c r="R513" s="15">
        <v>44668</v>
      </c>
      <c r="S513" t="s">
        <v>38</v>
      </c>
      <c r="T513" t="s">
        <v>31</v>
      </c>
      <c r="U513">
        <v>906107</v>
      </c>
    </row>
    <row r="514" spans="1:21" ht="14.25" customHeight="1" x14ac:dyDescent="0.35">
      <c r="A514" t="s">
        <v>2114</v>
      </c>
      <c r="B514" t="s">
        <v>2115</v>
      </c>
      <c r="C514" t="s">
        <v>23</v>
      </c>
      <c r="D514" t="s">
        <v>24</v>
      </c>
      <c r="E514" t="s">
        <v>330</v>
      </c>
      <c r="F514" t="s">
        <v>2116</v>
      </c>
      <c r="G514" t="s">
        <v>2117</v>
      </c>
      <c r="H514" t="s">
        <v>28</v>
      </c>
      <c r="I514" t="s">
        <v>29</v>
      </c>
      <c r="J514" t="s">
        <v>32</v>
      </c>
      <c r="K514" t="s">
        <v>29</v>
      </c>
      <c r="L514" t="s">
        <v>30</v>
      </c>
      <c r="M514" t="s">
        <v>31</v>
      </c>
      <c r="N514">
        <v>576</v>
      </c>
      <c r="O514">
        <v>409</v>
      </c>
      <c r="P514">
        <v>310</v>
      </c>
      <c r="Q514">
        <v>1295</v>
      </c>
      <c r="R514" s="15">
        <v>44668</v>
      </c>
      <c r="S514" t="s">
        <v>28</v>
      </c>
      <c r="T514" t="s">
        <v>29</v>
      </c>
      <c r="U514">
        <v>72741</v>
      </c>
    </row>
    <row r="515" spans="1:21" ht="14.25" customHeight="1" x14ac:dyDescent="0.35">
      <c r="A515" t="s">
        <v>2118</v>
      </c>
      <c r="B515" t="s">
        <v>2119</v>
      </c>
      <c r="C515" t="s">
        <v>23</v>
      </c>
      <c r="D515" t="s">
        <v>24</v>
      </c>
      <c r="E515" t="s">
        <v>321</v>
      </c>
      <c r="F515" t="s">
        <v>2120</v>
      </c>
      <c r="G515" t="s">
        <v>2121</v>
      </c>
      <c r="H515" t="s">
        <v>30</v>
      </c>
      <c r="I515" t="s">
        <v>31</v>
      </c>
      <c r="J515" t="s">
        <v>30</v>
      </c>
      <c r="K515" t="s">
        <v>31</v>
      </c>
      <c r="L515" t="s">
        <v>38</v>
      </c>
      <c r="M515" t="s">
        <v>31</v>
      </c>
      <c r="N515">
        <v>377</v>
      </c>
      <c r="O515">
        <v>304</v>
      </c>
      <c r="P515">
        <v>210</v>
      </c>
      <c r="Q515">
        <v>891</v>
      </c>
      <c r="R515" s="15">
        <v>44668</v>
      </c>
      <c r="S515" t="s">
        <v>30</v>
      </c>
      <c r="T515" t="s">
        <v>31</v>
      </c>
      <c r="U515">
        <v>920522</v>
      </c>
    </row>
    <row r="516" spans="1:21" ht="14.25" customHeight="1" x14ac:dyDescent="0.35">
      <c r="A516" t="s">
        <v>2122</v>
      </c>
      <c r="B516" t="s">
        <v>2123</v>
      </c>
      <c r="C516" t="s">
        <v>23</v>
      </c>
      <c r="D516" t="s">
        <v>65</v>
      </c>
      <c r="E516" t="s">
        <v>138</v>
      </c>
      <c r="F516" t="s">
        <v>2124</v>
      </c>
      <c r="G516" t="s">
        <v>2125</v>
      </c>
      <c r="H516" t="s">
        <v>30</v>
      </c>
      <c r="I516" t="s">
        <v>31</v>
      </c>
      <c r="J516" t="s">
        <v>30</v>
      </c>
      <c r="K516" t="s">
        <v>31</v>
      </c>
      <c r="L516" t="s">
        <v>38</v>
      </c>
      <c r="M516" t="s">
        <v>31</v>
      </c>
      <c r="N516">
        <v>313</v>
      </c>
      <c r="O516">
        <v>300</v>
      </c>
      <c r="P516">
        <v>215</v>
      </c>
      <c r="Q516">
        <v>828</v>
      </c>
      <c r="R516" s="15">
        <v>44668</v>
      </c>
      <c r="S516" t="s">
        <v>30</v>
      </c>
      <c r="T516" t="s">
        <v>31</v>
      </c>
      <c r="U516">
        <v>35527</v>
      </c>
    </row>
    <row r="517" spans="1:21" ht="14.25" customHeight="1" x14ac:dyDescent="0.35">
      <c r="A517" t="s">
        <v>2126</v>
      </c>
      <c r="B517" t="s">
        <v>2127</v>
      </c>
      <c r="C517" t="s">
        <v>23</v>
      </c>
      <c r="D517" t="s">
        <v>24</v>
      </c>
      <c r="E517" t="s">
        <v>330</v>
      </c>
      <c r="F517" t="s">
        <v>2128</v>
      </c>
      <c r="G517" t="s">
        <v>2129</v>
      </c>
      <c r="H517" t="s">
        <v>599</v>
      </c>
      <c r="I517" t="s">
        <v>600</v>
      </c>
      <c r="J517" t="s">
        <v>30</v>
      </c>
      <c r="K517" t="s">
        <v>31</v>
      </c>
      <c r="L517" t="s">
        <v>30</v>
      </c>
      <c r="M517" t="s">
        <v>31</v>
      </c>
      <c r="N517">
        <v>653</v>
      </c>
      <c r="O517">
        <v>380</v>
      </c>
      <c r="P517">
        <v>310</v>
      </c>
      <c r="Q517">
        <v>1343</v>
      </c>
      <c r="R517" s="15">
        <v>44668</v>
      </c>
      <c r="S517" t="s">
        <v>28</v>
      </c>
      <c r="T517" t="s">
        <v>29</v>
      </c>
      <c r="U517">
        <v>65984</v>
      </c>
    </row>
    <row r="518" spans="1:21" ht="14.25" customHeight="1" x14ac:dyDescent="0.35">
      <c r="A518" t="s">
        <v>2130</v>
      </c>
      <c r="B518" t="s">
        <v>2131</v>
      </c>
      <c r="C518" t="s">
        <v>23</v>
      </c>
      <c r="D518" t="s">
        <v>24</v>
      </c>
      <c r="E518" t="s">
        <v>321</v>
      </c>
      <c r="F518" t="s">
        <v>2132</v>
      </c>
      <c r="G518" t="s">
        <v>2133</v>
      </c>
      <c r="H518" t="s">
        <v>28</v>
      </c>
      <c r="I518" t="s">
        <v>29</v>
      </c>
      <c r="J518" t="s">
        <v>38</v>
      </c>
      <c r="K518" t="s">
        <v>31</v>
      </c>
      <c r="L518" t="s">
        <v>38</v>
      </c>
      <c r="M518" t="s">
        <v>31</v>
      </c>
      <c r="N518">
        <v>572</v>
      </c>
      <c r="O518">
        <v>289</v>
      </c>
      <c r="P518">
        <v>225</v>
      </c>
      <c r="Q518">
        <v>1086</v>
      </c>
      <c r="R518" s="15">
        <v>44668</v>
      </c>
      <c r="S518" t="s">
        <v>32</v>
      </c>
      <c r="T518" t="s">
        <v>29</v>
      </c>
      <c r="U518">
        <v>1289490</v>
      </c>
    </row>
    <row r="519" spans="1:21" ht="14.25" customHeight="1" x14ac:dyDescent="0.35">
      <c r="A519" t="s">
        <v>2134</v>
      </c>
      <c r="B519" t="s">
        <v>2135</v>
      </c>
      <c r="C519" t="s">
        <v>23</v>
      </c>
      <c r="D519" t="s">
        <v>24</v>
      </c>
      <c r="E519" t="s">
        <v>124</v>
      </c>
      <c r="F519" t="s">
        <v>2136</v>
      </c>
      <c r="G519" t="s">
        <v>2137</v>
      </c>
      <c r="H519" t="s">
        <v>38</v>
      </c>
      <c r="I519" t="s">
        <v>31</v>
      </c>
      <c r="J519" t="s">
        <v>30</v>
      </c>
      <c r="K519" t="s">
        <v>31</v>
      </c>
      <c r="L519" t="s">
        <v>30</v>
      </c>
      <c r="M519" t="s">
        <v>31</v>
      </c>
      <c r="N519">
        <v>290</v>
      </c>
      <c r="O519">
        <v>333</v>
      </c>
      <c r="P519">
        <v>305</v>
      </c>
      <c r="Q519">
        <v>928</v>
      </c>
      <c r="R519" s="15">
        <v>44668</v>
      </c>
      <c r="S519" t="s">
        <v>32</v>
      </c>
      <c r="T519" t="s">
        <v>29</v>
      </c>
      <c r="U519">
        <v>1099800</v>
      </c>
    </row>
    <row r="520" spans="1:21" ht="14.25" customHeight="1" x14ac:dyDescent="0.35">
      <c r="A520" t="s">
        <v>2138</v>
      </c>
      <c r="B520" t="s">
        <v>2139</v>
      </c>
      <c r="C520" t="s">
        <v>23</v>
      </c>
      <c r="D520" t="s">
        <v>65</v>
      </c>
      <c r="E520" t="s">
        <v>25</v>
      </c>
      <c r="F520" t="s">
        <v>2140</v>
      </c>
      <c r="G520" t="s">
        <v>2141</v>
      </c>
      <c r="H520" t="s">
        <v>38</v>
      </c>
      <c r="I520" t="s">
        <v>31</v>
      </c>
      <c r="J520" t="s">
        <v>30</v>
      </c>
      <c r="K520" t="s">
        <v>31</v>
      </c>
      <c r="L520" t="s">
        <v>30</v>
      </c>
      <c r="M520" t="s">
        <v>31</v>
      </c>
      <c r="N520">
        <v>295</v>
      </c>
      <c r="O520">
        <v>330</v>
      </c>
      <c r="P520">
        <v>315</v>
      </c>
      <c r="Q520">
        <v>940</v>
      </c>
      <c r="R520" s="15">
        <v>44667</v>
      </c>
      <c r="S520" t="s">
        <v>32</v>
      </c>
      <c r="T520" t="s">
        <v>29</v>
      </c>
      <c r="U520">
        <v>1754301</v>
      </c>
    </row>
    <row r="521" spans="1:21" ht="14.25" customHeight="1" x14ac:dyDescent="0.35">
      <c r="A521" t="s">
        <v>2142</v>
      </c>
      <c r="B521" t="s">
        <v>2143</v>
      </c>
      <c r="C521" t="s">
        <v>23</v>
      </c>
      <c r="D521" t="s">
        <v>24</v>
      </c>
      <c r="E521" t="s">
        <v>1443</v>
      </c>
      <c r="F521" t="s">
        <v>2144</v>
      </c>
      <c r="G521" t="s">
        <v>2145</v>
      </c>
      <c r="H521" t="s">
        <v>599</v>
      </c>
      <c r="I521" t="s">
        <v>600</v>
      </c>
      <c r="J521" t="s">
        <v>30</v>
      </c>
      <c r="K521" t="s">
        <v>31</v>
      </c>
      <c r="L521" t="s">
        <v>30</v>
      </c>
      <c r="M521" t="s">
        <v>31</v>
      </c>
      <c r="N521">
        <v>608</v>
      </c>
      <c r="O521">
        <v>313</v>
      </c>
      <c r="P521">
        <v>305</v>
      </c>
      <c r="Q521">
        <v>1226</v>
      </c>
      <c r="R521" s="15">
        <v>44668</v>
      </c>
      <c r="S521" t="s">
        <v>28</v>
      </c>
      <c r="T521" t="s">
        <v>29</v>
      </c>
      <c r="U521">
        <v>831259</v>
      </c>
    </row>
    <row r="522" spans="1:21" ht="14.25" customHeight="1" x14ac:dyDescent="0.35">
      <c r="A522" t="s">
        <v>2146</v>
      </c>
      <c r="B522" t="s">
        <v>2147</v>
      </c>
      <c r="C522" t="s">
        <v>23</v>
      </c>
      <c r="D522" t="s">
        <v>24</v>
      </c>
      <c r="E522" t="s">
        <v>330</v>
      </c>
      <c r="F522" t="s">
        <v>2148</v>
      </c>
      <c r="G522" t="s">
        <v>2149</v>
      </c>
      <c r="H522" t="s">
        <v>28</v>
      </c>
      <c r="I522" t="s">
        <v>29</v>
      </c>
      <c r="J522" t="s">
        <v>30</v>
      </c>
      <c r="K522" t="s">
        <v>31</v>
      </c>
      <c r="L522" t="s">
        <v>30</v>
      </c>
      <c r="M522" t="s">
        <v>31</v>
      </c>
      <c r="N522">
        <v>510</v>
      </c>
      <c r="O522">
        <v>304</v>
      </c>
      <c r="P522">
        <v>300</v>
      </c>
      <c r="Q522">
        <v>1114</v>
      </c>
      <c r="R522" s="15">
        <v>44668</v>
      </c>
      <c r="S522" t="s">
        <v>32</v>
      </c>
      <c r="T522" t="s">
        <v>29</v>
      </c>
      <c r="U522">
        <v>1031296</v>
      </c>
    </row>
    <row r="523" spans="1:21" ht="14.25" customHeight="1" x14ac:dyDescent="0.35">
      <c r="A523" t="s">
        <v>2150</v>
      </c>
      <c r="B523" t="s">
        <v>2151</v>
      </c>
      <c r="C523" t="s">
        <v>23</v>
      </c>
      <c r="D523" t="s">
        <v>24</v>
      </c>
      <c r="E523" t="s">
        <v>91</v>
      </c>
      <c r="F523" t="s">
        <v>2152</v>
      </c>
      <c r="G523" t="s">
        <v>2153</v>
      </c>
      <c r="H523" t="s">
        <v>32</v>
      </c>
      <c r="I523" t="s">
        <v>29</v>
      </c>
      <c r="J523" t="s">
        <v>30</v>
      </c>
      <c r="K523" t="s">
        <v>31</v>
      </c>
      <c r="L523" t="s">
        <v>30</v>
      </c>
      <c r="M523" t="s">
        <v>31</v>
      </c>
      <c r="N523">
        <v>410</v>
      </c>
      <c r="O523">
        <v>302</v>
      </c>
      <c r="P523">
        <v>300</v>
      </c>
      <c r="Q523">
        <v>1012</v>
      </c>
      <c r="R523" s="15">
        <v>44668</v>
      </c>
      <c r="S523" t="s">
        <v>32</v>
      </c>
      <c r="T523" t="s">
        <v>29</v>
      </c>
      <c r="U523">
        <v>1175454</v>
      </c>
    </row>
    <row r="524" spans="1:21" ht="14.25" customHeight="1" x14ac:dyDescent="0.35">
      <c r="A524" t="s">
        <v>2154</v>
      </c>
      <c r="B524" t="s">
        <v>2155</v>
      </c>
      <c r="C524" t="s">
        <v>23</v>
      </c>
      <c r="D524" t="s">
        <v>24</v>
      </c>
      <c r="E524" t="s">
        <v>91</v>
      </c>
      <c r="F524" t="s">
        <v>2156</v>
      </c>
      <c r="G524" t="s">
        <v>2157</v>
      </c>
      <c r="H524" t="s">
        <v>28</v>
      </c>
      <c r="I524" t="s">
        <v>29</v>
      </c>
      <c r="J524" t="s">
        <v>38</v>
      </c>
      <c r="K524" t="s">
        <v>31</v>
      </c>
      <c r="L524" t="s">
        <v>30</v>
      </c>
      <c r="M524" t="s">
        <v>31</v>
      </c>
      <c r="N524">
        <v>530</v>
      </c>
      <c r="O524">
        <v>298</v>
      </c>
      <c r="P524">
        <v>310</v>
      </c>
      <c r="Q524">
        <v>1138</v>
      </c>
      <c r="R524" s="15">
        <v>44668</v>
      </c>
      <c r="S524" t="s">
        <v>32</v>
      </c>
      <c r="T524" t="s">
        <v>29</v>
      </c>
      <c r="U524">
        <v>1136893</v>
      </c>
    </row>
    <row r="525" spans="1:21" ht="14.25" customHeight="1" x14ac:dyDescent="0.35">
      <c r="A525" t="s">
        <v>2158</v>
      </c>
      <c r="B525" t="s">
        <v>2159</v>
      </c>
      <c r="C525" t="s">
        <v>23</v>
      </c>
      <c r="D525" t="s">
        <v>24</v>
      </c>
      <c r="E525" t="s">
        <v>138</v>
      </c>
      <c r="F525" t="s">
        <v>2160</v>
      </c>
      <c r="G525" t="s">
        <v>2161</v>
      </c>
      <c r="H525" t="s">
        <v>30</v>
      </c>
      <c r="I525" t="s">
        <v>31</v>
      </c>
      <c r="J525" t="s">
        <v>30</v>
      </c>
      <c r="K525" t="s">
        <v>31</v>
      </c>
      <c r="L525" t="s">
        <v>38</v>
      </c>
      <c r="M525" t="s">
        <v>31</v>
      </c>
      <c r="N525">
        <v>370</v>
      </c>
      <c r="O525">
        <v>331</v>
      </c>
      <c r="P525">
        <v>288</v>
      </c>
      <c r="Q525">
        <v>989</v>
      </c>
      <c r="R525" s="15">
        <v>44668</v>
      </c>
      <c r="S525" t="s">
        <v>32</v>
      </c>
      <c r="T525" t="s">
        <v>29</v>
      </c>
      <c r="U525">
        <v>1132979</v>
      </c>
    </row>
    <row r="526" spans="1:21" ht="14.25" customHeight="1" x14ac:dyDescent="0.35">
      <c r="A526" t="s">
        <v>2162</v>
      </c>
      <c r="B526" t="s">
        <v>2163</v>
      </c>
      <c r="C526" t="s">
        <v>23</v>
      </c>
      <c r="D526" t="s">
        <v>24</v>
      </c>
      <c r="E526" t="s">
        <v>258</v>
      </c>
      <c r="F526" t="s">
        <v>2164</v>
      </c>
      <c r="G526" t="s">
        <v>2165</v>
      </c>
      <c r="H526" t="s">
        <v>28</v>
      </c>
      <c r="I526" t="s">
        <v>29</v>
      </c>
      <c r="J526" t="s">
        <v>30</v>
      </c>
      <c r="K526" t="s">
        <v>31</v>
      </c>
      <c r="L526" t="s">
        <v>30</v>
      </c>
      <c r="M526" t="s">
        <v>31</v>
      </c>
      <c r="N526">
        <v>510</v>
      </c>
      <c r="O526">
        <v>307</v>
      </c>
      <c r="P526">
        <v>315</v>
      </c>
      <c r="Q526">
        <v>1132</v>
      </c>
      <c r="R526" s="15">
        <v>44668</v>
      </c>
      <c r="S526" t="s">
        <v>32</v>
      </c>
      <c r="T526" t="s">
        <v>29</v>
      </c>
      <c r="U526">
        <v>37785</v>
      </c>
    </row>
    <row r="527" spans="1:21" ht="14.25" customHeight="1" x14ac:dyDescent="0.35">
      <c r="A527" t="s">
        <v>2166</v>
      </c>
      <c r="B527" t="s">
        <v>2167</v>
      </c>
      <c r="C527" t="s">
        <v>23</v>
      </c>
      <c r="D527" t="s">
        <v>24</v>
      </c>
      <c r="E527" t="s">
        <v>321</v>
      </c>
      <c r="F527" t="s">
        <v>2168</v>
      </c>
      <c r="G527" t="s">
        <v>2169</v>
      </c>
      <c r="H527" t="s">
        <v>28</v>
      </c>
      <c r="I527" t="s">
        <v>29</v>
      </c>
      <c r="J527" t="s">
        <v>30</v>
      </c>
      <c r="K527" t="s">
        <v>31</v>
      </c>
      <c r="L527" t="s">
        <v>30</v>
      </c>
      <c r="M527" t="s">
        <v>31</v>
      </c>
      <c r="N527">
        <v>525</v>
      </c>
      <c r="O527">
        <v>302</v>
      </c>
      <c r="P527">
        <v>300</v>
      </c>
      <c r="Q527">
        <v>1127</v>
      </c>
      <c r="R527" s="15">
        <v>44668</v>
      </c>
      <c r="S527" t="s">
        <v>32</v>
      </c>
      <c r="T527" t="s">
        <v>29</v>
      </c>
      <c r="U527">
        <v>34903</v>
      </c>
    </row>
    <row r="528" spans="1:21" ht="14.25" customHeight="1" x14ac:dyDescent="0.35">
      <c r="A528" t="s">
        <v>2170</v>
      </c>
      <c r="B528" t="s">
        <v>2171</v>
      </c>
      <c r="C528" t="s">
        <v>23</v>
      </c>
      <c r="D528" t="s">
        <v>24</v>
      </c>
      <c r="E528" t="s">
        <v>390</v>
      </c>
      <c r="F528" t="s">
        <v>2172</v>
      </c>
      <c r="G528" t="s">
        <v>2173</v>
      </c>
      <c r="H528" t="s">
        <v>28</v>
      </c>
      <c r="I528" t="s">
        <v>29</v>
      </c>
      <c r="J528" t="s">
        <v>30</v>
      </c>
      <c r="K528" t="s">
        <v>31</v>
      </c>
      <c r="L528" t="s">
        <v>30</v>
      </c>
      <c r="M528" t="s">
        <v>31</v>
      </c>
      <c r="N528">
        <v>540</v>
      </c>
      <c r="O528">
        <v>326</v>
      </c>
      <c r="P528">
        <v>305</v>
      </c>
      <c r="Q528">
        <v>1171</v>
      </c>
      <c r="R528" s="15">
        <v>44668</v>
      </c>
      <c r="S528" t="s">
        <v>32</v>
      </c>
      <c r="T528" t="s">
        <v>29</v>
      </c>
      <c r="U528">
        <v>1659166</v>
      </c>
    </row>
    <row r="529" spans="1:21" ht="14.25" customHeight="1" x14ac:dyDescent="0.35">
      <c r="A529" t="s">
        <v>2174</v>
      </c>
      <c r="B529" t="s">
        <v>2175</v>
      </c>
      <c r="C529" t="s">
        <v>23</v>
      </c>
      <c r="D529" t="s">
        <v>24</v>
      </c>
      <c r="E529" t="s">
        <v>596</v>
      </c>
      <c r="F529" t="s">
        <v>2176</v>
      </c>
      <c r="G529" t="s">
        <v>2177</v>
      </c>
      <c r="H529" t="s">
        <v>28</v>
      </c>
      <c r="I529" t="s">
        <v>29</v>
      </c>
      <c r="J529" t="s">
        <v>30</v>
      </c>
      <c r="K529" t="s">
        <v>31</v>
      </c>
      <c r="L529" t="s">
        <v>30</v>
      </c>
      <c r="M529" t="s">
        <v>31</v>
      </c>
      <c r="N529">
        <v>515</v>
      </c>
      <c r="O529">
        <v>349</v>
      </c>
      <c r="P529">
        <v>300</v>
      </c>
      <c r="Q529">
        <v>1164</v>
      </c>
      <c r="R529" s="15">
        <v>44668</v>
      </c>
      <c r="S529" t="s">
        <v>32</v>
      </c>
      <c r="T529" t="s">
        <v>29</v>
      </c>
      <c r="U529">
        <v>39911</v>
      </c>
    </row>
    <row r="530" spans="1:21" ht="14.25" customHeight="1" x14ac:dyDescent="0.35">
      <c r="A530" t="s">
        <v>2178</v>
      </c>
      <c r="B530" t="s">
        <v>2179</v>
      </c>
      <c r="C530" t="s">
        <v>23</v>
      </c>
      <c r="D530" t="s">
        <v>24</v>
      </c>
      <c r="E530" t="s">
        <v>46</v>
      </c>
      <c r="F530" t="s">
        <v>2180</v>
      </c>
      <c r="G530" t="s">
        <v>2181</v>
      </c>
      <c r="H530" t="s">
        <v>38</v>
      </c>
      <c r="I530" t="s">
        <v>31</v>
      </c>
      <c r="J530" t="s">
        <v>38</v>
      </c>
      <c r="K530" t="s">
        <v>31</v>
      </c>
      <c r="L530" t="s">
        <v>38</v>
      </c>
      <c r="M530" t="s">
        <v>31</v>
      </c>
      <c r="N530">
        <v>205</v>
      </c>
      <c r="O530">
        <v>242</v>
      </c>
      <c r="P530">
        <v>200</v>
      </c>
      <c r="Q530">
        <v>647</v>
      </c>
      <c r="R530" s="15">
        <v>44668</v>
      </c>
      <c r="S530" t="s">
        <v>38</v>
      </c>
      <c r="T530" t="s">
        <v>31</v>
      </c>
      <c r="U530">
        <v>1121788</v>
      </c>
    </row>
    <row r="531" spans="1:21" ht="14.25" customHeight="1" x14ac:dyDescent="0.35">
      <c r="A531" t="s">
        <v>2182</v>
      </c>
      <c r="B531" t="s">
        <v>2183</v>
      </c>
      <c r="C531" t="s">
        <v>23</v>
      </c>
      <c r="D531" t="s">
        <v>24</v>
      </c>
      <c r="E531" t="s">
        <v>91</v>
      </c>
      <c r="F531" t="s">
        <v>2184</v>
      </c>
      <c r="G531" t="s">
        <v>2185</v>
      </c>
      <c r="H531" t="s">
        <v>28</v>
      </c>
      <c r="I531" t="s">
        <v>29</v>
      </c>
      <c r="J531" t="s">
        <v>30</v>
      </c>
      <c r="K531" t="s">
        <v>31</v>
      </c>
      <c r="L531" t="s">
        <v>30</v>
      </c>
      <c r="M531" t="s">
        <v>31</v>
      </c>
      <c r="N531">
        <v>500</v>
      </c>
      <c r="O531">
        <v>316</v>
      </c>
      <c r="P531">
        <v>315</v>
      </c>
      <c r="Q531">
        <v>1131</v>
      </c>
      <c r="R531" s="15">
        <v>44668</v>
      </c>
      <c r="S531" t="s">
        <v>32</v>
      </c>
      <c r="T531" t="s">
        <v>29</v>
      </c>
      <c r="U531">
        <v>749251</v>
      </c>
    </row>
    <row r="532" spans="1:21" ht="14.25" customHeight="1" x14ac:dyDescent="0.35">
      <c r="A532" t="s">
        <v>2186</v>
      </c>
      <c r="B532" t="s">
        <v>2187</v>
      </c>
      <c r="C532" t="s">
        <v>23</v>
      </c>
      <c r="D532" t="s">
        <v>24</v>
      </c>
      <c r="E532" t="s">
        <v>215</v>
      </c>
      <c r="F532" t="s">
        <v>2188</v>
      </c>
      <c r="G532" t="s">
        <v>2189</v>
      </c>
      <c r="H532" t="s">
        <v>28</v>
      </c>
      <c r="I532" t="s">
        <v>29</v>
      </c>
      <c r="J532" t="s">
        <v>30</v>
      </c>
      <c r="K532" t="s">
        <v>31</v>
      </c>
      <c r="L532" t="s">
        <v>30</v>
      </c>
      <c r="M532" t="s">
        <v>31</v>
      </c>
      <c r="N532">
        <v>510</v>
      </c>
      <c r="O532">
        <v>360</v>
      </c>
      <c r="P532">
        <v>310</v>
      </c>
      <c r="Q532">
        <v>1180</v>
      </c>
      <c r="R532" s="15">
        <v>44668</v>
      </c>
      <c r="S532" t="s">
        <v>32</v>
      </c>
      <c r="T532" t="s">
        <v>29</v>
      </c>
      <c r="U532">
        <v>59478</v>
      </c>
    </row>
    <row r="533" spans="1:21" ht="14.25" customHeight="1" x14ac:dyDescent="0.35">
      <c r="A533" t="s">
        <v>2190</v>
      </c>
      <c r="B533" t="s">
        <v>2191</v>
      </c>
      <c r="C533" t="s">
        <v>23</v>
      </c>
      <c r="D533" t="s">
        <v>24</v>
      </c>
      <c r="E533" t="s">
        <v>76</v>
      </c>
      <c r="F533" t="s">
        <v>2192</v>
      </c>
      <c r="G533" t="s">
        <v>2193</v>
      </c>
      <c r="H533" t="s">
        <v>28</v>
      </c>
      <c r="I533" t="s">
        <v>29</v>
      </c>
      <c r="J533" t="s">
        <v>38</v>
      </c>
      <c r="K533" t="s">
        <v>31</v>
      </c>
      <c r="L533" t="s">
        <v>30</v>
      </c>
      <c r="M533" t="s">
        <v>31</v>
      </c>
      <c r="N533">
        <v>505</v>
      </c>
      <c r="O533">
        <v>276</v>
      </c>
      <c r="P533">
        <v>305</v>
      </c>
      <c r="Q533">
        <v>1086</v>
      </c>
      <c r="R533" s="15">
        <v>44668</v>
      </c>
      <c r="S533" t="s">
        <v>32</v>
      </c>
      <c r="T533" t="s">
        <v>29</v>
      </c>
      <c r="U533">
        <v>1095073</v>
      </c>
    </row>
    <row r="534" spans="1:21" ht="14.25" customHeight="1" x14ac:dyDescent="0.35">
      <c r="A534" t="s">
        <v>2194</v>
      </c>
      <c r="B534" t="s">
        <v>2195</v>
      </c>
      <c r="C534" t="s">
        <v>23</v>
      </c>
      <c r="D534" t="s">
        <v>24</v>
      </c>
      <c r="E534" t="s">
        <v>330</v>
      </c>
      <c r="F534" t="s">
        <v>2196</v>
      </c>
      <c r="G534" t="s">
        <v>2197</v>
      </c>
      <c r="H534" t="s">
        <v>28</v>
      </c>
      <c r="I534" t="s">
        <v>29</v>
      </c>
      <c r="J534" t="s">
        <v>30</v>
      </c>
      <c r="K534" t="s">
        <v>31</v>
      </c>
      <c r="L534" t="s">
        <v>30</v>
      </c>
      <c r="M534" t="s">
        <v>31</v>
      </c>
      <c r="N534">
        <v>555</v>
      </c>
      <c r="O534">
        <v>310</v>
      </c>
      <c r="P534">
        <v>300</v>
      </c>
      <c r="Q534">
        <v>1165</v>
      </c>
      <c r="R534" s="15">
        <v>44722</v>
      </c>
      <c r="S534" t="s">
        <v>32</v>
      </c>
      <c r="T534" t="s">
        <v>29</v>
      </c>
      <c r="U534">
        <v>1711269</v>
      </c>
    </row>
    <row r="535" spans="1:21" ht="14.25" customHeight="1" x14ac:dyDescent="0.35">
      <c r="A535" t="s">
        <v>2198</v>
      </c>
      <c r="B535" t="s">
        <v>2199</v>
      </c>
      <c r="C535" t="s">
        <v>23</v>
      </c>
      <c r="D535" t="s">
        <v>24</v>
      </c>
      <c r="E535" t="s">
        <v>86</v>
      </c>
      <c r="F535" t="s">
        <v>2200</v>
      </c>
      <c r="G535" t="s">
        <v>2201</v>
      </c>
      <c r="H535" t="s">
        <v>28</v>
      </c>
      <c r="I535" t="s">
        <v>29</v>
      </c>
      <c r="J535" t="s">
        <v>30</v>
      </c>
      <c r="K535" t="s">
        <v>31</v>
      </c>
      <c r="L535" t="s">
        <v>30</v>
      </c>
      <c r="M535" t="s">
        <v>31</v>
      </c>
      <c r="N535">
        <v>510</v>
      </c>
      <c r="O535">
        <v>302</v>
      </c>
      <c r="P535">
        <v>300</v>
      </c>
      <c r="Q535">
        <v>1112</v>
      </c>
      <c r="R535" s="15">
        <v>44668</v>
      </c>
      <c r="S535" t="s">
        <v>32</v>
      </c>
      <c r="T535" t="s">
        <v>29</v>
      </c>
      <c r="U535">
        <v>1519751</v>
      </c>
    </row>
    <row r="536" spans="1:21" ht="14.25" customHeight="1" x14ac:dyDescent="0.35">
      <c r="A536" t="s">
        <v>2202</v>
      </c>
      <c r="B536" t="s">
        <v>2203</v>
      </c>
      <c r="C536" t="s">
        <v>23</v>
      </c>
      <c r="D536" t="s">
        <v>65</v>
      </c>
      <c r="E536" t="s">
        <v>107</v>
      </c>
      <c r="F536" t="s">
        <v>2204</v>
      </c>
      <c r="G536" t="s">
        <v>2205</v>
      </c>
      <c r="H536" t="s">
        <v>28</v>
      </c>
      <c r="I536" t="s">
        <v>29</v>
      </c>
      <c r="J536" t="s">
        <v>30</v>
      </c>
      <c r="K536" t="s">
        <v>31</v>
      </c>
      <c r="L536" t="s">
        <v>30</v>
      </c>
      <c r="M536" t="s">
        <v>31</v>
      </c>
      <c r="N536">
        <v>500</v>
      </c>
      <c r="O536">
        <v>303</v>
      </c>
      <c r="P536">
        <v>300</v>
      </c>
      <c r="Q536">
        <v>1103</v>
      </c>
      <c r="R536" s="15">
        <v>44668</v>
      </c>
      <c r="S536" t="s">
        <v>32</v>
      </c>
      <c r="T536" t="s">
        <v>29</v>
      </c>
      <c r="U536">
        <v>882095</v>
      </c>
    </row>
    <row r="537" spans="1:21" ht="14.25" customHeight="1" x14ac:dyDescent="0.35">
      <c r="A537" t="s">
        <v>2206</v>
      </c>
      <c r="B537" t="s">
        <v>2207</v>
      </c>
      <c r="C537" t="s">
        <v>23</v>
      </c>
      <c r="D537" t="s">
        <v>65</v>
      </c>
      <c r="E537" t="s">
        <v>124</v>
      </c>
      <c r="F537" t="s">
        <v>2208</v>
      </c>
      <c r="G537" t="s">
        <v>2209</v>
      </c>
      <c r="H537" t="s">
        <v>28</v>
      </c>
      <c r="I537" t="s">
        <v>29</v>
      </c>
      <c r="J537" t="s">
        <v>30</v>
      </c>
      <c r="K537" t="s">
        <v>31</v>
      </c>
      <c r="L537" t="s">
        <v>30</v>
      </c>
      <c r="M537" t="s">
        <v>31</v>
      </c>
      <c r="N537">
        <v>515</v>
      </c>
      <c r="O537">
        <v>324</v>
      </c>
      <c r="P537">
        <v>315</v>
      </c>
      <c r="Q537">
        <v>1154</v>
      </c>
      <c r="R537" s="15">
        <v>44668</v>
      </c>
      <c r="S537" t="s">
        <v>32</v>
      </c>
      <c r="T537" t="s">
        <v>29</v>
      </c>
      <c r="U537">
        <v>859737</v>
      </c>
    </row>
    <row r="538" spans="1:21" ht="14.25" customHeight="1" x14ac:dyDescent="0.35">
      <c r="A538" t="s">
        <v>2210</v>
      </c>
      <c r="B538" t="s">
        <v>2211</v>
      </c>
      <c r="C538" t="s">
        <v>23</v>
      </c>
      <c r="D538" t="s">
        <v>65</v>
      </c>
      <c r="E538" t="s">
        <v>124</v>
      </c>
      <c r="F538" t="s">
        <v>2212</v>
      </c>
      <c r="G538" t="s">
        <v>2213</v>
      </c>
      <c r="H538" t="s">
        <v>38</v>
      </c>
      <c r="I538" t="s">
        <v>31</v>
      </c>
      <c r="J538" t="s">
        <v>38</v>
      </c>
      <c r="K538" t="s">
        <v>31</v>
      </c>
      <c r="L538" t="s">
        <v>38</v>
      </c>
      <c r="M538" t="s">
        <v>31</v>
      </c>
      <c r="N538">
        <v>210</v>
      </c>
      <c r="O538">
        <v>205</v>
      </c>
      <c r="P538">
        <v>200</v>
      </c>
      <c r="Q538">
        <v>615</v>
      </c>
      <c r="R538" s="15">
        <v>44668</v>
      </c>
      <c r="S538" t="s">
        <v>38</v>
      </c>
      <c r="T538" t="s">
        <v>31</v>
      </c>
      <c r="U538">
        <v>1000228</v>
      </c>
    </row>
    <row r="539" spans="1:21" ht="14.25" customHeight="1" x14ac:dyDescent="0.35">
      <c r="A539" t="s">
        <v>2214</v>
      </c>
      <c r="B539" t="s">
        <v>2215</v>
      </c>
      <c r="C539" t="s">
        <v>23</v>
      </c>
      <c r="D539" t="s">
        <v>65</v>
      </c>
      <c r="E539" t="s">
        <v>1907</v>
      </c>
      <c r="F539" t="s">
        <v>2216</v>
      </c>
      <c r="G539" t="s">
        <v>2217</v>
      </c>
      <c r="H539" t="s">
        <v>28</v>
      </c>
      <c r="I539" t="s">
        <v>29</v>
      </c>
      <c r="J539" t="s">
        <v>30</v>
      </c>
      <c r="K539" t="s">
        <v>31</v>
      </c>
      <c r="L539" t="s">
        <v>30</v>
      </c>
      <c r="M539" t="s">
        <v>31</v>
      </c>
      <c r="N539">
        <v>545</v>
      </c>
      <c r="O539">
        <v>344</v>
      </c>
      <c r="P539">
        <v>308</v>
      </c>
      <c r="Q539">
        <v>1197</v>
      </c>
      <c r="R539" s="15">
        <v>44668</v>
      </c>
      <c r="S539" t="s">
        <v>32</v>
      </c>
      <c r="T539" t="s">
        <v>29</v>
      </c>
      <c r="U539">
        <v>773840</v>
      </c>
    </row>
    <row r="540" spans="1:21" ht="14.25" customHeight="1" x14ac:dyDescent="0.35">
      <c r="A540" t="s">
        <v>2218</v>
      </c>
      <c r="B540" t="s">
        <v>2219</v>
      </c>
      <c r="C540" t="s">
        <v>23</v>
      </c>
      <c r="D540" t="s">
        <v>65</v>
      </c>
      <c r="E540" t="s">
        <v>321</v>
      </c>
      <c r="F540" t="s">
        <v>2220</v>
      </c>
      <c r="G540" t="s">
        <v>2221</v>
      </c>
      <c r="H540" t="s">
        <v>28</v>
      </c>
      <c r="I540" t="s">
        <v>29</v>
      </c>
      <c r="J540" t="s">
        <v>30</v>
      </c>
      <c r="K540" t="s">
        <v>31</v>
      </c>
      <c r="L540" t="s">
        <v>30</v>
      </c>
      <c r="M540" t="s">
        <v>31</v>
      </c>
      <c r="N540">
        <v>510</v>
      </c>
      <c r="O540">
        <v>318</v>
      </c>
      <c r="P540">
        <v>318</v>
      </c>
      <c r="Q540">
        <v>1146</v>
      </c>
      <c r="R540" s="15">
        <v>44668</v>
      </c>
      <c r="S540" t="s">
        <v>32</v>
      </c>
      <c r="T540" t="s">
        <v>29</v>
      </c>
      <c r="U540">
        <v>1070750</v>
      </c>
    </row>
    <row r="541" spans="1:21" ht="14.25" customHeight="1" x14ac:dyDescent="0.35">
      <c r="A541" t="s">
        <v>2222</v>
      </c>
      <c r="B541" t="s">
        <v>2223</v>
      </c>
      <c r="C541" t="s">
        <v>23</v>
      </c>
      <c r="D541" t="s">
        <v>24</v>
      </c>
      <c r="E541" t="s">
        <v>1101</v>
      </c>
      <c r="F541" t="s">
        <v>2224</v>
      </c>
      <c r="G541" t="s">
        <v>2225</v>
      </c>
      <c r="H541" t="s">
        <v>28</v>
      </c>
      <c r="I541" t="s">
        <v>29</v>
      </c>
      <c r="J541" t="s">
        <v>30</v>
      </c>
      <c r="K541" t="s">
        <v>31</v>
      </c>
      <c r="L541" t="s">
        <v>30</v>
      </c>
      <c r="M541" t="s">
        <v>31</v>
      </c>
      <c r="N541">
        <v>510</v>
      </c>
      <c r="O541">
        <v>310</v>
      </c>
      <c r="P541">
        <v>300</v>
      </c>
      <c r="Q541">
        <v>1120</v>
      </c>
      <c r="R541" s="15">
        <v>44723</v>
      </c>
      <c r="S541" t="s">
        <v>32</v>
      </c>
      <c r="T541" t="s">
        <v>29</v>
      </c>
      <c r="U541">
        <v>40533</v>
      </c>
    </row>
    <row r="542" spans="1:21" ht="14.25" customHeight="1" x14ac:dyDescent="0.35">
      <c r="A542" t="s">
        <v>2226</v>
      </c>
      <c r="B542" t="s">
        <v>2227</v>
      </c>
      <c r="C542" t="s">
        <v>23</v>
      </c>
      <c r="D542" t="s">
        <v>65</v>
      </c>
      <c r="E542" t="s">
        <v>2228</v>
      </c>
      <c r="F542" t="s">
        <v>2229</v>
      </c>
      <c r="G542" t="s">
        <v>2230</v>
      </c>
      <c r="H542" t="s">
        <v>38</v>
      </c>
      <c r="I542" t="s">
        <v>31</v>
      </c>
      <c r="J542" t="s">
        <v>30</v>
      </c>
      <c r="K542" t="s">
        <v>31</v>
      </c>
      <c r="L542" t="s">
        <v>30</v>
      </c>
      <c r="M542" t="s">
        <v>31</v>
      </c>
      <c r="N542">
        <v>255</v>
      </c>
      <c r="O542">
        <v>301</v>
      </c>
      <c r="P542">
        <v>300</v>
      </c>
      <c r="Q542">
        <v>856</v>
      </c>
      <c r="R542" s="15">
        <v>44668</v>
      </c>
      <c r="S542" t="s">
        <v>30</v>
      </c>
      <c r="T542" t="s">
        <v>31</v>
      </c>
      <c r="U542">
        <v>46080</v>
      </c>
    </row>
    <row r="543" spans="1:21" ht="14.25" customHeight="1" x14ac:dyDescent="0.35">
      <c r="A543" t="s">
        <v>2231</v>
      </c>
      <c r="B543" t="s">
        <v>2232</v>
      </c>
      <c r="C543" t="s">
        <v>23</v>
      </c>
      <c r="D543" t="s">
        <v>65</v>
      </c>
      <c r="E543" t="s">
        <v>138</v>
      </c>
      <c r="F543" t="s">
        <v>2233</v>
      </c>
      <c r="G543" t="s">
        <v>2234</v>
      </c>
      <c r="H543" t="s">
        <v>30</v>
      </c>
      <c r="I543" t="s">
        <v>31</v>
      </c>
      <c r="J543" t="s">
        <v>30</v>
      </c>
      <c r="K543" t="s">
        <v>31</v>
      </c>
      <c r="L543" t="s">
        <v>30</v>
      </c>
      <c r="M543" t="s">
        <v>31</v>
      </c>
      <c r="N543">
        <v>308</v>
      </c>
      <c r="O543">
        <v>300</v>
      </c>
      <c r="P543">
        <v>300</v>
      </c>
      <c r="Q543">
        <v>908</v>
      </c>
      <c r="R543" s="15">
        <v>44668</v>
      </c>
      <c r="S543" t="s">
        <v>32</v>
      </c>
      <c r="T543" t="s">
        <v>29</v>
      </c>
      <c r="U543">
        <v>49196</v>
      </c>
    </row>
    <row r="544" spans="1:21" ht="14.25" customHeight="1" x14ac:dyDescent="0.35">
      <c r="A544" t="s">
        <v>2235</v>
      </c>
      <c r="B544" t="s">
        <v>2236</v>
      </c>
      <c r="C544" t="s">
        <v>23</v>
      </c>
      <c r="D544" t="s">
        <v>24</v>
      </c>
      <c r="E544" t="s">
        <v>76</v>
      </c>
      <c r="F544" t="s">
        <v>2237</v>
      </c>
      <c r="G544" t="s">
        <v>2238</v>
      </c>
      <c r="H544" t="s">
        <v>38</v>
      </c>
      <c r="I544" t="s">
        <v>31</v>
      </c>
      <c r="J544" t="s">
        <v>38</v>
      </c>
      <c r="K544" t="s">
        <v>31</v>
      </c>
      <c r="L544" t="s">
        <v>38</v>
      </c>
      <c r="M544" t="s">
        <v>31</v>
      </c>
      <c r="N544">
        <v>215</v>
      </c>
      <c r="O544">
        <v>238</v>
      </c>
      <c r="P544">
        <v>215</v>
      </c>
      <c r="Q544">
        <v>668</v>
      </c>
      <c r="R544" s="15">
        <v>44719</v>
      </c>
      <c r="S544" t="s">
        <v>38</v>
      </c>
      <c r="T544" t="s">
        <v>31</v>
      </c>
      <c r="U544">
        <v>320335</v>
      </c>
    </row>
    <row r="545" spans="1:21" ht="14.25" customHeight="1" x14ac:dyDescent="0.35">
      <c r="A545" t="s">
        <v>2239</v>
      </c>
      <c r="B545" t="s">
        <v>2240</v>
      </c>
      <c r="C545" t="s">
        <v>23</v>
      </c>
      <c r="D545" t="s">
        <v>24</v>
      </c>
      <c r="E545" t="s">
        <v>709</v>
      </c>
      <c r="F545" t="s">
        <v>2241</v>
      </c>
      <c r="G545" t="s">
        <v>2242</v>
      </c>
      <c r="H545" t="s">
        <v>28</v>
      </c>
      <c r="I545" t="s">
        <v>29</v>
      </c>
      <c r="J545" t="s">
        <v>38</v>
      </c>
      <c r="K545" t="s">
        <v>31</v>
      </c>
      <c r="L545" t="s">
        <v>30</v>
      </c>
      <c r="M545" t="s">
        <v>31</v>
      </c>
      <c r="N545">
        <v>535</v>
      </c>
      <c r="O545">
        <v>225</v>
      </c>
      <c r="P545">
        <v>305</v>
      </c>
      <c r="Q545">
        <v>1065</v>
      </c>
      <c r="R545" s="15">
        <v>44668</v>
      </c>
      <c r="S545" t="s">
        <v>32</v>
      </c>
      <c r="T545" t="s">
        <v>29</v>
      </c>
      <c r="U545">
        <v>40987</v>
      </c>
    </row>
    <row r="546" spans="1:21" ht="14.25" customHeight="1" x14ac:dyDescent="0.35">
      <c r="A546" t="s">
        <v>2243</v>
      </c>
      <c r="B546" t="s">
        <v>2244</v>
      </c>
      <c r="C546" t="s">
        <v>23</v>
      </c>
      <c r="D546" t="s">
        <v>24</v>
      </c>
      <c r="E546" t="s">
        <v>96</v>
      </c>
      <c r="F546" t="s">
        <v>2245</v>
      </c>
      <c r="G546" t="s">
        <v>2246</v>
      </c>
      <c r="H546" t="s">
        <v>28</v>
      </c>
      <c r="I546" t="s">
        <v>29</v>
      </c>
      <c r="J546" t="s">
        <v>30</v>
      </c>
      <c r="K546" t="s">
        <v>31</v>
      </c>
      <c r="L546" t="s">
        <v>38</v>
      </c>
      <c r="M546" t="s">
        <v>31</v>
      </c>
      <c r="N546">
        <v>535</v>
      </c>
      <c r="O546">
        <v>311</v>
      </c>
      <c r="P546">
        <v>250</v>
      </c>
      <c r="Q546">
        <v>1096</v>
      </c>
      <c r="R546" s="15">
        <v>44668</v>
      </c>
      <c r="S546" t="s">
        <v>32</v>
      </c>
      <c r="T546" t="s">
        <v>29</v>
      </c>
      <c r="U546">
        <v>1474735</v>
      </c>
    </row>
    <row r="547" spans="1:21" ht="14.25" customHeight="1" x14ac:dyDescent="0.35">
      <c r="A547" t="s">
        <v>2247</v>
      </c>
      <c r="B547" t="s">
        <v>2248</v>
      </c>
      <c r="C547" t="s">
        <v>23</v>
      </c>
      <c r="D547" t="s">
        <v>24</v>
      </c>
      <c r="E547" t="s">
        <v>91</v>
      </c>
      <c r="F547" t="s">
        <v>2249</v>
      </c>
      <c r="G547" t="s">
        <v>2250</v>
      </c>
      <c r="H547" t="s">
        <v>30</v>
      </c>
      <c r="I547" t="s">
        <v>31</v>
      </c>
      <c r="J547" t="s">
        <v>30</v>
      </c>
      <c r="K547" t="s">
        <v>31</v>
      </c>
      <c r="L547" t="s">
        <v>38</v>
      </c>
      <c r="M547" t="s">
        <v>31</v>
      </c>
      <c r="N547">
        <v>310</v>
      </c>
      <c r="O547">
        <v>343</v>
      </c>
      <c r="P547">
        <v>265</v>
      </c>
      <c r="Q547">
        <v>918</v>
      </c>
      <c r="R547" s="15">
        <v>44668</v>
      </c>
      <c r="S547" t="s">
        <v>32</v>
      </c>
      <c r="T547" t="s">
        <v>29</v>
      </c>
      <c r="U547">
        <v>1123360</v>
      </c>
    </row>
    <row r="548" spans="1:21" ht="14.25" customHeight="1" x14ac:dyDescent="0.35">
      <c r="A548" t="s">
        <v>2251</v>
      </c>
      <c r="B548" t="s">
        <v>2252</v>
      </c>
      <c r="C548" t="s">
        <v>23</v>
      </c>
      <c r="D548" t="s">
        <v>24</v>
      </c>
      <c r="E548" t="s">
        <v>124</v>
      </c>
      <c r="F548" t="s">
        <v>2253</v>
      </c>
      <c r="G548" t="s">
        <v>2254</v>
      </c>
      <c r="H548" t="s">
        <v>28</v>
      </c>
      <c r="I548" t="s">
        <v>29</v>
      </c>
      <c r="J548" t="s">
        <v>30</v>
      </c>
      <c r="K548" t="s">
        <v>31</v>
      </c>
      <c r="L548" t="s">
        <v>30</v>
      </c>
      <c r="M548" t="s">
        <v>31</v>
      </c>
      <c r="N548">
        <v>520</v>
      </c>
      <c r="O548">
        <v>348</v>
      </c>
      <c r="P548">
        <v>305</v>
      </c>
      <c r="Q548">
        <v>1173</v>
      </c>
      <c r="R548" s="15">
        <v>44668</v>
      </c>
      <c r="S548" t="s">
        <v>32</v>
      </c>
      <c r="T548" t="s">
        <v>29</v>
      </c>
      <c r="U548">
        <v>860730</v>
      </c>
    </row>
    <row r="549" spans="1:21" ht="14.25" customHeight="1" x14ac:dyDescent="0.35">
      <c r="A549" t="s">
        <v>2255</v>
      </c>
      <c r="B549" t="s">
        <v>2256</v>
      </c>
      <c r="C549" t="s">
        <v>23</v>
      </c>
      <c r="D549" t="s">
        <v>24</v>
      </c>
      <c r="E549" t="s">
        <v>1541</v>
      </c>
      <c r="F549" t="s">
        <v>2257</v>
      </c>
      <c r="G549" t="s">
        <v>2258</v>
      </c>
      <c r="H549" t="s">
        <v>30</v>
      </c>
      <c r="I549" t="s">
        <v>31</v>
      </c>
      <c r="J549" t="s">
        <v>38</v>
      </c>
      <c r="K549" t="s">
        <v>31</v>
      </c>
      <c r="L549" t="s">
        <v>30</v>
      </c>
      <c r="M549" t="s">
        <v>31</v>
      </c>
      <c r="N549">
        <v>310</v>
      </c>
      <c r="O549">
        <v>223</v>
      </c>
      <c r="P549">
        <v>305</v>
      </c>
      <c r="Q549">
        <v>838</v>
      </c>
      <c r="R549" s="15">
        <v>44668</v>
      </c>
      <c r="S549" t="s">
        <v>30</v>
      </c>
      <c r="T549" t="s">
        <v>31</v>
      </c>
      <c r="U549">
        <v>1359841</v>
      </c>
    </row>
    <row r="550" spans="1:21" ht="14.25" customHeight="1" x14ac:dyDescent="0.35">
      <c r="A550" t="s">
        <v>2259</v>
      </c>
      <c r="B550" t="s">
        <v>2260</v>
      </c>
      <c r="C550" t="s">
        <v>23</v>
      </c>
      <c r="D550" t="s">
        <v>24</v>
      </c>
      <c r="E550" t="s">
        <v>1101</v>
      </c>
      <c r="F550" t="s">
        <v>2261</v>
      </c>
      <c r="G550" t="s">
        <v>2262</v>
      </c>
      <c r="H550" t="s">
        <v>28</v>
      </c>
      <c r="I550" t="s">
        <v>29</v>
      </c>
      <c r="J550" t="s">
        <v>30</v>
      </c>
      <c r="K550" t="s">
        <v>31</v>
      </c>
      <c r="L550" t="s">
        <v>30</v>
      </c>
      <c r="M550" t="s">
        <v>31</v>
      </c>
      <c r="N550">
        <v>545</v>
      </c>
      <c r="O550">
        <v>315</v>
      </c>
      <c r="P550">
        <v>315</v>
      </c>
      <c r="Q550">
        <v>1175</v>
      </c>
      <c r="R550" s="15">
        <v>44668</v>
      </c>
      <c r="S550" t="s">
        <v>32</v>
      </c>
      <c r="T550" t="s">
        <v>29</v>
      </c>
      <c r="U550">
        <v>1501585</v>
      </c>
    </row>
    <row r="551" spans="1:21" ht="14.25" customHeight="1" x14ac:dyDescent="0.35">
      <c r="A551" t="s">
        <v>2263</v>
      </c>
      <c r="B551" t="s">
        <v>2264</v>
      </c>
      <c r="C551" t="s">
        <v>23</v>
      </c>
      <c r="D551" t="s">
        <v>24</v>
      </c>
      <c r="E551" t="s">
        <v>91</v>
      </c>
      <c r="F551" t="s">
        <v>2265</v>
      </c>
      <c r="G551" t="s">
        <v>2266</v>
      </c>
      <c r="H551" t="s">
        <v>38</v>
      </c>
      <c r="I551" t="s">
        <v>31</v>
      </c>
      <c r="J551" t="s">
        <v>30</v>
      </c>
      <c r="K551" t="s">
        <v>31</v>
      </c>
      <c r="L551" t="s">
        <v>38</v>
      </c>
      <c r="M551" t="s">
        <v>31</v>
      </c>
      <c r="N551">
        <v>230</v>
      </c>
      <c r="O551">
        <v>359</v>
      </c>
      <c r="P551">
        <v>230</v>
      </c>
      <c r="Q551">
        <v>819</v>
      </c>
      <c r="R551" s="15">
        <v>44668</v>
      </c>
      <c r="S551" t="s">
        <v>30</v>
      </c>
      <c r="T551" t="s">
        <v>31</v>
      </c>
      <c r="U551">
        <v>1645590</v>
      </c>
    </row>
    <row r="552" spans="1:21" ht="14.25" customHeight="1" x14ac:dyDescent="0.35">
      <c r="A552" t="s">
        <v>2267</v>
      </c>
      <c r="B552" t="s">
        <v>2268</v>
      </c>
      <c r="C552" t="s">
        <v>23</v>
      </c>
      <c r="D552" t="s">
        <v>24</v>
      </c>
      <c r="E552" t="s">
        <v>607</v>
      </c>
      <c r="F552" t="s">
        <v>2269</v>
      </c>
      <c r="G552" t="s">
        <v>2270</v>
      </c>
      <c r="H552" t="s">
        <v>28</v>
      </c>
      <c r="I552" t="s">
        <v>29</v>
      </c>
      <c r="J552" t="s">
        <v>30</v>
      </c>
      <c r="K552" t="s">
        <v>31</v>
      </c>
      <c r="L552" t="s">
        <v>30</v>
      </c>
      <c r="M552" t="s">
        <v>31</v>
      </c>
      <c r="N552">
        <v>535</v>
      </c>
      <c r="O552">
        <v>300</v>
      </c>
      <c r="P552">
        <v>305</v>
      </c>
      <c r="Q552">
        <v>1140</v>
      </c>
      <c r="R552" s="15">
        <v>44668</v>
      </c>
      <c r="S552" t="s">
        <v>32</v>
      </c>
      <c r="T552" t="s">
        <v>29</v>
      </c>
      <c r="U552">
        <v>4447</v>
      </c>
    </row>
    <row r="553" spans="1:21" ht="14.25" customHeight="1" x14ac:dyDescent="0.35">
      <c r="A553" t="s">
        <v>2271</v>
      </c>
      <c r="B553" t="s">
        <v>2272</v>
      </c>
      <c r="C553" t="s">
        <v>23</v>
      </c>
      <c r="D553" t="s">
        <v>24</v>
      </c>
      <c r="E553" t="s">
        <v>55</v>
      </c>
      <c r="F553" t="s">
        <v>2273</v>
      </c>
      <c r="G553" t="s">
        <v>2274</v>
      </c>
      <c r="H553" t="s">
        <v>38</v>
      </c>
      <c r="I553" t="s">
        <v>31</v>
      </c>
      <c r="J553" t="s">
        <v>38</v>
      </c>
      <c r="K553" t="s">
        <v>31</v>
      </c>
      <c r="L553" t="s">
        <v>38</v>
      </c>
      <c r="M553" t="s">
        <v>31</v>
      </c>
      <c r="N553">
        <v>293</v>
      </c>
      <c r="O553">
        <v>200</v>
      </c>
      <c r="P553">
        <v>205</v>
      </c>
      <c r="Q553">
        <v>698</v>
      </c>
      <c r="R553" s="15">
        <v>44668</v>
      </c>
      <c r="S553" t="s">
        <v>38</v>
      </c>
      <c r="T553" t="s">
        <v>31</v>
      </c>
      <c r="U553">
        <v>1585689</v>
      </c>
    </row>
    <row r="554" spans="1:21" ht="14.25" customHeight="1" x14ac:dyDescent="0.35">
      <c r="A554" t="s">
        <v>2275</v>
      </c>
      <c r="B554" t="s">
        <v>2276</v>
      </c>
      <c r="C554" t="s">
        <v>23</v>
      </c>
      <c r="D554" t="s">
        <v>24</v>
      </c>
      <c r="E554" t="s">
        <v>415</v>
      </c>
      <c r="F554" t="s">
        <v>2277</v>
      </c>
      <c r="G554" t="s">
        <v>2278</v>
      </c>
      <c r="H554" t="s">
        <v>28</v>
      </c>
      <c r="I554" t="s">
        <v>29</v>
      </c>
      <c r="J554" t="s">
        <v>30</v>
      </c>
      <c r="K554" t="s">
        <v>31</v>
      </c>
      <c r="L554" t="s">
        <v>30</v>
      </c>
      <c r="M554" t="s">
        <v>31</v>
      </c>
      <c r="N554">
        <v>570</v>
      </c>
      <c r="O554">
        <v>322</v>
      </c>
      <c r="P554">
        <v>300</v>
      </c>
      <c r="Q554">
        <v>1192</v>
      </c>
      <c r="R554" s="15">
        <v>44668</v>
      </c>
      <c r="S554" t="s">
        <v>32</v>
      </c>
      <c r="T554" t="s">
        <v>29</v>
      </c>
      <c r="U554">
        <v>48465</v>
      </c>
    </row>
    <row r="555" spans="1:21" ht="14.25" customHeight="1" x14ac:dyDescent="0.35">
      <c r="A555" t="s">
        <v>2279</v>
      </c>
      <c r="B555" t="s">
        <v>2280</v>
      </c>
      <c r="C555" t="s">
        <v>23</v>
      </c>
      <c r="D555" t="s">
        <v>24</v>
      </c>
      <c r="E555" t="s">
        <v>91</v>
      </c>
      <c r="F555" t="s">
        <v>2281</v>
      </c>
      <c r="G555" t="s">
        <v>2282</v>
      </c>
      <c r="H555" t="s">
        <v>38</v>
      </c>
      <c r="I555" t="s">
        <v>31</v>
      </c>
      <c r="J555" t="s">
        <v>38</v>
      </c>
      <c r="K555" t="s">
        <v>31</v>
      </c>
      <c r="L555" t="s">
        <v>38</v>
      </c>
      <c r="M555" t="s">
        <v>31</v>
      </c>
      <c r="N555">
        <v>245</v>
      </c>
      <c r="O555">
        <v>211</v>
      </c>
      <c r="P555">
        <v>200</v>
      </c>
      <c r="Q555">
        <v>656</v>
      </c>
      <c r="R555" s="15">
        <v>44668</v>
      </c>
      <c r="S555" t="s">
        <v>38</v>
      </c>
      <c r="T555" t="s">
        <v>31</v>
      </c>
      <c r="U555">
        <v>47217</v>
      </c>
    </row>
    <row r="556" spans="1:21" ht="14.25" customHeight="1" x14ac:dyDescent="0.35">
      <c r="A556" t="s">
        <v>2283</v>
      </c>
      <c r="B556" t="s">
        <v>2284</v>
      </c>
      <c r="C556" t="s">
        <v>23</v>
      </c>
      <c r="D556" t="s">
        <v>24</v>
      </c>
      <c r="E556" t="s">
        <v>124</v>
      </c>
      <c r="F556" t="s">
        <v>2285</v>
      </c>
      <c r="G556" t="s">
        <v>2286</v>
      </c>
      <c r="H556" t="s">
        <v>32</v>
      </c>
      <c r="I556" t="s">
        <v>29</v>
      </c>
      <c r="J556" t="s">
        <v>30</v>
      </c>
      <c r="K556" t="s">
        <v>31</v>
      </c>
      <c r="L556" t="s">
        <v>30</v>
      </c>
      <c r="M556" t="s">
        <v>31</v>
      </c>
      <c r="N556">
        <v>462</v>
      </c>
      <c r="O556">
        <v>300</v>
      </c>
      <c r="P556">
        <v>300</v>
      </c>
      <c r="Q556">
        <v>1062</v>
      </c>
      <c r="R556" s="15">
        <v>44668</v>
      </c>
      <c r="S556" t="s">
        <v>32</v>
      </c>
      <c r="T556" t="s">
        <v>29</v>
      </c>
      <c r="U556">
        <v>49071</v>
      </c>
    </row>
    <row r="557" spans="1:21" ht="14.25" customHeight="1" x14ac:dyDescent="0.35">
      <c r="A557" t="s">
        <v>2287</v>
      </c>
      <c r="B557" t="s">
        <v>2288</v>
      </c>
      <c r="C557" t="s">
        <v>23</v>
      </c>
      <c r="D557" t="s">
        <v>24</v>
      </c>
      <c r="E557" t="s">
        <v>1101</v>
      </c>
      <c r="F557" t="s">
        <v>2289</v>
      </c>
      <c r="G557" t="s">
        <v>2290</v>
      </c>
      <c r="H557" t="s">
        <v>28</v>
      </c>
      <c r="I557" t="s">
        <v>29</v>
      </c>
      <c r="J557" t="s">
        <v>30</v>
      </c>
      <c r="K557" t="s">
        <v>31</v>
      </c>
      <c r="L557" t="s">
        <v>30</v>
      </c>
      <c r="M557" t="s">
        <v>31</v>
      </c>
      <c r="N557">
        <v>525</v>
      </c>
      <c r="O557">
        <v>315</v>
      </c>
      <c r="P557">
        <v>320</v>
      </c>
      <c r="Q557">
        <v>1160</v>
      </c>
      <c r="R557" s="15">
        <v>44722</v>
      </c>
      <c r="S557" t="s">
        <v>32</v>
      </c>
      <c r="T557" t="s">
        <v>29</v>
      </c>
      <c r="U557">
        <v>4281</v>
      </c>
    </row>
    <row r="558" spans="1:21" ht="14.25" customHeight="1" x14ac:dyDescent="0.35">
      <c r="A558" t="s">
        <v>2291</v>
      </c>
      <c r="B558" t="s">
        <v>2292</v>
      </c>
      <c r="C558" t="s">
        <v>23</v>
      </c>
      <c r="D558" t="s">
        <v>24</v>
      </c>
      <c r="E558" t="s">
        <v>321</v>
      </c>
      <c r="F558" t="s">
        <v>2293</v>
      </c>
      <c r="G558" t="s">
        <v>2294</v>
      </c>
      <c r="H558" t="s">
        <v>28</v>
      </c>
      <c r="I558" t="s">
        <v>29</v>
      </c>
      <c r="J558" t="s">
        <v>30</v>
      </c>
      <c r="K558" t="s">
        <v>31</v>
      </c>
      <c r="L558" t="s">
        <v>30</v>
      </c>
      <c r="M558" t="s">
        <v>31</v>
      </c>
      <c r="N558">
        <v>535</v>
      </c>
      <c r="O558">
        <v>331</v>
      </c>
      <c r="P558">
        <v>335</v>
      </c>
      <c r="Q558">
        <v>1201</v>
      </c>
      <c r="R558" s="15">
        <v>44723</v>
      </c>
      <c r="S558" t="s">
        <v>28</v>
      </c>
      <c r="T558" t="s">
        <v>29</v>
      </c>
      <c r="U558">
        <v>765880</v>
      </c>
    </row>
    <row r="559" spans="1:21" ht="14.25" customHeight="1" x14ac:dyDescent="0.35">
      <c r="A559" t="s">
        <v>2295</v>
      </c>
      <c r="B559" t="s">
        <v>2296</v>
      </c>
      <c r="C559" t="s">
        <v>23</v>
      </c>
      <c r="D559" t="s">
        <v>24</v>
      </c>
      <c r="E559" t="s">
        <v>415</v>
      </c>
      <c r="F559" t="s">
        <v>2297</v>
      </c>
      <c r="G559" t="s">
        <v>2298</v>
      </c>
      <c r="H559" t="s">
        <v>28</v>
      </c>
      <c r="I559" t="s">
        <v>29</v>
      </c>
      <c r="J559" t="s">
        <v>30</v>
      </c>
      <c r="K559" t="s">
        <v>31</v>
      </c>
      <c r="L559" t="s">
        <v>30</v>
      </c>
      <c r="M559" t="s">
        <v>31</v>
      </c>
      <c r="N559">
        <v>585</v>
      </c>
      <c r="O559">
        <v>326</v>
      </c>
      <c r="P559">
        <v>365</v>
      </c>
      <c r="Q559">
        <v>1276</v>
      </c>
      <c r="R559" s="15">
        <v>44668</v>
      </c>
      <c r="S559" t="s">
        <v>28</v>
      </c>
      <c r="T559" t="s">
        <v>29</v>
      </c>
      <c r="U559">
        <v>40704</v>
      </c>
    </row>
    <row r="560" spans="1:21" ht="14.25" customHeight="1" x14ac:dyDescent="0.35">
      <c r="A560" t="s">
        <v>2299</v>
      </c>
      <c r="B560" t="s">
        <v>2300</v>
      </c>
      <c r="C560" t="s">
        <v>23</v>
      </c>
      <c r="D560" t="s">
        <v>24</v>
      </c>
      <c r="E560" t="s">
        <v>1907</v>
      </c>
      <c r="F560" t="s">
        <v>2301</v>
      </c>
      <c r="G560" t="s">
        <v>2302</v>
      </c>
      <c r="H560" t="s">
        <v>28</v>
      </c>
      <c r="I560" t="s">
        <v>29</v>
      </c>
      <c r="J560" t="s">
        <v>30</v>
      </c>
      <c r="K560" t="s">
        <v>31</v>
      </c>
      <c r="L560" t="s">
        <v>30</v>
      </c>
      <c r="M560" t="s">
        <v>31</v>
      </c>
      <c r="N560">
        <v>533</v>
      </c>
      <c r="O560">
        <v>300</v>
      </c>
      <c r="P560">
        <v>300</v>
      </c>
      <c r="Q560">
        <v>1133</v>
      </c>
      <c r="R560" s="15">
        <v>44722</v>
      </c>
      <c r="S560" t="s">
        <v>32</v>
      </c>
      <c r="T560" t="s">
        <v>29</v>
      </c>
      <c r="U560">
        <v>40545</v>
      </c>
    </row>
    <row r="561" spans="1:21" ht="14.25" customHeight="1" x14ac:dyDescent="0.35">
      <c r="A561" t="s">
        <v>2303</v>
      </c>
      <c r="B561" t="s">
        <v>2304</v>
      </c>
      <c r="C561" t="s">
        <v>357</v>
      </c>
      <c r="D561" t="s">
        <v>24</v>
      </c>
      <c r="E561" t="s">
        <v>25</v>
      </c>
      <c r="F561" t="s">
        <v>2305</v>
      </c>
      <c r="G561" t="s">
        <v>2306</v>
      </c>
      <c r="H561" t="s">
        <v>28</v>
      </c>
      <c r="I561" t="s">
        <v>29</v>
      </c>
      <c r="J561" t="s">
        <v>38</v>
      </c>
      <c r="K561" t="s">
        <v>31</v>
      </c>
      <c r="L561" t="s">
        <v>38</v>
      </c>
      <c r="M561" t="s">
        <v>31</v>
      </c>
      <c r="N561">
        <v>500</v>
      </c>
      <c r="O561">
        <v>283</v>
      </c>
      <c r="P561">
        <v>255</v>
      </c>
      <c r="Q561">
        <v>1038</v>
      </c>
      <c r="R561" s="15">
        <v>44673</v>
      </c>
      <c r="S561" t="s">
        <v>32</v>
      </c>
      <c r="T561" t="s">
        <v>29</v>
      </c>
      <c r="U561">
        <v>1639920</v>
      </c>
    </row>
    <row r="562" spans="1:21" ht="14.25" customHeight="1" x14ac:dyDescent="0.35">
      <c r="A562" t="s">
        <v>2307</v>
      </c>
      <c r="B562" t="s">
        <v>2308</v>
      </c>
      <c r="C562" t="s">
        <v>23</v>
      </c>
      <c r="D562" t="s">
        <v>24</v>
      </c>
      <c r="E562" t="s">
        <v>41</v>
      </c>
      <c r="F562" t="s">
        <v>2309</v>
      </c>
      <c r="G562" t="s">
        <v>2310</v>
      </c>
      <c r="H562" t="s">
        <v>32</v>
      </c>
      <c r="I562" t="s">
        <v>29</v>
      </c>
      <c r="J562" t="s">
        <v>30</v>
      </c>
      <c r="K562" t="s">
        <v>31</v>
      </c>
      <c r="L562" t="s">
        <v>30</v>
      </c>
      <c r="M562" t="s">
        <v>31</v>
      </c>
      <c r="N562">
        <v>477</v>
      </c>
      <c r="O562">
        <v>306</v>
      </c>
      <c r="P562">
        <v>300</v>
      </c>
      <c r="Q562">
        <v>1083</v>
      </c>
      <c r="R562" s="15">
        <v>44670</v>
      </c>
      <c r="S562" t="s">
        <v>32</v>
      </c>
      <c r="T562" t="s">
        <v>29</v>
      </c>
      <c r="U562">
        <v>1660734</v>
      </c>
    </row>
    <row r="563" spans="1:21" ht="14.25" customHeight="1" x14ac:dyDescent="0.35">
      <c r="A563" t="s">
        <v>2311</v>
      </c>
      <c r="B563" t="s">
        <v>2312</v>
      </c>
      <c r="C563" t="s">
        <v>23</v>
      </c>
      <c r="D563" t="s">
        <v>24</v>
      </c>
      <c r="E563" t="s">
        <v>321</v>
      </c>
      <c r="F563" t="s">
        <v>2313</v>
      </c>
      <c r="G563" t="s">
        <v>2314</v>
      </c>
      <c r="H563" t="s">
        <v>38</v>
      </c>
      <c r="I563" t="s">
        <v>31</v>
      </c>
      <c r="J563" t="s">
        <v>38</v>
      </c>
      <c r="K563" t="s">
        <v>31</v>
      </c>
      <c r="L563" t="s">
        <v>30</v>
      </c>
      <c r="M563" t="s">
        <v>31</v>
      </c>
      <c r="N563">
        <v>230</v>
      </c>
      <c r="O563">
        <v>239</v>
      </c>
      <c r="P563">
        <v>300</v>
      </c>
      <c r="Q563">
        <v>769</v>
      </c>
      <c r="R563" s="15">
        <v>44723</v>
      </c>
      <c r="S563" t="s">
        <v>30</v>
      </c>
      <c r="T563" t="s">
        <v>31</v>
      </c>
      <c r="U563">
        <v>1630472</v>
      </c>
    </row>
    <row r="564" spans="1:21" ht="14.25" customHeight="1" x14ac:dyDescent="0.35">
      <c r="A564" t="s">
        <v>2315</v>
      </c>
      <c r="B564" t="s">
        <v>2316</v>
      </c>
      <c r="C564" t="s">
        <v>23</v>
      </c>
      <c r="D564" t="s">
        <v>24</v>
      </c>
      <c r="E564" t="s">
        <v>926</v>
      </c>
      <c r="F564" t="s">
        <v>2317</v>
      </c>
      <c r="H564" t="s">
        <v>28</v>
      </c>
      <c r="I564" t="s">
        <v>29</v>
      </c>
      <c r="J564" t="s">
        <v>30</v>
      </c>
      <c r="K564" t="s">
        <v>31</v>
      </c>
      <c r="L564" t="s">
        <v>30</v>
      </c>
      <c r="M564" t="s">
        <v>31</v>
      </c>
      <c r="N564">
        <v>510</v>
      </c>
      <c r="O564">
        <v>313</v>
      </c>
      <c r="P564">
        <v>310</v>
      </c>
      <c r="Q564">
        <v>1133</v>
      </c>
      <c r="R564" s="15">
        <v>44670</v>
      </c>
      <c r="S564" t="s">
        <v>32</v>
      </c>
      <c r="T564" t="s">
        <v>29</v>
      </c>
      <c r="U564">
        <v>1552033</v>
      </c>
    </row>
    <row r="565" spans="1:21" ht="14.25" customHeight="1" x14ac:dyDescent="0.35">
      <c r="A565" t="s">
        <v>2318</v>
      </c>
      <c r="B565" t="s">
        <v>2319</v>
      </c>
      <c r="C565" t="s">
        <v>23</v>
      </c>
      <c r="D565" t="s">
        <v>24</v>
      </c>
      <c r="E565" t="s">
        <v>2228</v>
      </c>
      <c r="F565" t="s">
        <v>2320</v>
      </c>
      <c r="G565" t="s">
        <v>2321</v>
      </c>
      <c r="H565" t="s">
        <v>38</v>
      </c>
      <c r="I565" t="s">
        <v>31</v>
      </c>
      <c r="J565" t="s">
        <v>38</v>
      </c>
      <c r="K565" t="s">
        <v>31</v>
      </c>
      <c r="L565" t="s">
        <v>30</v>
      </c>
      <c r="M565" t="s">
        <v>31</v>
      </c>
      <c r="N565">
        <v>269</v>
      </c>
      <c r="O565">
        <v>253</v>
      </c>
      <c r="P565">
        <v>305</v>
      </c>
      <c r="Q565">
        <v>827</v>
      </c>
      <c r="R565" s="15">
        <v>44723</v>
      </c>
      <c r="S565" t="s">
        <v>30</v>
      </c>
      <c r="T565" t="s">
        <v>31</v>
      </c>
      <c r="U565">
        <v>1670592</v>
      </c>
    </row>
    <row r="566" spans="1:21" ht="14.25" customHeight="1" x14ac:dyDescent="0.35">
      <c r="A566" t="s">
        <v>2322</v>
      </c>
      <c r="B566" t="s">
        <v>2323</v>
      </c>
      <c r="C566" t="s">
        <v>23</v>
      </c>
      <c r="D566" t="s">
        <v>24</v>
      </c>
      <c r="E566" t="s">
        <v>25</v>
      </c>
      <c r="F566" t="s">
        <v>2324</v>
      </c>
      <c r="G566" t="s">
        <v>2325</v>
      </c>
      <c r="H566" t="s">
        <v>38</v>
      </c>
      <c r="I566" t="s">
        <v>31</v>
      </c>
      <c r="J566" t="s">
        <v>28</v>
      </c>
      <c r="K566" t="s">
        <v>29</v>
      </c>
      <c r="L566" t="s">
        <v>38</v>
      </c>
      <c r="M566" t="s">
        <v>31</v>
      </c>
      <c r="N566">
        <v>245</v>
      </c>
      <c r="O566">
        <v>515</v>
      </c>
      <c r="P566">
        <v>213</v>
      </c>
      <c r="Q566">
        <v>973</v>
      </c>
      <c r="R566" s="15">
        <v>44671</v>
      </c>
      <c r="S566" t="s">
        <v>32</v>
      </c>
      <c r="T566" t="s">
        <v>29</v>
      </c>
      <c r="U566">
        <v>1345016</v>
      </c>
    </row>
    <row r="567" spans="1:21" ht="14.25" customHeight="1" x14ac:dyDescent="0.35">
      <c r="A567" t="s">
        <v>2326</v>
      </c>
      <c r="B567" t="s">
        <v>2327</v>
      </c>
      <c r="C567" t="s">
        <v>23</v>
      </c>
      <c r="D567" t="s">
        <v>24</v>
      </c>
      <c r="E567" t="s">
        <v>91</v>
      </c>
      <c r="F567" t="s">
        <v>2328</v>
      </c>
      <c r="G567" t="s">
        <v>2329</v>
      </c>
      <c r="H567" t="s">
        <v>30</v>
      </c>
      <c r="I567" t="s">
        <v>31</v>
      </c>
      <c r="J567" t="s">
        <v>30</v>
      </c>
      <c r="K567" t="s">
        <v>31</v>
      </c>
      <c r="L567" t="s">
        <v>30</v>
      </c>
      <c r="M567" t="s">
        <v>31</v>
      </c>
      <c r="N567">
        <v>325</v>
      </c>
      <c r="O567">
        <v>314</v>
      </c>
      <c r="P567">
        <v>310</v>
      </c>
      <c r="Q567">
        <v>949</v>
      </c>
      <c r="R567" s="15">
        <v>44723</v>
      </c>
      <c r="S567" t="s">
        <v>32</v>
      </c>
      <c r="T567" t="s">
        <v>29</v>
      </c>
      <c r="U567">
        <v>1614178</v>
      </c>
    </row>
    <row r="568" spans="1:21" ht="14.25" customHeight="1" x14ac:dyDescent="0.35">
      <c r="A568" t="s">
        <v>2330</v>
      </c>
      <c r="B568" t="s">
        <v>2331</v>
      </c>
      <c r="C568" t="s">
        <v>23</v>
      </c>
      <c r="D568" t="s">
        <v>24</v>
      </c>
      <c r="E568" t="s">
        <v>1101</v>
      </c>
      <c r="F568" t="s">
        <v>2332</v>
      </c>
      <c r="G568" t="s">
        <v>2333</v>
      </c>
      <c r="H568" t="s">
        <v>28</v>
      </c>
      <c r="I568" t="s">
        <v>29</v>
      </c>
      <c r="J568" t="s">
        <v>30</v>
      </c>
      <c r="K568" t="s">
        <v>31</v>
      </c>
      <c r="L568" t="s">
        <v>30</v>
      </c>
      <c r="M568" t="s">
        <v>31</v>
      </c>
      <c r="N568">
        <v>515</v>
      </c>
      <c r="O568">
        <v>337</v>
      </c>
      <c r="P568">
        <v>300</v>
      </c>
      <c r="Q568">
        <v>1152</v>
      </c>
      <c r="R568" s="15">
        <v>44670</v>
      </c>
      <c r="S568" t="s">
        <v>32</v>
      </c>
      <c r="T568" t="s">
        <v>29</v>
      </c>
      <c r="U568">
        <v>1364885</v>
      </c>
    </row>
    <row r="569" spans="1:21" ht="14.25" customHeight="1" x14ac:dyDescent="0.35">
      <c r="A569" t="s">
        <v>2334</v>
      </c>
      <c r="B569" t="s">
        <v>2335</v>
      </c>
      <c r="C569" t="s">
        <v>64</v>
      </c>
      <c r="D569" t="s">
        <v>24</v>
      </c>
      <c r="E569" t="s">
        <v>46</v>
      </c>
      <c r="G569" t="s">
        <v>2336</v>
      </c>
      <c r="H569" t="s">
        <v>30</v>
      </c>
      <c r="I569" t="s">
        <v>31</v>
      </c>
      <c r="J569" t="s">
        <v>38</v>
      </c>
      <c r="K569" t="s">
        <v>31</v>
      </c>
      <c r="L569" t="s">
        <v>30</v>
      </c>
      <c r="M569" t="s">
        <v>31</v>
      </c>
      <c r="N569">
        <v>355</v>
      </c>
      <c r="O569">
        <v>217</v>
      </c>
      <c r="P569">
        <v>325</v>
      </c>
      <c r="Q569">
        <v>897</v>
      </c>
      <c r="R569" s="15">
        <v>44723</v>
      </c>
      <c r="S569" t="s">
        <v>30</v>
      </c>
      <c r="T569" t="s">
        <v>31</v>
      </c>
      <c r="U569">
        <v>1819580</v>
      </c>
    </row>
    <row r="570" spans="1:21" ht="14.25" customHeight="1" x14ac:dyDescent="0.35">
      <c r="A570" t="s">
        <v>2337</v>
      </c>
      <c r="B570" t="s">
        <v>2338</v>
      </c>
      <c r="C570" t="s">
        <v>64</v>
      </c>
      <c r="D570" t="s">
        <v>24</v>
      </c>
      <c r="E570" t="s">
        <v>224</v>
      </c>
      <c r="F570" t="s">
        <v>2339</v>
      </c>
      <c r="G570" t="s">
        <v>2340</v>
      </c>
      <c r="H570" t="s">
        <v>38</v>
      </c>
      <c r="I570" t="s">
        <v>31</v>
      </c>
      <c r="J570" t="s">
        <v>38</v>
      </c>
      <c r="K570" t="s">
        <v>31</v>
      </c>
      <c r="L570" t="s">
        <v>38</v>
      </c>
      <c r="M570" t="s">
        <v>31</v>
      </c>
      <c r="N570">
        <v>200</v>
      </c>
      <c r="O570">
        <v>205</v>
      </c>
      <c r="P570">
        <v>205</v>
      </c>
      <c r="Q570">
        <v>610</v>
      </c>
      <c r="R570" s="15">
        <v>44671</v>
      </c>
      <c r="S570" t="s">
        <v>38</v>
      </c>
      <c r="T570" t="s">
        <v>31</v>
      </c>
      <c r="U570">
        <v>1631761</v>
      </c>
    </row>
    <row r="571" spans="1:21" ht="14.25" customHeight="1" x14ac:dyDescent="0.35">
      <c r="A571" t="s">
        <v>2341</v>
      </c>
      <c r="B571" t="s">
        <v>2342</v>
      </c>
      <c r="C571" t="s">
        <v>23</v>
      </c>
      <c r="D571" t="s">
        <v>24</v>
      </c>
      <c r="E571" t="s">
        <v>55</v>
      </c>
      <c r="F571" t="s">
        <v>2343</v>
      </c>
      <c r="G571" t="s">
        <v>2344</v>
      </c>
      <c r="H571" t="s">
        <v>38</v>
      </c>
      <c r="I571" t="s">
        <v>31</v>
      </c>
      <c r="J571" t="s">
        <v>38</v>
      </c>
      <c r="K571" t="s">
        <v>31</v>
      </c>
      <c r="L571" t="s">
        <v>38</v>
      </c>
      <c r="M571" t="s">
        <v>31</v>
      </c>
      <c r="N571">
        <v>205</v>
      </c>
      <c r="O571">
        <v>217</v>
      </c>
      <c r="P571">
        <v>220</v>
      </c>
      <c r="Q571">
        <v>642</v>
      </c>
      <c r="R571" s="15">
        <v>44723</v>
      </c>
      <c r="S571" t="s">
        <v>38</v>
      </c>
      <c r="T571" t="s">
        <v>31</v>
      </c>
      <c r="U571">
        <v>1673358</v>
      </c>
    </row>
    <row r="572" spans="1:21" ht="14.25" customHeight="1" x14ac:dyDescent="0.35">
      <c r="A572" t="s">
        <v>2345</v>
      </c>
      <c r="B572" t="s">
        <v>2346</v>
      </c>
      <c r="C572" t="s">
        <v>23</v>
      </c>
      <c r="D572" t="s">
        <v>24</v>
      </c>
      <c r="E572" t="s">
        <v>258</v>
      </c>
      <c r="F572" t="s">
        <v>2347</v>
      </c>
      <c r="G572" t="s">
        <v>2348</v>
      </c>
      <c r="H572" t="s">
        <v>28</v>
      </c>
      <c r="I572" t="s">
        <v>29</v>
      </c>
      <c r="J572" t="s">
        <v>30</v>
      </c>
      <c r="K572" t="s">
        <v>31</v>
      </c>
      <c r="L572" t="s">
        <v>30</v>
      </c>
      <c r="M572" t="s">
        <v>31</v>
      </c>
      <c r="N572">
        <v>503</v>
      </c>
      <c r="O572">
        <v>320</v>
      </c>
      <c r="P572">
        <v>300</v>
      </c>
      <c r="Q572">
        <v>1123</v>
      </c>
      <c r="R572" s="15">
        <v>44670</v>
      </c>
      <c r="S572" t="s">
        <v>32</v>
      </c>
      <c r="T572" t="s">
        <v>29</v>
      </c>
      <c r="U572">
        <v>1530804</v>
      </c>
    </row>
    <row r="573" spans="1:21" ht="14.25" customHeight="1" x14ac:dyDescent="0.35">
      <c r="A573" t="s">
        <v>2349</v>
      </c>
      <c r="B573" t="s">
        <v>2350</v>
      </c>
      <c r="C573" t="s">
        <v>64</v>
      </c>
      <c r="D573" t="s">
        <v>24</v>
      </c>
      <c r="E573" t="s">
        <v>96</v>
      </c>
      <c r="F573" t="s">
        <v>2351</v>
      </c>
      <c r="G573" t="s">
        <v>2352</v>
      </c>
      <c r="H573" t="s">
        <v>38</v>
      </c>
      <c r="I573" t="s">
        <v>31</v>
      </c>
      <c r="J573" t="s">
        <v>38</v>
      </c>
      <c r="K573" t="s">
        <v>31</v>
      </c>
      <c r="L573" t="s">
        <v>38</v>
      </c>
      <c r="M573" t="s">
        <v>31</v>
      </c>
      <c r="N573">
        <v>202</v>
      </c>
      <c r="O573">
        <v>210</v>
      </c>
      <c r="P573">
        <v>295</v>
      </c>
      <c r="Q573">
        <v>707</v>
      </c>
      <c r="R573" s="15">
        <v>44723</v>
      </c>
      <c r="S573" t="s">
        <v>38</v>
      </c>
      <c r="T573" t="s">
        <v>31</v>
      </c>
      <c r="U573">
        <v>1720446</v>
      </c>
    </row>
    <row r="574" spans="1:21" ht="14.25" customHeight="1" x14ac:dyDescent="0.35">
      <c r="A574" t="s">
        <v>2353</v>
      </c>
      <c r="B574" t="s">
        <v>2354</v>
      </c>
      <c r="C574" t="s">
        <v>23</v>
      </c>
      <c r="D574" t="s">
        <v>24</v>
      </c>
      <c r="E574" t="s">
        <v>390</v>
      </c>
      <c r="F574" t="s">
        <v>2355</v>
      </c>
      <c r="G574" t="s">
        <v>2356</v>
      </c>
      <c r="H574" t="s">
        <v>28</v>
      </c>
      <c r="I574" t="s">
        <v>29</v>
      </c>
      <c r="J574" t="s">
        <v>30</v>
      </c>
      <c r="K574" t="s">
        <v>31</v>
      </c>
      <c r="L574" t="s">
        <v>38</v>
      </c>
      <c r="M574" t="s">
        <v>31</v>
      </c>
      <c r="N574">
        <v>535</v>
      </c>
      <c r="O574">
        <v>391</v>
      </c>
      <c r="P574">
        <v>240</v>
      </c>
      <c r="Q574">
        <v>1166</v>
      </c>
      <c r="R574" s="15">
        <v>44723</v>
      </c>
      <c r="S574" t="s">
        <v>32</v>
      </c>
      <c r="T574" t="s">
        <v>29</v>
      </c>
      <c r="U574">
        <v>1802749</v>
      </c>
    </row>
    <row r="575" spans="1:21" ht="14.25" customHeight="1" x14ac:dyDescent="0.35">
      <c r="A575" t="s">
        <v>2357</v>
      </c>
      <c r="B575" t="s">
        <v>2358</v>
      </c>
      <c r="C575" t="s">
        <v>23</v>
      </c>
      <c r="D575" t="s">
        <v>24</v>
      </c>
      <c r="E575" t="s">
        <v>91</v>
      </c>
      <c r="F575" t="s">
        <v>2359</v>
      </c>
      <c r="G575" t="s">
        <v>2360</v>
      </c>
      <c r="H575" t="s">
        <v>38</v>
      </c>
      <c r="I575" t="s">
        <v>31</v>
      </c>
      <c r="J575" t="s">
        <v>38</v>
      </c>
      <c r="K575" t="s">
        <v>31</v>
      </c>
      <c r="L575" t="s">
        <v>38</v>
      </c>
      <c r="M575" t="s">
        <v>31</v>
      </c>
      <c r="N575">
        <v>240</v>
      </c>
      <c r="O575">
        <v>234</v>
      </c>
      <c r="P575">
        <v>200</v>
      </c>
      <c r="Q575">
        <v>674</v>
      </c>
      <c r="R575" s="15">
        <v>44828</v>
      </c>
      <c r="S575" t="s">
        <v>38</v>
      </c>
      <c r="T575" t="s">
        <v>31</v>
      </c>
      <c r="U575">
        <v>1423774</v>
      </c>
    </row>
    <row r="576" spans="1:21" ht="14.25" customHeight="1" x14ac:dyDescent="0.35">
      <c r="A576" t="s">
        <v>2361</v>
      </c>
      <c r="B576" t="s">
        <v>2362</v>
      </c>
      <c r="C576" t="s">
        <v>23</v>
      </c>
      <c r="D576" t="s">
        <v>24</v>
      </c>
      <c r="E576" t="s">
        <v>2363</v>
      </c>
      <c r="F576" t="s">
        <v>2364</v>
      </c>
      <c r="G576" t="s">
        <v>2365</v>
      </c>
      <c r="H576" t="s">
        <v>30</v>
      </c>
      <c r="I576" t="s">
        <v>31</v>
      </c>
      <c r="J576" t="s">
        <v>30</v>
      </c>
      <c r="K576" t="s">
        <v>31</v>
      </c>
      <c r="L576" t="s">
        <v>30</v>
      </c>
      <c r="M576" t="s">
        <v>31</v>
      </c>
      <c r="N576">
        <v>329</v>
      </c>
      <c r="O576">
        <v>351</v>
      </c>
      <c r="P576">
        <v>320</v>
      </c>
      <c r="Q576">
        <v>1000</v>
      </c>
      <c r="R576" s="15">
        <v>44671</v>
      </c>
      <c r="S576" t="s">
        <v>32</v>
      </c>
      <c r="T576" t="s">
        <v>29</v>
      </c>
      <c r="U576">
        <v>1654126</v>
      </c>
    </row>
    <row r="577" spans="1:21" ht="14.25" customHeight="1" x14ac:dyDescent="0.35">
      <c r="A577" t="s">
        <v>2366</v>
      </c>
      <c r="B577" t="s">
        <v>2367</v>
      </c>
      <c r="C577" t="s">
        <v>23</v>
      </c>
      <c r="D577" t="s">
        <v>24</v>
      </c>
      <c r="E577" t="s">
        <v>107</v>
      </c>
      <c r="F577" t="s">
        <v>2368</v>
      </c>
      <c r="G577" t="s">
        <v>2369</v>
      </c>
      <c r="H577" t="s">
        <v>38</v>
      </c>
      <c r="I577" t="s">
        <v>31</v>
      </c>
      <c r="J577" t="s">
        <v>30</v>
      </c>
      <c r="K577" t="s">
        <v>31</v>
      </c>
      <c r="L577" t="s">
        <v>30</v>
      </c>
      <c r="M577" t="s">
        <v>31</v>
      </c>
      <c r="N577">
        <v>240</v>
      </c>
      <c r="O577">
        <v>326</v>
      </c>
      <c r="P577">
        <v>305</v>
      </c>
      <c r="Q577">
        <v>871</v>
      </c>
      <c r="R577" s="15">
        <v>44723</v>
      </c>
      <c r="S577" t="s">
        <v>30</v>
      </c>
      <c r="T577" t="s">
        <v>31</v>
      </c>
      <c r="U577">
        <v>1403752</v>
      </c>
    </row>
    <row r="578" spans="1:21" ht="14.25" customHeight="1" x14ac:dyDescent="0.35">
      <c r="A578" t="s">
        <v>2370</v>
      </c>
      <c r="B578" t="s">
        <v>2371</v>
      </c>
      <c r="C578" t="s">
        <v>23</v>
      </c>
      <c r="D578" t="s">
        <v>24</v>
      </c>
      <c r="E578" t="s">
        <v>86</v>
      </c>
      <c r="F578" t="s">
        <v>2372</v>
      </c>
      <c r="G578" t="s">
        <v>2373</v>
      </c>
      <c r="H578" t="s">
        <v>28</v>
      </c>
      <c r="I578" t="s">
        <v>29</v>
      </c>
      <c r="J578" t="s">
        <v>30</v>
      </c>
      <c r="K578" t="s">
        <v>31</v>
      </c>
      <c r="L578" t="s">
        <v>30</v>
      </c>
      <c r="M578" t="s">
        <v>31</v>
      </c>
      <c r="N578">
        <v>500</v>
      </c>
      <c r="O578">
        <v>300</v>
      </c>
      <c r="P578">
        <v>300</v>
      </c>
      <c r="Q578">
        <v>1100</v>
      </c>
      <c r="R578" s="15">
        <v>44723</v>
      </c>
      <c r="S578" t="s">
        <v>32</v>
      </c>
      <c r="T578" t="s">
        <v>29</v>
      </c>
      <c r="U578">
        <v>1439288</v>
      </c>
    </row>
    <row r="579" spans="1:21" ht="14.25" customHeight="1" x14ac:dyDescent="0.35">
      <c r="A579" t="s">
        <v>2374</v>
      </c>
      <c r="B579" t="s">
        <v>2375</v>
      </c>
      <c r="C579" t="s">
        <v>23</v>
      </c>
      <c r="D579" t="s">
        <v>24</v>
      </c>
      <c r="E579" t="s">
        <v>91</v>
      </c>
      <c r="F579" t="s">
        <v>2376</v>
      </c>
      <c r="G579" t="s">
        <v>2377</v>
      </c>
      <c r="H579" t="s">
        <v>28</v>
      </c>
      <c r="I579" t="s">
        <v>29</v>
      </c>
      <c r="J579" t="s">
        <v>38</v>
      </c>
      <c r="K579" t="s">
        <v>31</v>
      </c>
      <c r="L579" t="s">
        <v>38</v>
      </c>
      <c r="M579" t="s">
        <v>31</v>
      </c>
      <c r="N579">
        <v>515</v>
      </c>
      <c r="O579">
        <v>278</v>
      </c>
      <c r="P579">
        <v>205</v>
      </c>
      <c r="Q579">
        <v>998</v>
      </c>
      <c r="R579" s="15">
        <v>44672</v>
      </c>
      <c r="S579" t="s">
        <v>32</v>
      </c>
      <c r="T579" t="s">
        <v>29</v>
      </c>
      <c r="U579">
        <v>1856314</v>
      </c>
    </row>
    <row r="580" spans="1:21" ht="14.25" customHeight="1" x14ac:dyDescent="0.35">
      <c r="A580" t="s">
        <v>2378</v>
      </c>
      <c r="B580" t="s">
        <v>2379</v>
      </c>
      <c r="C580" t="s">
        <v>23</v>
      </c>
      <c r="D580" t="s">
        <v>24</v>
      </c>
      <c r="E580" t="s">
        <v>91</v>
      </c>
      <c r="F580" t="s">
        <v>2380</v>
      </c>
      <c r="G580" t="s">
        <v>2381</v>
      </c>
      <c r="H580" t="s">
        <v>28</v>
      </c>
      <c r="I580" t="s">
        <v>29</v>
      </c>
      <c r="J580" t="s">
        <v>30</v>
      </c>
      <c r="K580" t="s">
        <v>31</v>
      </c>
      <c r="L580" t="s">
        <v>30</v>
      </c>
      <c r="M580" t="s">
        <v>31</v>
      </c>
      <c r="N580">
        <v>515</v>
      </c>
      <c r="O580">
        <v>338</v>
      </c>
      <c r="P580">
        <v>320</v>
      </c>
      <c r="Q580">
        <v>1173</v>
      </c>
      <c r="R580" s="15">
        <v>44671</v>
      </c>
      <c r="S580" t="s">
        <v>32</v>
      </c>
      <c r="T580" t="s">
        <v>29</v>
      </c>
      <c r="U580">
        <v>1463172</v>
      </c>
    </row>
    <row r="581" spans="1:21" ht="14.25" customHeight="1" x14ac:dyDescent="0.35">
      <c r="A581" t="s">
        <v>2382</v>
      </c>
      <c r="B581" t="s">
        <v>2383</v>
      </c>
      <c r="C581" t="s">
        <v>23</v>
      </c>
      <c r="D581" t="s">
        <v>65</v>
      </c>
      <c r="E581" t="s">
        <v>96</v>
      </c>
      <c r="F581" t="s">
        <v>2384</v>
      </c>
      <c r="G581" t="s">
        <v>2385</v>
      </c>
      <c r="H581" t="s">
        <v>28</v>
      </c>
      <c r="I581" t="s">
        <v>29</v>
      </c>
      <c r="J581" t="s">
        <v>30</v>
      </c>
      <c r="K581" t="s">
        <v>31</v>
      </c>
      <c r="L581" t="s">
        <v>30</v>
      </c>
      <c r="M581" t="s">
        <v>31</v>
      </c>
      <c r="N581">
        <v>510</v>
      </c>
      <c r="O581">
        <v>300</v>
      </c>
      <c r="P581">
        <v>300</v>
      </c>
      <c r="Q581">
        <v>1110</v>
      </c>
      <c r="R581" s="15">
        <v>44669</v>
      </c>
      <c r="S581" t="s">
        <v>32</v>
      </c>
      <c r="T581" t="s">
        <v>29</v>
      </c>
      <c r="U581">
        <v>785786</v>
      </c>
    </row>
    <row r="582" spans="1:21" ht="14.25" customHeight="1" x14ac:dyDescent="0.35">
      <c r="A582" t="s">
        <v>2386</v>
      </c>
      <c r="B582" t="s">
        <v>2387</v>
      </c>
      <c r="C582" t="s">
        <v>23</v>
      </c>
      <c r="D582" t="s">
        <v>65</v>
      </c>
      <c r="E582" t="s">
        <v>2363</v>
      </c>
      <c r="F582" t="s">
        <v>2388</v>
      </c>
      <c r="G582" t="s">
        <v>2389</v>
      </c>
      <c r="H582" t="s">
        <v>30</v>
      </c>
      <c r="I582" t="s">
        <v>31</v>
      </c>
      <c r="J582" t="s">
        <v>30</v>
      </c>
      <c r="K582" t="s">
        <v>31</v>
      </c>
      <c r="L582" t="s">
        <v>30</v>
      </c>
      <c r="M582" t="s">
        <v>31</v>
      </c>
      <c r="N582">
        <v>345</v>
      </c>
      <c r="O582">
        <v>300</v>
      </c>
      <c r="P582">
        <v>305</v>
      </c>
      <c r="Q582">
        <v>950</v>
      </c>
      <c r="R582" s="15">
        <v>44670</v>
      </c>
      <c r="S582" t="s">
        <v>32</v>
      </c>
      <c r="T582" t="s">
        <v>29</v>
      </c>
      <c r="U582">
        <v>1448397</v>
      </c>
    </row>
    <row r="583" spans="1:21" ht="14.25" customHeight="1" x14ac:dyDescent="0.35">
      <c r="A583" t="s">
        <v>2390</v>
      </c>
      <c r="B583" t="s">
        <v>2391</v>
      </c>
      <c r="C583" t="s">
        <v>23</v>
      </c>
      <c r="D583" t="s">
        <v>65</v>
      </c>
      <c r="E583" t="s">
        <v>96</v>
      </c>
      <c r="F583" t="s">
        <v>2392</v>
      </c>
      <c r="G583" t="s">
        <v>2393</v>
      </c>
      <c r="H583" t="s">
        <v>38</v>
      </c>
      <c r="I583" t="s">
        <v>31</v>
      </c>
      <c r="J583" t="s">
        <v>38</v>
      </c>
      <c r="K583" t="s">
        <v>31</v>
      </c>
      <c r="L583" t="s">
        <v>30</v>
      </c>
      <c r="M583" t="s">
        <v>31</v>
      </c>
      <c r="N583">
        <v>285</v>
      </c>
      <c r="O583">
        <v>280</v>
      </c>
      <c r="P583">
        <v>300</v>
      </c>
      <c r="Q583">
        <v>865</v>
      </c>
      <c r="R583" s="15">
        <v>44722</v>
      </c>
      <c r="S583" t="s">
        <v>30</v>
      </c>
      <c r="T583" t="s">
        <v>31</v>
      </c>
      <c r="U583">
        <v>1831651</v>
      </c>
    </row>
    <row r="584" spans="1:21" ht="14.25" customHeight="1" x14ac:dyDescent="0.35">
      <c r="A584" t="s">
        <v>2394</v>
      </c>
      <c r="B584" t="s">
        <v>2395</v>
      </c>
      <c r="C584" t="s">
        <v>23</v>
      </c>
      <c r="D584" t="s">
        <v>65</v>
      </c>
      <c r="E584" t="s">
        <v>1541</v>
      </c>
      <c r="F584" t="s">
        <v>2396</v>
      </c>
      <c r="G584" t="s">
        <v>2397</v>
      </c>
      <c r="H584" t="s">
        <v>28</v>
      </c>
      <c r="I584" t="s">
        <v>29</v>
      </c>
      <c r="J584" t="s">
        <v>38</v>
      </c>
      <c r="K584" t="s">
        <v>31</v>
      </c>
      <c r="L584" t="s">
        <v>30</v>
      </c>
      <c r="M584" t="s">
        <v>31</v>
      </c>
      <c r="N584">
        <v>508</v>
      </c>
      <c r="O584">
        <v>231</v>
      </c>
      <c r="P584">
        <v>300</v>
      </c>
      <c r="Q584">
        <v>1039</v>
      </c>
      <c r="R584" s="15">
        <v>44670</v>
      </c>
      <c r="S584" t="s">
        <v>32</v>
      </c>
      <c r="T584" t="s">
        <v>29</v>
      </c>
      <c r="U584">
        <v>913241</v>
      </c>
    </row>
    <row r="585" spans="1:21" ht="14.25" customHeight="1" x14ac:dyDescent="0.35">
      <c r="A585" t="s">
        <v>2398</v>
      </c>
      <c r="B585" t="s">
        <v>2399</v>
      </c>
      <c r="C585" t="s">
        <v>23</v>
      </c>
      <c r="D585" t="s">
        <v>65</v>
      </c>
      <c r="E585" t="s">
        <v>390</v>
      </c>
      <c r="F585" t="s">
        <v>2400</v>
      </c>
      <c r="G585" t="s">
        <v>2401</v>
      </c>
      <c r="H585" t="s">
        <v>28</v>
      </c>
      <c r="I585" t="s">
        <v>29</v>
      </c>
      <c r="J585" t="s">
        <v>30</v>
      </c>
      <c r="K585" t="s">
        <v>31</v>
      </c>
      <c r="L585" t="s">
        <v>38</v>
      </c>
      <c r="M585" t="s">
        <v>31</v>
      </c>
      <c r="N585">
        <v>510</v>
      </c>
      <c r="O585">
        <v>303</v>
      </c>
      <c r="P585">
        <v>275</v>
      </c>
      <c r="Q585">
        <v>1088</v>
      </c>
      <c r="R585" s="15">
        <v>44722</v>
      </c>
      <c r="S585" t="s">
        <v>32</v>
      </c>
      <c r="T585" t="s">
        <v>29</v>
      </c>
      <c r="U585">
        <v>743238</v>
      </c>
    </row>
    <row r="586" spans="1:21" ht="14.25" customHeight="1" x14ac:dyDescent="0.35">
      <c r="A586" t="s">
        <v>2402</v>
      </c>
      <c r="B586" t="s">
        <v>2403</v>
      </c>
      <c r="C586" t="s">
        <v>23</v>
      </c>
      <c r="D586" t="s">
        <v>65</v>
      </c>
      <c r="E586" t="s">
        <v>124</v>
      </c>
      <c r="F586" t="s">
        <v>2404</v>
      </c>
      <c r="G586" t="s">
        <v>2405</v>
      </c>
      <c r="H586" t="s">
        <v>38</v>
      </c>
      <c r="I586" t="s">
        <v>31</v>
      </c>
      <c r="J586" t="s">
        <v>38</v>
      </c>
      <c r="K586" t="s">
        <v>31</v>
      </c>
      <c r="L586" t="s">
        <v>38</v>
      </c>
      <c r="M586" t="s">
        <v>31</v>
      </c>
      <c r="N586">
        <v>220</v>
      </c>
      <c r="O586">
        <v>228</v>
      </c>
      <c r="P586">
        <v>210</v>
      </c>
      <c r="Q586">
        <v>658</v>
      </c>
      <c r="R586" s="15">
        <v>44722</v>
      </c>
      <c r="S586" t="s">
        <v>38</v>
      </c>
      <c r="T586" t="s">
        <v>31</v>
      </c>
      <c r="U586">
        <v>1459839</v>
      </c>
    </row>
    <row r="587" spans="1:21" ht="14.25" customHeight="1" x14ac:dyDescent="0.35">
      <c r="A587" t="s">
        <v>2406</v>
      </c>
      <c r="B587" t="s">
        <v>2407</v>
      </c>
      <c r="C587" t="s">
        <v>23</v>
      </c>
      <c r="D587" t="s">
        <v>65</v>
      </c>
      <c r="E587" t="s">
        <v>224</v>
      </c>
      <c r="F587" t="s">
        <v>2408</v>
      </c>
      <c r="G587" t="s">
        <v>2409</v>
      </c>
      <c r="H587" t="s">
        <v>30</v>
      </c>
      <c r="I587" t="s">
        <v>31</v>
      </c>
      <c r="J587" t="s">
        <v>38</v>
      </c>
      <c r="K587" t="s">
        <v>31</v>
      </c>
      <c r="L587" t="s">
        <v>38</v>
      </c>
      <c r="M587" t="s">
        <v>31</v>
      </c>
      <c r="N587">
        <v>300</v>
      </c>
      <c r="O587">
        <v>299</v>
      </c>
      <c r="P587">
        <v>235</v>
      </c>
      <c r="Q587">
        <v>834</v>
      </c>
      <c r="R587" s="15">
        <v>44670</v>
      </c>
      <c r="S587" t="s">
        <v>30</v>
      </c>
      <c r="T587" t="s">
        <v>31</v>
      </c>
      <c r="U587">
        <v>65596</v>
      </c>
    </row>
    <row r="588" spans="1:21" ht="14.25" customHeight="1" x14ac:dyDescent="0.35">
      <c r="A588" t="s">
        <v>2410</v>
      </c>
      <c r="B588" t="s">
        <v>2411</v>
      </c>
      <c r="C588" t="s">
        <v>23</v>
      </c>
      <c r="D588" t="s">
        <v>65</v>
      </c>
      <c r="E588" t="s">
        <v>55</v>
      </c>
      <c r="F588" t="s">
        <v>2412</v>
      </c>
      <c r="G588" t="s">
        <v>2413</v>
      </c>
      <c r="H588" t="s">
        <v>38</v>
      </c>
      <c r="I588" t="s">
        <v>31</v>
      </c>
      <c r="J588" t="s">
        <v>38</v>
      </c>
      <c r="K588" t="s">
        <v>31</v>
      </c>
      <c r="L588" t="s">
        <v>38</v>
      </c>
      <c r="M588" t="s">
        <v>31</v>
      </c>
      <c r="N588">
        <v>210</v>
      </c>
      <c r="O588">
        <v>200</v>
      </c>
      <c r="P588">
        <v>205</v>
      </c>
      <c r="Q588">
        <v>615</v>
      </c>
      <c r="R588" s="15">
        <v>44722</v>
      </c>
      <c r="S588" t="s">
        <v>38</v>
      </c>
      <c r="T588" t="s">
        <v>31</v>
      </c>
      <c r="U588">
        <v>1692412</v>
      </c>
    </row>
    <row r="589" spans="1:21" ht="14.25" customHeight="1" x14ac:dyDescent="0.35">
      <c r="A589" t="s">
        <v>2414</v>
      </c>
      <c r="B589" t="s">
        <v>2415</v>
      </c>
      <c r="C589" t="s">
        <v>23</v>
      </c>
      <c r="D589" t="s">
        <v>24</v>
      </c>
      <c r="E589" t="s">
        <v>25</v>
      </c>
      <c r="F589" t="s">
        <v>2416</v>
      </c>
      <c r="G589" t="s">
        <v>2417</v>
      </c>
      <c r="H589" t="s">
        <v>38</v>
      </c>
      <c r="I589" t="s">
        <v>31</v>
      </c>
      <c r="J589" t="s">
        <v>30</v>
      </c>
      <c r="K589" t="s">
        <v>31</v>
      </c>
      <c r="L589" t="s">
        <v>30</v>
      </c>
      <c r="M589" t="s">
        <v>31</v>
      </c>
      <c r="N589">
        <v>275</v>
      </c>
      <c r="O589">
        <v>332</v>
      </c>
      <c r="P589">
        <v>315</v>
      </c>
      <c r="Q589">
        <v>922</v>
      </c>
      <c r="R589" s="15">
        <v>44671</v>
      </c>
      <c r="S589" t="s">
        <v>32</v>
      </c>
      <c r="T589" t="s">
        <v>29</v>
      </c>
      <c r="U589">
        <v>1091907</v>
      </c>
    </row>
    <row r="590" spans="1:21" ht="14.25" customHeight="1" x14ac:dyDescent="0.35">
      <c r="A590" t="s">
        <v>2418</v>
      </c>
      <c r="B590" t="s">
        <v>2419</v>
      </c>
      <c r="C590" t="s">
        <v>23</v>
      </c>
      <c r="D590" t="s">
        <v>65</v>
      </c>
      <c r="E590" t="s">
        <v>107</v>
      </c>
      <c r="F590" t="s">
        <v>2420</v>
      </c>
      <c r="G590" t="s">
        <v>2421</v>
      </c>
      <c r="H590" t="s">
        <v>38</v>
      </c>
      <c r="I590" t="s">
        <v>31</v>
      </c>
      <c r="J590" t="s">
        <v>38</v>
      </c>
      <c r="K590" t="s">
        <v>31</v>
      </c>
      <c r="L590" t="s">
        <v>30</v>
      </c>
      <c r="M590" t="s">
        <v>31</v>
      </c>
      <c r="N590">
        <v>220</v>
      </c>
      <c r="O590">
        <v>202</v>
      </c>
      <c r="P590">
        <v>300</v>
      </c>
      <c r="Q590">
        <v>722</v>
      </c>
      <c r="R590" s="15">
        <v>44669</v>
      </c>
      <c r="S590" t="s">
        <v>38</v>
      </c>
      <c r="T590" t="s">
        <v>31</v>
      </c>
      <c r="U590">
        <v>1157075</v>
      </c>
    </row>
    <row r="591" spans="1:21" ht="14.25" customHeight="1" x14ac:dyDescent="0.35">
      <c r="A591" t="s">
        <v>2422</v>
      </c>
      <c r="B591" t="s">
        <v>2423</v>
      </c>
      <c r="C591" t="s">
        <v>23</v>
      </c>
      <c r="D591" t="s">
        <v>24</v>
      </c>
      <c r="E591" t="s">
        <v>1541</v>
      </c>
      <c r="F591" t="s">
        <v>2424</v>
      </c>
      <c r="G591" t="s">
        <v>2425</v>
      </c>
      <c r="H591" t="s">
        <v>30</v>
      </c>
      <c r="I591" t="s">
        <v>31</v>
      </c>
      <c r="J591" t="s">
        <v>38</v>
      </c>
      <c r="K591" t="s">
        <v>31</v>
      </c>
      <c r="L591" t="s">
        <v>30</v>
      </c>
      <c r="M591" t="s">
        <v>31</v>
      </c>
      <c r="N591">
        <v>390</v>
      </c>
      <c r="O591">
        <v>298</v>
      </c>
      <c r="P591">
        <v>308</v>
      </c>
      <c r="Q591">
        <v>996</v>
      </c>
      <c r="R591" s="15">
        <v>44671</v>
      </c>
      <c r="S591" t="s">
        <v>32</v>
      </c>
      <c r="T591" t="s">
        <v>29</v>
      </c>
      <c r="U591">
        <v>110471</v>
      </c>
    </row>
    <row r="592" spans="1:21" ht="14.25" customHeight="1" x14ac:dyDescent="0.35">
      <c r="A592" t="s">
        <v>2426</v>
      </c>
      <c r="B592" t="s">
        <v>2427</v>
      </c>
      <c r="C592" t="s">
        <v>23</v>
      </c>
      <c r="D592" t="s">
        <v>24</v>
      </c>
      <c r="E592" t="s">
        <v>321</v>
      </c>
      <c r="F592" t="s">
        <v>2428</v>
      </c>
      <c r="G592" t="s">
        <v>2429</v>
      </c>
      <c r="H592" t="s">
        <v>38</v>
      </c>
      <c r="I592" t="s">
        <v>31</v>
      </c>
      <c r="J592" t="s">
        <v>38</v>
      </c>
      <c r="K592" t="s">
        <v>31</v>
      </c>
      <c r="L592" t="s">
        <v>38</v>
      </c>
      <c r="M592" t="s">
        <v>31</v>
      </c>
      <c r="N592">
        <v>260</v>
      </c>
      <c r="O592">
        <v>263</v>
      </c>
      <c r="P592">
        <v>236</v>
      </c>
      <c r="Q592">
        <v>759</v>
      </c>
      <c r="R592" s="15">
        <v>44671</v>
      </c>
      <c r="S592" t="s">
        <v>30</v>
      </c>
      <c r="T592" t="s">
        <v>31</v>
      </c>
      <c r="U592">
        <v>1616000</v>
      </c>
    </row>
    <row r="593" spans="1:21" ht="14.25" customHeight="1" x14ac:dyDescent="0.35">
      <c r="A593" t="s">
        <v>2430</v>
      </c>
      <c r="B593" t="s">
        <v>2431</v>
      </c>
      <c r="C593" t="s">
        <v>23</v>
      </c>
      <c r="D593" t="s">
        <v>24</v>
      </c>
      <c r="E593" t="s">
        <v>1443</v>
      </c>
      <c r="F593" t="s">
        <v>2432</v>
      </c>
      <c r="G593" t="s">
        <v>2433</v>
      </c>
      <c r="H593" t="s">
        <v>28</v>
      </c>
      <c r="I593" t="s">
        <v>29</v>
      </c>
      <c r="J593" t="s">
        <v>30</v>
      </c>
      <c r="K593" t="s">
        <v>31</v>
      </c>
      <c r="L593" t="s">
        <v>30</v>
      </c>
      <c r="M593" t="s">
        <v>31</v>
      </c>
      <c r="N593">
        <v>535</v>
      </c>
      <c r="O593">
        <v>364</v>
      </c>
      <c r="P593">
        <v>300</v>
      </c>
      <c r="Q593">
        <v>1199</v>
      </c>
      <c r="R593" s="15">
        <v>44670</v>
      </c>
      <c r="S593" t="s">
        <v>32</v>
      </c>
      <c r="T593" t="s">
        <v>29</v>
      </c>
      <c r="U593">
        <v>1163302</v>
      </c>
    </row>
    <row r="594" spans="1:21" ht="14.25" customHeight="1" x14ac:dyDescent="0.35">
      <c r="A594" t="s">
        <v>2434</v>
      </c>
      <c r="B594" t="s">
        <v>2435</v>
      </c>
      <c r="C594" t="s">
        <v>64</v>
      </c>
      <c r="D594" t="s">
        <v>24</v>
      </c>
      <c r="E594" t="s">
        <v>35</v>
      </c>
      <c r="F594" t="s">
        <v>2436</v>
      </c>
      <c r="G594" t="s">
        <v>2437</v>
      </c>
      <c r="H594" t="s">
        <v>38</v>
      </c>
      <c r="I594" t="s">
        <v>31</v>
      </c>
      <c r="J594" t="s">
        <v>38</v>
      </c>
      <c r="K594" t="s">
        <v>31</v>
      </c>
      <c r="L594" t="s">
        <v>38</v>
      </c>
      <c r="M594" t="s">
        <v>31</v>
      </c>
      <c r="N594">
        <v>215</v>
      </c>
      <c r="O594">
        <v>208</v>
      </c>
      <c r="P594">
        <v>200</v>
      </c>
      <c r="Q594">
        <v>623</v>
      </c>
      <c r="R594" s="15">
        <v>44723</v>
      </c>
      <c r="S594" t="s">
        <v>38</v>
      </c>
      <c r="T594" t="s">
        <v>31</v>
      </c>
      <c r="U594">
        <v>1810997</v>
      </c>
    </row>
    <row r="595" spans="1:21" ht="14.25" customHeight="1" x14ac:dyDescent="0.35">
      <c r="A595" t="s">
        <v>2438</v>
      </c>
      <c r="B595" t="s">
        <v>2439</v>
      </c>
      <c r="C595" t="s">
        <v>23</v>
      </c>
      <c r="D595" t="s">
        <v>24</v>
      </c>
      <c r="E595" t="s">
        <v>652</v>
      </c>
      <c r="F595" t="s">
        <v>2440</v>
      </c>
      <c r="G595" t="s">
        <v>2441</v>
      </c>
      <c r="H595" t="s">
        <v>28</v>
      </c>
      <c r="I595" t="s">
        <v>29</v>
      </c>
      <c r="J595" t="s">
        <v>30</v>
      </c>
      <c r="K595" t="s">
        <v>31</v>
      </c>
      <c r="L595" t="s">
        <v>30</v>
      </c>
      <c r="M595" t="s">
        <v>31</v>
      </c>
      <c r="N595">
        <v>560</v>
      </c>
      <c r="O595">
        <v>318</v>
      </c>
      <c r="P595">
        <v>300</v>
      </c>
      <c r="Q595">
        <v>1178</v>
      </c>
      <c r="R595" s="15">
        <v>44671</v>
      </c>
      <c r="S595" t="s">
        <v>32</v>
      </c>
      <c r="T595" t="s">
        <v>29</v>
      </c>
      <c r="U595">
        <v>1166003</v>
      </c>
    </row>
    <row r="596" spans="1:21" ht="14.25" customHeight="1" x14ac:dyDescent="0.35">
      <c r="A596" t="s">
        <v>2442</v>
      </c>
      <c r="B596" t="s">
        <v>2443</v>
      </c>
      <c r="C596" t="s">
        <v>23</v>
      </c>
      <c r="D596" t="s">
        <v>24</v>
      </c>
      <c r="E596" t="s">
        <v>321</v>
      </c>
      <c r="F596" t="s">
        <v>2444</v>
      </c>
      <c r="G596" t="s">
        <v>2445</v>
      </c>
      <c r="H596" t="s">
        <v>38</v>
      </c>
      <c r="I596" t="s">
        <v>31</v>
      </c>
      <c r="J596" t="s">
        <v>38</v>
      </c>
      <c r="K596" t="s">
        <v>31</v>
      </c>
      <c r="L596" t="s">
        <v>30</v>
      </c>
      <c r="M596" t="s">
        <v>31</v>
      </c>
      <c r="N596">
        <v>205</v>
      </c>
      <c r="O596">
        <v>242</v>
      </c>
      <c r="P596">
        <v>300</v>
      </c>
      <c r="Q596">
        <v>747</v>
      </c>
      <c r="R596" s="15">
        <v>44671</v>
      </c>
      <c r="S596" t="s">
        <v>38</v>
      </c>
      <c r="T596" t="s">
        <v>31</v>
      </c>
      <c r="U596">
        <v>1398453</v>
      </c>
    </row>
    <row r="597" spans="1:21" ht="14.25" customHeight="1" x14ac:dyDescent="0.35">
      <c r="A597" t="s">
        <v>2446</v>
      </c>
      <c r="B597" t="s">
        <v>2447</v>
      </c>
      <c r="C597" t="s">
        <v>23</v>
      </c>
      <c r="D597" t="s">
        <v>24</v>
      </c>
      <c r="E597" t="s">
        <v>1087</v>
      </c>
      <c r="F597" t="s">
        <v>2448</v>
      </c>
      <c r="G597" t="s">
        <v>2449</v>
      </c>
      <c r="H597" t="s">
        <v>38</v>
      </c>
      <c r="I597" t="s">
        <v>31</v>
      </c>
      <c r="J597" t="s">
        <v>38</v>
      </c>
      <c r="K597" t="s">
        <v>31</v>
      </c>
      <c r="L597" t="s">
        <v>38</v>
      </c>
      <c r="M597" t="s">
        <v>31</v>
      </c>
      <c r="N597">
        <v>200</v>
      </c>
      <c r="O597">
        <v>200</v>
      </c>
      <c r="P597">
        <v>200</v>
      </c>
      <c r="Q597">
        <v>600</v>
      </c>
      <c r="R597" s="15">
        <v>44673</v>
      </c>
      <c r="S597" t="s">
        <v>38</v>
      </c>
      <c r="T597" t="s">
        <v>31</v>
      </c>
      <c r="U597">
        <v>1772720</v>
      </c>
    </row>
    <row r="598" spans="1:21" ht="14.25" customHeight="1" x14ac:dyDescent="0.35">
      <c r="A598" t="s">
        <v>2450</v>
      </c>
      <c r="B598" t="s">
        <v>2451</v>
      </c>
      <c r="C598" t="s">
        <v>64</v>
      </c>
      <c r="D598" t="s">
        <v>24</v>
      </c>
      <c r="E598" t="s">
        <v>224</v>
      </c>
      <c r="F598" t="s">
        <v>2452</v>
      </c>
      <c r="G598" t="s">
        <v>2453</v>
      </c>
      <c r="H598" t="s">
        <v>38</v>
      </c>
      <c r="I598" t="s">
        <v>31</v>
      </c>
      <c r="J598" t="s">
        <v>38</v>
      </c>
      <c r="K598" t="s">
        <v>31</v>
      </c>
      <c r="L598" t="s">
        <v>38</v>
      </c>
      <c r="M598" t="s">
        <v>31</v>
      </c>
      <c r="N598">
        <v>215</v>
      </c>
      <c r="O598">
        <v>205</v>
      </c>
      <c r="P598">
        <v>200</v>
      </c>
      <c r="Q598">
        <v>620</v>
      </c>
      <c r="R598" s="15">
        <v>44723</v>
      </c>
      <c r="S598" t="s">
        <v>38</v>
      </c>
      <c r="T598" t="s">
        <v>31</v>
      </c>
      <c r="U598">
        <v>1725033</v>
      </c>
    </row>
    <row r="599" spans="1:21" ht="14.25" customHeight="1" x14ac:dyDescent="0.35">
      <c r="A599" t="s">
        <v>2454</v>
      </c>
      <c r="B599" t="s">
        <v>2455</v>
      </c>
      <c r="C599" t="s">
        <v>23</v>
      </c>
      <c r="D599" t="s">
        <v>24</v>
      </c>
      <c r="E599" t="s">
        <v>76</v>
      </c>
      <c r="F599" t="s">
        <v>2456</v>
      </c>
      <c r="G599" t="s">
        <v>2457</v>
      </c>
      <c r="H599" t="s">
        <v>38</v>
      </c>
      <c r="I599" t="s">
        <v>31</v>
      </c>
      <c r="J599" t="s">
        <v>38</v>
      </c>
      <c r="K599" t="s">
        <v>31</v>
      </c>
      <c r="L599" t="s">
        <v>30</v>
      </c>
      <c r="M599" t="s">
        <v>31</v>
      </c>
      <c r="N599">
        <v>215</v>
      </c>
      <c r="O599">
        <v>240</v>
      </c>
      <c r="P599">
        <v>300</v>
      </c>
      <c r="Q599">
        <v>755</v>
      </c>
      <c r="R599" s="15">
        <v>44667</v>
      </c>
      <c r="S599" t="s">
        <v>30</v>
      </c>
      <c r="T599" t="s">
        <v>31</v>
      </c>
      <c r="U599">
        <v>775368</v>
      </c>
    </row>
    <row r="600" spans="1:21" ht="14.25" customHeight="1" x14ac:dyDescent="0.35">
      <c r="A600" t="s">
        <v>2458</v>
      </c>
      <c r="B600" t="s">
        <v>2459</v>
      </c>
      <c r="C600" t="s">
        <v>23</v>
      </c>
      <c r="D600" t="s">
        <v>24</v>
      </c>
      <c r="E600" t="s">
        <v>25</v>
      </c>
      <c r="F600" t="s">
        <v>2460</v>
      </c>
      <c r="G600" t="s">
        <v>2461</v>
      </c>
      <c r="H600" t="s">
        <v>38</v>
      </c>
      <c r="I600" t="s">
        <v>31</v>
      </c>
      <c r="J600" t="s">
        <v>38</v>
      </c>
      <c r="K600" t="s">
        <v>31</v>
      </c>
      <c r="L600" t="s">
        <v>38</v>
      </c>
      <c r="M600" t="s">
        <v>31</v>
      </c>
      <c r="N600">
        <v>233</v>
      </c>
      <c r="O600">
        <v>244</v>
      </c>
      <c r="P600">
        <v>220</v>
      </c>
      <c r="Q600">
        <v>697</v>
      </c>
      <c r="R600" s="15">
        <v>44723</v>
      </c>
      <c r="S600" t="s">
        <v>38</v>
      </c>
      <c r="T600" t="s">
        <v>31</v>
      </c>
      <c r="U600">
        <v>1794350</v>
      </c>
    </row>
    <row r="601" spans="1:21" ht="14.25" customHeight="1" x14ac:dyDescent="0.35">
      <c r="A601" t="s">
        <v>2462</v>
      </c>
      <c r="B601" t="s">
        <v>2463</v>
      </c>
      <c r="C601" t="s">
        <v>23</v>
      </c>
      <c r="D601" t="s">
        <v>24</v>
      </c>
      <c r="E601" t="s">
        <v>390</v>
      </c>
      <c r="F601" t="s">
        <v>2464</v>
      </c>
      <c r="G601" t="s">
        <v>2465</v>
      </c>
      <c r="H601" t="s">
        <v>32</v>
      </c>
      <c r="I601" t="s">
        <v>29</v>
      </c>
      <c r="J601" t="s">
        <v>30</v>
      </c>
      <c r="K601" t="s">
        <v>31</v>
      </c>
      <c r="L601" t="s">
        <v>38</v>
      </c>
      <c r="M601" t="s">
        <v>31</v>
      </c>
      <c r="N601">
        <v>420</v>
      </c>
      <c r="O601">
        <v>303</v>
      </c>
      <c r="P601">
        <v>210</v>
      </c>
      <c r="Q601">
        <v>933</v>
      </c>
      <c r="R601" s="15">
        <v>44670</v>
      </c>
      <c r="S601" t="s">
        <v>32</v>
      </c>
      <c r="T601" t="s">
        <v>29</v>
      </c>
      <c r="U601">
        <v>795403</v>
      </c>
    </row>
    <row r="602" spans="1:21" ht="14.25" customHeight="1" x14ac:dyDescent="0.35">
      <c r="A602" t="s">
        <v>2466</v>
      </c>
      <c r="B602" t="s">
        <v>2467</v>
      </c>
      <c r="C602" t="s">
        <v>23</v>
      </c>
      <c r="D602" t="s">
        <v>65</v>
      </c>
      <c r="E602" t="s">
        <v>124</v>
      </c>
      <c r="F602" t="s">
        <v>2468</v>
      </c>
      <c r="G602" t="s">
        <v>2469</v>
      </c>
      <c r="H602" t="s">
        <v>38</v>
      </c>
      <c r="I602" t="s">
        <v>31</v>
      </c>
      <c r="J602" t="s">
        <v>30</v>
      </c>
      <c r="K602" t="s">
        <v>31</v>
      </c>
      <c r="L602" t="s">
        <v>38</v>
      </c>
      <c r="M602" t="s">
        <v>31</v>
      </c>
      <c r="N602">
        <v>219</v>
      </c>
      <c r="O602">
        <v>308</v>
      </c>
      <c r="P602">
        <v>236</v>
      </c>
      <c r="Q602">
        <v>763</v>
      </c>
      <c r="R602" s="15">
        <v>44670</v>
      </c>
      <c r="S602" t="s">
        <v>30</v>
      </c>
      <c r="T602" t="s">
        <v>31</v>
      </c>
      <c r="U602">
        <v>1551693</v>
      </c>
    </row>
    <row r="603" spans="1:21" ht="14.25" customHeight="1" x14ac:dyDescent="0.35">
      <c r="A603" t="s">
        <v>2470</v>
      </c>
      <c r="B603" t="s">
        <v>2471</v>
      </c>
      <c r="C603" t="s">
        <v>23</v>
      </c>
      <c r="D603" t="s">
        <v>65</v>
      </c>
      <c r="E603" t="s">
        <v>415</v>
      </c>
      <c r="F603" t="s">
        <v>2472</v>
      </c>
      <c r="G603" t="s">
        <v>2473</v>
      </c>
      <c r="H603" t="s">
        <v>28</v>
      </c>
      <c r="I603" t="s">
        <v>29</v>
      </c>
      <c r="J603" t="s">
        <v>30</v>
      </c>
      <c r="K603" t="s">
        <v>31</v>
      </c>
      <c r="L603" t="s">
        <v>30</v>
      </c>
      <c r="M603" t="s">
        <v>31</v>
      </c>
      <c r="N603">
        <v>520</v>
      </c>
      <c r="O603">
        <v>302</v>
      </c>
      <c r="P603">
        <v>305</v>
      </c>
      <c r="Q603">
        <v>1127</v>
      </c>
      <c r="R603" s="15">
        <v>44668</v>
      </c>
      <c r="S603" t="s">
        <v>32</v>
      </c>
      <c r="T603" t="s">
        <v>29</v>
      </c>
      <c r="U603">
        <v>910406</v>
      </c>
    </row>
    <row r="604" spans="1:21" ht="14.25" customHeight="1" x14ac:dyDescent="0.35">
      <c r="A604" t="s">
        <v>2474</v>
      </c>
      <c r="B604" t="s">
        <v>2475</v>
      </c>
      <c r="C604" t="s">
        <v>23</v>
      </c>
      <c r="D604" t="s">
        <v>65</v>
      </c>
      <c r="E604" t="s">
        <v>91</v>
      </c>
      <c r="F604" t="s">
        <v>2476</v>
      </c>
      <c r="G604" t="s">
        <v>2477</v>
      </c>
      <c r="H604" t="s">
        <v>38</v>
      </c>
      <c r="I604" t="s">
        <v>31</v>
      </c>
      <c r="J604" t="s">
        <v>38</v>
      </c>
      <c r="K604" t="s">
        <v>31</v>
      </c>
      <c r="L604" t="s">
        <v>30</v>
      </c>
      <c r="M604" t="s">
        <v>31</v>
      </c>
      <c r="N604">
        <v>221</v>
      </c>
      <c r="O604">
        <v>225</v>
      </c>
      <c r="P604">
        <v>305</v>
      </c>
      <c r="Q604">
        <v>751</v>
      </c>
      <c r="R604" s="15">
        <v>44671</v>
      </c>
      <c r="S604" t="s">
        <v>30</v>
      </c>
      <c r="T604" t="s">
        <v>31</v>
      </c>
      <c r="U604">
        <v>1742518</v>
      </c>
    </row>
    <row r="605" spans="1:21" ht="14.25" customHeight="1" x14ac:dyDescent="0.35">
      <c r="A605" t="s">
        <v>2478</v>
      </c>
      <c r="B605" t="s">
        <v>2479</v>
      </c>
      <c r="C605" t="s">
        <v>23</v>
      </c>
      <c r="D605" t="s">
        <v>65</v>
      </c>
      <c r="E605" t="s">
        <v>107</v>
      </c>
      <c r="F605" t="s">
        <v>2480</v>
      </c>
      <c r="G605" t="s">
        <v>2481</v>
      </c>
      <c r="H605" t="s">
        <v>38</v>
      </c>
      <c r="I605" t="s">
        <v>31</v>
      </c>
      <c r="J605" t="s">
        <v>38</v>
      </c>
      <c r="K605" t="s">
        <v>31</v>
      </c>
      <c r="L605" t="s">
        <v>30</v>
      </c>
      <c r="M605" t="s">
        <v>31</v>
      </c>
      <c r="N605">
        <v>210</v>
      </c>
      <c r="O605">
        <v>207</v>
      </c>
      <c r="P605">
        <v>330</v>
      </c>
      <c r="Q605">
        <v>747</v>
      </c>
      <c r="R605" s="15">
        <v>44722</v>
      </c>
      <c r="S605" t="s">
        <v>38</v>
      </c>
      <c r="T605" t="s">
        <v>31</v>
      </c>
      <c r="U605">
        <v>1634379</v>
      </c>
    </row>
    <row r="606" spans="1:21" ht="14.25" customHeight="1" x14ac:dyDescent="0.35">
      <c r="A606" t="s">
        <v>2482</v>
      </c>
      <c r="B606" t="s">
        <v>2483</v>
      </c>
      <c r="C606" t="s">
        <v>23</v>
      </c>
      <c r="D606" t="s">
        <v>65</v>
      </c>
      <c r="E606" t="s">
        <v>107</v>
      </c>
      <c r="F606" t="s">
        <v>2484</v>
      </c>
      <c r="G606" t="s">
        <v>2485</v>
      </c>
      <c r="H606" t="s">
        <v>30</v>
      </c>
      <c r="I606" t="s">
        <v>31</v>
      </c>
      <c r="J606" t="s">
        <v>30</v>
      </c>
      <c r="K606" t="s">
        <v>31</v>
      </c>
      <c r="L606" t="s">
        <v>30</v>
      </c>
      <c r="M606" t="s">
        <v>31</v>
      </c>
      <c r="N606">
        <v>360</v>
      </c>
      <c r="O606">
        <v>325</v>
      </c>
      <c r="P606">
        <v>320</v>
      </c>
      <c r="Q606">
        <v>1005</v>
      </c>
      <c r="R606" s="15">
        <v>44722</v>
      </c>
      <c r="S606" t="s">
        <v>32</v>
      </c>
      <c r="T606" t="s">
        <v>29</v>
      </c>
      <c r="U606">
        <v>1183765</v>
      </c>
    </row>
    <row r="607" spans="1:21" ht="14.25" customHeight="1" x14ac:dyDescent="0.35">
      <c r="A607" t="s">
        <v>2486</v>
      </c>
      <c r="B607" t="s">
        <v>2487</v>
      </c>
      <c r="C607" t="s">
        <v>357</v>
      </c>
      <c r="D607" t="s">
        <v>65</v>
      </c>
      <c r="E607" t="s">
        <v>91</v>
      </c>
      <c r="F607" t="s">
        <v>2488</v>
      </c>
      <c r="G607" t="s">
        <v>2489</v>
      </c>
      <c r="H607" t="s">
        <v>28</v>
      </c>
      <c r="I607" t="s">
        <v>29</v>
      </c>
      <c r="J607" t="s">
        <v>30</v>
      </c>
      <c r="K607" t="s">
        <v>31</v>
      </c>
      <c r="L607" t="s">
        <v>30</v>
      </c>
      <c r="M607" t="s">
        <v>31</v>
      </c>
      <c r="N607">
        <v>505</v>
      </c>
      <c r="O607">
        <v>301</v>
      </c>
      <c r="P607">
        <v>300</v>
      </c>
      <c r="Q607">
        <v>1106</v>
      </c>
      <c r="R607" s="15">
        <v>44669</v>
      </c>
      <c r="S607" t="s">
        <v>32</v>
      </c>
      <c r="T607" t="s">
        <v>29</v>
      </c>
      <c r="U607">
        <v>1091223</v>
      </c>
    </row>
    <row r="608" spans="1:21" ht="14.25" customHeight="1" x14ac:dyDescent="0.35">
      <c r="A608" t="s">
        <v>2490</v>
      </c>
      <c r="B608" t="s">
        <v>2491</v>
      </c>
      <c r="C608" t="s">
        <v>23</v>
      </c>
      <c r="D608" t="s">
        <v>65</v>
      </c>
      <c r="E608" t="s">
        <v>46</v>
      </c>
      <c r="F608" t="s">
        <v>2492</v>
      </c>
      <c r="G608" t="s">
        <v>2493</v>
      </c>
      <c r="H608" t="s">
        <v>38</v>
      </c>
      <c r="I608" t="s">
        <v>31</v>
      </c>
      <c r="J608" t="s">
        <v>38</v>
      </c>
      <c r="K608" t="s">
        <v>31</v>
      </c>
      <c r="L608" t="s">
        <v>38</v>
      </c>
      <c r="M608" t="s">
        <v>31</v>
      </c>
      <c r="N608">
        <v>200</v>
      </c>
      <c r="O608">
        <v>260</v>
      </c>
      <c r="P608">
        <v>230</v>
      </c>
      <c r="Q608">
        <v>690</v>
      </c>
      <c r="R608" s="15">
        <v>44669</v>
      </c>
      <c r="S608" t="s">
        <v>38</v>
      </c>
      <c r="T608" t="s">
        <v>31</v>
      </c>
      <c r="U608">
        <v>1056358</v>
      </c>
    </row>
    <row r="609" spans="1:21" ht="14.25" customHeight="1" x14ac:dyDescent="0.35">
      <c r="A609" t="s">
        <v>2494</v>
      </c>
      <c r="B609" t="s">
        <v>2495</v>
      </c>
      <c r="C609" t="s">
        <v>23</v>
      </c>
      <c r="D609" t="s">
        <v>65</v>
      </c>
      <c r="E609" t="s">
        <v>1524</v>
      </c>
      <c r="F609" t="s">
        <v>2496</v>
      </c>
      <c r="G609" t="s">
        <v>2497</v>
      </c>
      <c r="H609" t="s">
        <v>28</v>
      </c>
      <c r="I609" t="s">
        <v>29</v>
      </c>
      <c r="J609" t="s">
        <v>30</v>
      </c>
      <c r="K609" t="s">
        <v>31</v>
      </c>
      <c r="L609" t="s">
        <v>38</v>
      </c>
      <c r="M609" t="s">
        <v>31</v>
      </c>
      <c r="N609">
        <v>589</v>
      </c>
      <c r="O609">
        <v>390</v>
      </c>
      <c r="P609">
        <v>277</v>
      </c>
      <c r="Q609">
        <v>1256</v>
      </c>
      <c r="R609" s="15">
        <v>44669</v>
      </c>
      <c r="S609" t="s">
        <v>28</v>
      </c>
      <c r="T609" t="s">
        <v>29</v>
      </c>
      <c r="U609">
        <v>866273</v>
      </c>
    </row>
    <row r="610" spans="1:21" ht="14.25" customHeight="1" x14ac:dyDescent="0.35">
      <c r="A610" t="s">
        <v>2498</v>
      </c>
      <c r="B610" t="s">
        <v>2499</v>
      </c>
      <c r="C610" t="s">
        <v>23</v>
      </c>
      <c r="D610" t="s">
        <v>65</v>
      </c>
      <c r="E610" t="s">
        <v>107</v>
      </c>
      <c r="F610" t="s">
        <v>2500</v>
      </c>
      <c r="G610" t="s">
        <v>2501</v>
      </c>
      <c r="H610" t="s">
        <v>28</v>
      </c>
      <c r="I610" t="s">
        <v>29</v>
      </c>
      <c r="J610" t="s">
        <v>30</v>
      </c>
      <c r="K610" t="s">
        <v>31</v>
      </c>
      <c r="L610" t="s">
        <v>30</v>
      </c>
      <c r="M610" t="s">
        <v>31</v>
      </c>
      <c r="N610">
        <v>510</v>
      </c>
      <c r="O610">
        <v>302</v>
      </c>
      <c r="P610">
        <v>315</v>
      </c>
      <c r="Q610">
        <v>1127</v>
      </c>
      <c r="R610" s="15">
        <v>44668</v>
      </c>
      <c r="S610" t="s">
        <v>32</v>
      </c>
      <c r="T610" t="s">
        <v>29</v>
      </c>
      <c r="U610">
        <v>1159036</v>
      </c>
    </row>
    <row r="611" spans="1:21" ht="14.25" customHeight="1" x14ac:dyDescent="0.35">
      <c r="A611" t="s">
        <v>2502</v>
      </c>
      <c r="B611" t="s">
        <v>2503</v>
      </c>
      <c r="C611" t="s">
        <v>23</v>
      </c>
      <c r="D611" t="s">
        <v>65</v>
      </c>
      <c r="E611" t="s">
        <v>76</v>
      </c>
      <c r="F611" t="s">
        <v>2504</v>
      </c>
      <c r="G611" t="s">
        <v>2505</v>
      </c>
      <c r="H611" t="s">
        <v>38</v>
      </c>
      <c r="I611" t="s">
        <v>31</v>
      </c>
      <c r="J611" t="s">
        <v>38</v>
      </c>
      <c r="K611" t="s">
        <v>31</v>
      </c>
      <c r="L611" t="s">
        <v>30</v>
      </c>
      <c r="M611" t="s">
        <v>31</v>
      </c>
      <c r="N611">
        <v>215</v>
      </c>
      <c r="O611">
        <v>233</v>
      </c>
      <c r="P611">
        <v>300</v>
      </c>
      <c r="Q611">
        <v>748</v>
      </c>
      <c r="R611" s="15">
        <v>44668</v>
      </c>
      <c r="S611" t="s">
        <v>38</v>
      </c>
      <c r="T611" t="s">
        <v>31</v>
      </c>
      <c r="U611">
        <v>819913</v>
      </c>
    </row>
    <row r="612" spans="1:21" ht="14.25" customHeight="1" x14ac:dyDescent="0.35">
      <c r="A612" t="s">
        <v>2506</v>
      </c>
      <c r="B612" t="s">
        <v>2507</v>
      </c>
      <c r="C612" t="s">
        <v>23</v>
      </c>
      <c r="D612" t="s">
        <v>65</v>
      </c>
      <c r="E612" t="s">
        <v>138</v>
      </c>
      <c r="F612" t="s">
        <v>2508</v>
      </c>
      <c r="G612" t="s">
        <v>2509</v>
      </c>
      <c r="H612" t="s">
        <v>38</v>
      </c>
      <c r="I612" t="s">
        <v>31</v>
      </c>
      <c r="J612" t="s">
        <v>38</v>
      </c>
      <c r="K612" t="s">
        <v>31</v>
      </c>
      <c r="L612" t="s">
        <v>38</v>
      </c>
      <c r="M612" t="s">
        <v>31</v>
      </c>
      <c r="N612">
        <v>210</v>
      </c>
      <c r="O612">
        <v>215</v>
      </c>
      <c r="P612">
        <v>215</v>
      </c>
      <c r="Q612">
        <v>640</v>
      </c>
      <c r="R612" s="15">
        <v>44669</v>
      </c>
      <c r="S612" t="s">
        <v>38</v>
      </c>
      <c r="T612" t="s">
        <v>31</v>
      </c>
      <c r="U612">
        <v>1277902</v>
      </c>
    </row>
    <row r="613" spans="1:21" ht="14.25" customHeight="1" x14ac:dyDescent="0.35">
      <c r="A613" t="s">
        <v>2510</v>
      </c>
      <c r="B613" t="s">
        <v>2511</v>
      </c>
      <c r="C613" t="s">
        <v>23</v>
      </c>
      <c r="D613" t="s">
        <v>65</v>
      </c>
      <c r="E613" t="s">
        <v>390</v>
      </c>
      <c r="F613" t="s">
        <v>2512</v>
      </c>
      <c r="G613" t="s">
        <v>2513</v>
      </c>
      <c r="H613" t="s">
        <v>38</v>
      </c>
      <c r="I613" t="s">
        <v>31</v>
      </c>
      <c r="J613" t="s">
        <v>38</v>
      </c>
      <c r="K613" t="s">
        <v>31</v>
      </c>
      <c r="L613" t="s">
        <v>38</v>
      </c>
      <c r="M613" t="s">
        <v>31</v>
      </c>
      <c r="N613">
        <v>225</v>
      </c>
      <c r="O613">
        <v>282</v>
      </c>
      <c r="P613">
        <v>210</v>
      </c>
      <c r="Q613">
        <v>717</v>
      </c>
      <c r="R613" s="15">
        <v>44723</v>
      </c>
      <c r="S613" t="s">
        <v>38</v>
      </c>
      <c r="T613" t="s">
        <v>31</v>
      </c>
      <c r="U613">
        <v>1760689</v>
      </c>
    </row>
    <row r="614" spans="1:21" ht="14.25" customHeight="1" x14ac:dyDescent="0.35">
      <c r="A614" t="s">
        <v>2514</v>
      </c>
      <c r="B614" t="s">
        <v>2515</v>
      </c>
      <c r="C614" t="s">
        <v>23</v>
      </c>
      <c r="D614" t="s">
        <v>65</v>
      </c>
      <c r="E614" t="s">
        <v>96</v>
      </c>
      <c r="F614" t="s">
        <v>2516</v>
      </c>
      <c r="G614" t="s">
        <v>2517</v>
      </c>
      <c r="H614" t="s">
        <v>32</v>
      </c>
      <c r="I614" t="s">
        <v>29</v>
      </c>
      <c r="J614" t="s">
        <v>30</v>
      </c>
      <c r="K614" t="s">
        <v>31</v>
      </c>
      <c r="L614" t="s">
        <v>30</v>
      </c>
      <c r="M614" t="s">
        <v>31</v>
      </c>
      <c r="N614">
        <v>451</v>
      </c>
      <c r="O614">
        <v>300</v>
      </c>
      <c r="P614">
        <v>330</v>
      </c>
      <c r="Q614">
        <v>1081</v>
      </c>
      <c r="R614" s="15">
        <v>44669</v>
      </c>
      <c r="S614" t="s">
        <v>32</v>
      </c>
      <c r="T614" t="s">
        <v>29</v>
      </c>
      <c r="U614">
        <v>65770</v>
      </c>
    </row>
    <row r="615" spans="1:21" ht="14.25" customHeight="1" x14ac:dyDescent="0.35">
      <c r="A615" t="s">
        <v>2518</v>
      </c>
      <c r="B615" t="s">
        <v>2519</v>
      </c>
      <c r="C615" t="s">
        <v>23</v>
      </c>
      <c r="D615" t="s">
        <v>65</v>
      </c>
      <c r="E615" t="s">
        <v>133</v>
      </c>
      <c r="F615" t="s">
        <v>2520</v>
      </c>
      <c r="G615" t="s">
        <v>2521</v>
      </c>
      <c r="H615" t="s">
        <v>38</v>
      </c>
      <c r="I615" t="s">
        <v>31</v>
      </c>
      <c r="J615" t="s">
        <v>30</v>
      </c>
      <c r="K615" t="s">
        <v>31</v>
      </c>
      <c r="L615" t="s">
        <v>38</v>
      </c>
      <c r="M615" t="s">
        <v>31</v>
      </c>
      <c r="N615">
        <v>220</v>
      </c>
      <c r="O615">
        <v>300</v>
      </c>
      <c r="P615">
        <v>248</v>
      </c>
      <c r="Q615">
        <v>768</v>
      </c>
      <c r="R615" s="15">
        <v>44672</v>
      </c>
      <c r="S615" t="s">
        <v>30</v>
      </c>
      <c r="T615" t="s">
        <v>31</v>
      </c>
      <c r="U615">
        <v>1287098</v>
      </c>
    </row>
    <row r="616" spans="1:21" ht="14.25" customHeight="1" x14ac:dyDescent="0.35">
      <c r="A616" t="s">
        <v>2522</v>
      </c>
      <c r="B616" t="s">
        <v>2523</v>
      </c>
      <c r="C616" t="s">
        <v>23</v>
      </c>
      <c r="D616" t="s">
        <v>65</v>
      </c>
      <c r="E616" t="s">
        <v>107</v>
      </c>
      <c r="F616" t="s">
        <v>2524</v>
      </c>
      <c r="G616" t="s">
        <v>2525</v>
      </c>
      <c r="H616" t="s">
        <v>30</v>
      </c>
      <c r="I616" t="s">
        <v>31</v>
      </c>
      <c r="J616" t="s">
        <v>30</v>
      </c>
      <c r="K616" t="s">
        <v>31</v>
      </c>
      <c r="L616" t="s">
        <v>38</v>
      </c>
      <c r="M616" t="s">
        <v>31</v>
      </c>
      <c r="N616">
        <v>353</v>
      </c>
      <c r="O616">
        <v>321</v>
      </c>
      <c r="P616">
        <v>294</v>
      </c>
      <c r="Q616">
        <v>968</v>
      </c>
      <c r="R616" s="15">
        <v>44669</v>
      </c>
      <c r="S616" t="s">
        <v>32</v>
      </c>
      <c r="T616" t="s">
        <v>29</v>
      </c>
      <c r="U616">
        <v>899923</v>
      </c>
    </row>
    <row r="617" spans="1:21" ht="14.25" customHeight="1" x14ac:dyDescent="0.35">
      <c r="A617" t="s">
        <v>2526</v>
      </c>
      <c r="B617" t="s">
        <v>2527</v>
      </c>
      <c r="C617" t="s">
        <v>23</v>
      </c>
      <c r="D617" t="s">
        <v>65</v>
      </c>
      <c r="E617" t="s">
        <v>138</v>
      </c>
      <c r="F617" t="s">
        <v>2528</v>
      </c>
      <c r="G617" t="s">
        <v>2529</v>
      </c>
      <c r="H617" t="s">
        <v>30</v>
      </c>
      <c r="I617" t="s">
        <v>31</v>
      </c>
      <c r="J617" t="s">
        <v>30</v>
      </c>
      <c r="K617" t="s">
        <v>31</v>
      </c>
      <c r="L617" t="s">
        <v>38</v>
      </c>
      <c r="M617" t="s">
        <v>31</v>
      </c>
      <c r="N617">
        <v>351</v>
      </c>
      <c r="O617">
        <v>300</v>
      </c>
      <c r="P617">
        <v>235</v>
      </c>
      <c r="Q617">
        <v>886</v>
      </c>
      <c r="R617" s="15">
        <v>44722</v>
      </c>
      <c r="S617" t="s">
        <v>30</v>
      </c>
      <c r="T617" t="s">
        <v>31</v>
      </c>
      <c r="U617">
        <v>1327607</v>
      </c>
    </row>
    <row r="618" spans="1:21" ht="14.25" customHeight="1" x14ac:dyDescent="0.35">
      <c r="A618" t="s">
        <v>2530</v>
      </c>
      <c r="B618" t="s">
        <v>2531</v>
      </c>
      <c r="C618" t="s">
        <v>23</v>
      </c>
      <c r="D618" t="s">
        <v>65</v>
      </c>
      <c r="E618" t="s">
        <v>189</v>
      </c>
      <c r="F618" t="s">
        <v>2532</v>
      </c>
      <c r="G618" t="s">
        <v>2533</v>
      </c>
      <c r="H618" t="s">
        <v>28</v>
      </c>
      <c r="I618" t="s">
        <v>29</v>
      </c>
      <c r="J618" t="s">
        <v>30</v>
      </c>
      <c r="K618" t="s">
        <v>31</v>
      </c>
      <c r="L618" t="s">
        <v>30</v>
      </c>
      <c r="M618" t="s">
        <v>31</v>
      </c>
      <c r="N618">
        <v>535</v>
      </c>
      <c r="O618">
        <v>325</v>
      </c>
      <c r="P618">
        <v>335</v>
      </c>
      <c r="Q618">
        <v>1195</v>
      </c>
      <c r="R618" s="15">
        <v>44669</v>
      </c>
      <c r="S618" t="s">
        <v>32</v>
      </c>
      <c r="T618" t="s">
        <v>29</v>
      </c>
      <c r="U618">
        <v>1288469</v>
      </c>
    </row>
    <row r="619" spans="1:21" ht="14.25" customHeight="1" x14ac:dyDescent="0.35">
      <c r="A619" t="s">
        <v>2534</v>
      </c>
      <c r="B619" t="s">
        <v>2535</v>
      </c>
      <c r="C619" t="s">
        <v>23</v>
      </c>
      <c r="D619" t="s">
        <v>65</v>
      </c>
      <c r="E619" t="s">
        <v>215</v>
      </c>
      <c r="F619" t="s">
        <v>2536</v>
      </c>
      <c r="G619" t="s">
        <v>2537</v>
      </c>
      <c r="H619" t="s">
        <v>38</v>
      </c>
      <c r="I619" t="s">
        <v>31</v>
      </c>
      <c r="J619" t="s">
        <v>38</v>
      </c>
      <c r="K619" t="s">
        <v>31</v>
      </c>
      <c r="L619" t="s">
        <v>38</v>
      </c>
      <c r="M619" t="s">
        <v>31</v>
      </c>
      <c r="N619">
        <v>205</v>
      </c>
      <c r="O619">
        <v>257</v>
      </c>
      <c r="P619">
        <v>230</v>
      </c>
      <c r="Q619">
        <v>692</v>
      </c>
      <c r="R619" s="15">
        <v>44723</v>
      </c>
      <c r="S619" t="s">
        <v>38</v>
      </c>
      <c r="T619" t="s">
        <v>31</v>
      </c>
      <c r="U619">
        <v>1321834</v>
      </c>
    </row>
    <row r="620" spans="1:21" ht="14.25" customHeight="1" x14ac:dyDescent="0.35">
      <c r="A620" t="s">
        <v>2538</v>
      </c>
      <c r="B620" t="s">
        <v>2539</v>
      </c>
      <c r="C620" t="s">
        <v>23</v>
      </c>
      <c r="D620" t="s">
        <v>65</v>
      </c>
      <c r="E620" t="s">
        <v>25</v>
      </c>
      <c r="F620" t="s">
        <v>2540</v>
      </c>
      <c r="G620" t="s">
        <v>2541</v>
      </c>
      <c r="H620" t="s">
        <v>38</v>
      </c>
      <c r="I620" t="s">
        <v>31</v>
      </c>
      <c r="J620" t="s">
        <v>38</v>
      </c>
      <c r="K620" t="s">
        <v>31</v>
      </c>
      <c r="L620" t="s">
        <v>38</v>
      </c>
      <c r="M620" t="s">
        <v>31</v>
      </c>
      <c r="N620">
        <v>205</v>
      </c>
      <c r="O620">
        <v>202</v>
      </c>
      <c r="P620">
        <v>200</v>
      </c>
      <c r="Q620">
        <v>607</v>
      </c>
      <c r="R620" s="15">
        <v>44723</v>
      </c>
      <c r="S620" t="s">
        <v>38</v>
      </c>
      <c r="T620" t="s">
        <v>31</v>
      </c>
      <c r="U620">
        <v>1823878</v>
      </c>
    </row>
    <row r="621" spans="1:21" ht="14.25" customHeight="1" x14ac:dyDescent="0.35">
      <c r="A621" t="s">
        <v>2542</v>
      </c>
      <c r="B621" t="s">
        <v>2543</v>
      </c>
      <c r="C621" t="s">
        <v>23</v>
      </c>
      <c r="D621" t="s">
        <v>65</v>
      </c>
      <c r="E621" t="s">
        <v>91</v>
      </c>
      <c r="F621" t="s">
        <v>2544</v>
      </c>
      <c r="G621" t="s">
        <v>2545</v>
      </c>
      <c r="H621" t="s">
        <v>30</v>
      </c>
      <c r="I621" t="s">
        <v>31</v>
      </c>
      <c r="J621" t="s">
        <v>30</v>
      </c>
      <c r="K621" t="s">
        <v>31</v>
      </c>
      <c r="L621" t="s">
        <v>38</v>
      </c>
      <c r="M621" t="s">
        <v>31</v>
      </c>
      <c r="N621">
        <v>346</v>
      </c>
      <c r="O621">
        <v>325</v>
      </c>
      <c r="P621">
        <v>260</v>
      </c>
      <c r="Q621">
        <v>931</v>
      </c>
      <c r="R621" s="15">
        <v>44723</v>
      </c>
      <c r="S621" t="s">
        <v>32</v>
      </c>
      <c r="T621" t="s">
        <v>29</v>
      </c>
      <c r="U621">
        <v>1819394</v>
      </c>
    </row>
    <row r="622" spans="1:21" ht="14.25" customHeight="1" x14ac:dyDescent="0.35">
      <c r="A622" t="s">
        <v>2546</v>
      </c>
      <c r="B622" t="s">
        <v>2547</v>
      </c>
      <c r="C622" t="s">
        <v>23</v>
      </c>
      <c r="D622" t="s">
        <v>65</v>
      </c>
      <c r="E622" t="s">
        <v>189</v>
      </c>
      <c r="F622" t="s">
        <v>2548</v>
      </c>
      <c r="G622" t="s">
        <v>2549</v>
      </c>
      <c r="H622" t="s">
        <v>30</v>
      </c>
      <c r="I622" t="s">
        <v>31</v>
      </c>
      <c r="J622" t="s">
        <v>30</v>
      </c>
      <c r="K622" t="s">
        <v>31</v>
      </c>
      <c r="L622" t="s">
        <v>38</v>
      </c>
      <c r="M622" t="s">
        <v>31</v>
      </c>
      <c r="N622">
        <v>377</v>
      </c>
      <c r="O622">
        <v>309</v>
      </c>
      <c r="P622">
        <v>255</v>
      </c>
      <c r="Q622">
        <v>941</v>
      </c>
      <c r="R622" s="15">
        <v>44669</v>
      </c>
      <c r="S622" t="s">
        <v>32</v>
      </c>
      <c r="T622" t="s">
        <v>29</v>
      </c>
      <c r="U622">
        <v>1493594</v>
      </c>
    </row>
    <row r="623" spans="1:21" ht="14.25" customHeight="1" x14ac:dyDescent="0.35">
      <c r="A623" t="s">
        <v>2550</v>
      </c>
      <c r="B623" t="s">
        <v>2551</v>
      </c>
      <c r="C623" t="s">
        <v>23</v>
      </c>
      <c r="D623" t="s">
        <v>65</v>
      </c>
      <c r="E623" t="s">
        <v>81</v>
      </c>
      <c r="F623" t="s">
        <v>2552</v>
      </c>
      <c r="G623" t="s">
        <v>2553</v>
      </c>
      <c r="H623" t="s">
        <v>30</v>
      </c>
      <c r="I623" t="s">
        <v>31</v>
      </c>
      <c r="J623" t="s">
        <v>38</v>
      </c>
      <c r="K623" t="s">
        <v>31</v>
      </c>
      <c r="L623" t="s">
        <v>38</v>
      </c>
      <c r="M623" t="s">
        <v>31</v>
      </c>
      <c r="N623">
        <v>370</v>
      </c>
      <c r="O623">
        <v>228</v>
      </c>
      <c r="P623">
        <v>210</v>
      </c>
      <c r="Q623">
        <v>808</v>
      </c>
      <c r="R623" s="15">
        <v>44667</v>
      </c>
      <c r="S623" t="s">
        <v>30</v>
      </c>
      <c r="T623" t="s">
        <v>31</v>
      </c>
      <c r="U623">
        <v>840715</v>
      </c>
    </row>
    <row r="624" spans="1:21" ht="14.25" customHeight="1" x14ac:dyDescent="0.35">
      <c r="A624" t="s">
        <v>2554</v>
      </c>
      <c r="B624" t="s">
        <v>2555</v>
      </c>
      <c r="C624" t="s">
        <v>23</v>
      </c>
      <c r="D624" t="s">
        <v>65</v>
      </c>
      <c r="E624" t="s">
        <v>107</v>
      </c>
      <c r="F624" t="s">
        <v>2556</v>
      </c>
      <c r="G624" t="s">
        <v>2557</v>
      </c>
      <c r="H624" t="s">
        <v>38</v>
      </c>
      <c r="I624" t="s">
        <v>31</v>
      </c>
      <c r="J624" t="s">
        <v>38</v>
      </c>
      <c r="K624" t="s">
        <v>31</v>
      </c>
      <c r="L624" t="s">
        <v>30</v>
      </c>
      <c r="M624" t="s">
        <v>31</v>
      </c>
      <c r="N624">
        <v>255</v>
      </c>
      <c r="O624">
        <v>214</v>
      </c>
      <c r="P624">
        <v>300</v>
      </c>
      <c r="Q624">
        <v>769</v>
      </c>
      <c r="R624" s="15">
        <v>44667</v>
      </c>
      <c r="S624" t="s">
        <v>30</v>
      </c>
      <c r="T624" t="s">
        <v>31</v>
      </c>
      <c r="U624">
        <v>749647</v>
      </c>
    </row>
    <row r="625" spans="1:21" ht="14.25" customHeight="1" x14ac:dyDescent="0.35">
      <c r="A625" t="s">
        <v>2558</v>
      </c>
      <c r="B625" t="s">
        <v>2559</v>
      </c>
      <c r="C625" t="s">
        <v>23</v>
      </c>
      <c r="D625" t="s">
        <v>65</v>
      </c>
      <c r="E625" t="s">
        <v>258</v>
      </c>
      <c r="F625" t="s">
        <v>2560</v>
      </c>
      <c r="G625" t="s">
        <v>2561</v>
      </c>
      <c r="H625" t="s">
        <v>32</v>
      </c>
      <c r="I625" t="s">
        <v>29</v>
      </c>
      <c r="J625" t="s">
        <v>38</v>
      </c>
      <c r="K625" t="s">
        <v>31</v>
      </c>
      <c r="L625" t="s">
        <v>30</v>
      </c>
      <c r="M625" t="s">
        <v>31</v>
      </c>
      <c r="N625">
        <v>408</v>
      </c>
      <c r="O625">
        <v>206</v>
      </c>
      <c r="P625">
        <v>300</v>
      </c>
      <c r="Q625">
        <v>914</v>
      </c>
      <c r="R625" s="15">
        <v>44668</v>
      </c>
      <c r="S625" t="s">
        <v>32</v>
      </c>
      <c r="T625" t="s">
        <v>29</v>
      </c>
      <c r="U625">
        <v>885462</v>
      </c>
    </row>
    <row r="626" spans="1:21" ht="14.25" customHeight="1" x14ac:dyDescent="0.35">
      <c r="A626" t="s">
        <v>2562</v>
      </c>
      <c r="B626" t="s">
        <v>2563</v>
      </c>
      <c r="C626" t="s">
        <v>23</v>
      </c>
      <c r="D626" t="s">
        <v>65</v>
      </c>
      <c r="E626" t="s">
        <v>91</v>
      </c>
      <c r="F626" t="s">
        <v>2564</v>
      </c>
      <c r="G626" t="s">
        <v>2565</v>
      </c>
      <c r="H626" t="s">
        <v>28</v>
      </c>
      <c r="I626" t="s">
        <v>29</v>
      </c>
      <c r="J626" t="s">
        <v>30</v>
      </c>
      <c r="K626" t="s">
        <v>31</v>
      </c>
      <c r="L626" t="s">
        <v>38</v>
      </c>
      <c r="M626" t="s">
        <v>31</v>
      </c>
      <c r="N626">
        <v>505</v>
      </c>
      <c r="O626">
        <v>307</v>
      </c>
      <c r="P626">
        <v>245</v>
      </c>
      <c r="Q626">
        <v>1057</v>
      </c>
      <c r="R626" s="15">
        <v>44668</v>
      </c>
      <c r="S626" t="s">
        <v>32</v>
      </c>
      <c r="T626" t="s">
        <v>29</v>
      </c>
      <c r="U626">
        <v>944480</v>
      </c>
    </row>
    <row r="627" spans="1:21" ht="14.25" customHeight="1" x14ac:dyDescent="0.35">
      <c r="A627" t="s">
        <v>2566</v>
      </c>
      <c r="B627" t="s">
        <v>2567</v>
      </c>
      <c r="C627" t="s">
        <v>23</v>
      </c>
      <c r="D627" t="s">
        <v>65</v>
      </c>
      <c r="E627" t="s">
        <v>321</v>
      </c>
      <c r="G627" t="s">
        <v>2568</v>
      </c>
      <c r="H627" t="s">
        <v>38</v>
      </c>
      <c r="I627" t="s">
        <v>31</v>
      </c>
      <c r="J627" t="s">
        <v>38</v>
      </c>
      <c r="K627" t="s">
        <v>31</v>
      </c>
      <c r="L627" t="s">
        <v>38</v>
      </c>
      <c r="M627" t="s">
        <v>31</v>
      </c>
      <c r="N627">
        <v>240</v>
      </c>
      <c r="O627">
        <v>206</v>
      </c>
      <c r="P627">
        <v>240</v>
      </c>
      <c r="Q627">
        <v>686</v>
      </c>
      <c r="R627" s="15">
        <v>44668</v>
      </c>
      <c r="S627" t="s">
        <v>38</v>
      </c>
      <c r="T627" t="s">
        <v>31</v>
      </c>
      <c r="U627">
        <v>1589061</v>
      </c>
    </row>
    <row r="628" spans="1:21" ht="14.25" customHeight="1" x14ac:dyDescent="0.35">
      <c r="A628" t="s">
        <v>2569</v>
      </c>
      <c r="B628" t="s">
        <v>2570</v>
      </c>
      <c r="C628" t="s">
        <v>23</v>
      </c>
      <c r="D628" t="s">
        <v>65</v>
      </c>
      <c r="E628" t="s">
        <v>330</v>
      </c>
      <c r="F628" t="s">
        <v>2571</v>
      </c>
      <c r="G628" t="s">
        <v>2572</v>
      </c>
      <c r="H628" t="s">
        <v>30</v>
      </c>
      <c r="I628" t="s">
        <v>31</v>
      </c>
      <c r="J628" t="s">
        <v>38</v>
      </c>
      <c r="K628" t="s">
        <v>31</v>
      </c>
      <c r="L628" t="s">
        <v>38</v>
      </c>
      <c r="M628" t="s">
        <v>31</v>
      </c>
      <c r="N628">
        <v>367</v>
      </c>
      <c r="O628">
        <v>297</v>
      </c>
      <c r="P628">
        <v>235</v>
      </c>
      <c r="Q628">
        <v>899</v>
      </c>
      <c r="R628" s="15">
        <v>44668</v>
      </c>
      <c r="S628" t="s">
        <v>30</v>
      </c>
      <c r="T628" t="s">
        <v>31</v>
      </c>
      <c r="U628">
        <v>1434728</v>
      </c>
    </row>
    <row r="629" spans="1:21" ht="14.25" customHeight="1" x14ac:dyDescent="0.35">
      <c r="A629" t="s">
        <v>2573</v>
      </c>
      <c r="B629" t="s">
        <v>2574</v>
      </c>
      <c r="C629" t="s">
        <v>23</v>
      </c>
      <c r="D629" t="s">
        <v>65</v>
      </c>
      <c r="E629" t="s">
        <v>71</v>
      </c>
      <c r="F629" t="s">
        <v>2575</v>
      </c>
      <c r="G629" t="s">
        <v>2576</v>
      </c>
      <c r="H629" t="s">
        <v>38</v>
      </c>
      <c r="I629" t="s">
        <v>31</v>
      </c>
      <c r="J629" t="s">
        <v>30</v>
      </c>
      <c r="K629" t="s">
        <v>31</v>
      </c>
      <c r="L629" t="s">
        <v>38</v>
      </c>
      <c r="M629" t="s">
        <v>31</v>
      </c>
      <c r="N629">
        <v>200</v>
      </c>
      <c r="O629">
        <v>321</v>
      </c>
      <c r="P629">
        <v>200</v>
      </c>
      <c r="Q629">
        <v>721</v>
      </c>
      <c r="R629" s="15">
        <v>44668</v>
      </c>
      <c r="S629" t="s">
        <v>38</v>
      </c>
      <c r="T629" t="s">
        <v>31</v>
      </c>
      <c r="U629">
        <v>1172222</v>
      </c>
    </row>
    <row r="630" spans="1:21" ht="14.25" customHeight="1" x14ac:dyDescent="0.35">
      <c r="A630" t="s">
        <v>2577</v>
      </c>
      <c r="B630" t="s">
        <v>2578</v>
      </c>
      <c r="C630" t="s">
        <v>23</v>
      </c>
      <c r="D630" t="s">
        <v>65</v>
      </c>
      <c r="E630" t="s">
        <v>91</v>
      </c>
      <c r="F630" t="s">
        <v>2579</v>
      </c>
      <c r="G630" t="s">
        <v>2580</v>
      </c>
      <c r="H630" t="s">
        <v>28</v>
      </c>
      <c r="I630" t="s">
        <v>29</v>
      </c>
      <c r="J630" t="s">
        <v>30</v>
      </c>
      <c r="K630" t="s">
        <v>31</v>
      </c>
      <c r="L630" t="s">
        <v>30</v>
      </c>
      <c r="M630" t="s">
        <v>31</v>
      </c>
      <c r="N630">
        <v>570</v>
      </c>
      <c r="O630">
        <v>326</v>
      </c>
      <c r="P630">
        <v>310</v>
      </c>
      <c r="Q630">
        <v>1206</v>
      </c>
      <c r="R630" s="15">
        <v>44722</v>
      </c>
      <c r="S630" t="s">
        <v>28</v>
      </c>
      <c r="T630" t="s">
        <v>29</v>
      </c>
      <c r="U630">
        <v>827876</v>
      </c>
    </row>
    <row r="631" spans="1:21" ht="14.25" customHeight="1" x14ac:dyDescent="0.35">
      <c r="A631" t="s">
        <v>2581</v>
      </c>
      <c r="B631" t="s">
        <v>2582</v>
      </c>
      <c r="C631" t="s">
        <v>23</v>
      </c>
      <c r="D631" t="s">
        <v>65</v>
      </c>
      <c r="E631" t="s">
        <v>215</v>
      </c>
      <c r="F631" t="s">
        <v>2583</v>
      </c>
      <c r="G631" t="s">
        <v>2584</v>
      </c>
      <c r="H631" t="s">
        <v>38</v>
      </c>
      <c r="I631" t="s">
        <v>31</v>
      </c>
      <c r="J631" t="s">
        <v>38</v>
      </c>
      <c r="K631" t="s">
        <v>31</v>
      </c>
      <c r="L631" t="s">
        <v>38</v>
      </c>
      <c r="M631" t="s">
        <v>31</v>
      </c>
      <c r="N631">
        <v>215</v>
      </c>
      <c r="O631">
        <v>230</v>
      </c>
      <c r="P631">
        <v>200</v>
      </c>
      <c r="Q631">
        <v>645</v>
      </c>
      <c r="R631" s="15">
        <v>44768</v>
      </c>
      <c r="S631" t="s">
        <v>38</v>
      </c>
      <c r="T631" t="s">
        <v>31</v>
      </c>
      <c r="U631">
        <v>1539029</v>
      </c>
    </row>
    <row r="632" spans="1:21" ht="14.25" customHeight="1" x14ac:dyDescent="0.35">
      <c r="A632" t="s">
        <v>2585</v>
      </c>
      <c r="B632" t="s">
        <v>2586</v>
      </c>
      <c r="C632" t="s">
        <v>23</v>
      </c>
      <c r="D632" t="s">
        <v>65</v>
      </c>
      <c r="E632" t="s">
        <v>104</v>
      </c>
      <c r="F632" t="s">
        <v>2587</v>
      </c>
      <c r="G632" t="s">
        <v>2588</v>
      </c>
      <c r="H632" t="s">
        <v>38</v>
      </c>
      <c r="I632" t="s">
        <v>31</v>
      </c>
      <c r="J632" t="s">
        <v>38</v>
      </c>
      <c r="K632" t="s">
        <v>31</v>
      </c>
      <c r="L632" t="s">
        <v>30</v>
      </c>
      <c r="M632" t="s">
        <v>31</v>
      </c>
      <c r="N632">
        <v>200</v>
      </c>
      <c r="O632">
        <v>258</v>
      </c>
      <c r="P632">
        <v>300</v>
      </c>
      <c r="Q632">
        <v>758</v>
      </c>
      <c r="R632" s="15">
        <v>44722</v>
      </c>
      <c r="S632" t="s">
        <v>30</v>
      </c>
      <c r="T632" t="s">
        <v>31</v>
      </c>
      <c r="U632">
        <v>1824013</v>
      </c>
    </row>
    <row r="633" spans="1:21" ht="14.25" customHeight="1" x14ac:dyDescent="0.35">
      <c r="A633" t="s">
        <v>2589</v>
      </c>
      <c r="B633" t="s">
        <v>2590</v>
      </c>
      <c r="C633" t="s">
        <v>23</v>
      </c>
      <c r="D633" t="s">
        <v>65</v>
      </c>
      <c r="E633" t="s">
        <v>138</v>
      </c>
      <c r="F633" t="s">
        <v>2591</v>
      </c>
      <c r="G633" t="s">
        <v>2592</v>
      </c>
      <c r="H633" t="s">
        <v>38</v>
      </c>
      <c r="I633" t="s">
        <v>31</v>
      </c>
      <c r="J633" t="s">
        <v>38</v>
      </c>
      <c r="K633" t="s">
        <v>31</v>
      </c>
      <c r="L633" t="s">
        <v>38</v>
      </c>
      <c r="M633" t="s">
        <v>31</v>
      </c>
      <c r="N633">
        <v>250</v>
      </c>
      <c r="O633">
        <v>207</v>
      </c>
      <c r="P633">
        <v>233</v>
      </c>
      <c r="Q633">
        <v>690</v>
      </c>
      <c r="R633" s="15">
        <v>44668</v>
      </c>
      <c r="S633" t="s">
        <v>38</v>
      </c>
      <c r="T633" t="s">
        <v>31</v>
      </c>
      <c r="U633">
        <v>1109242</v>
      </c>
    </row>
    <row r="634" spans="1:21" ht="14.25" customHeight="1" x14ac:dyDescent="0.35">
      <c r="A634" t="s">
        <v>2593</v>
      </c>
      <c r="B634" t="s">
        <v>2594</v>
      </c>
      <c r="C634" t="s">
        <v>23</v>
      </c>
      <c r="D634" t="s">
        <v>65</v>
      </c>
      <c r="E634" t="s">
        <v>224</v>
      </c>
      <c r="H634" t="s">
        <v>38</v>
      </c>
      <c r="I634" t="s">
        <v>31</v>
      </c>
      <c r="J634" t="s">
        <v>30</v>
      </c>
      <c r="K634" t="s">
        <v>31</v>
      </c>
      <c r="L634" t="s">
        <v>38</v>
      </c>
      <c r="M634" t="s">
        <v>31</v>
      </c>
      <c r="N634">
        <v>260</v>
      </c>
      <c r="O634">
        <v>350</v>
      </c>
      <c r="P634">
        <v>267</v>
      </c>
      <c r="Q634">
        <v>877</v>
      </c>
      <c r="R634" s="15">
        <v>44723</v>
      </c>
      <c r="S634" t="s">
        <v>30</v>
      </c>
      <c r="T634" t="s">
        <v>31</v>
      </c>
      <c r="U634">
        <v>1849867</v>
      </c>
    </row>
    <row r="635" spans="1:21" ht="14.25" customHeight="1" x14ac:dyDescent="0.35">
      <c r="A635" t="s">
        <v>2595</v>
      </c>
      <c r="B635" t="s">
        <v>2596</v>
      </c>
      <c r="C635" t="s">
        <v>23</v>
      </c>
      <c r="D635" t="s">
        <v>65</v>
      </c>
      <c r="E635" t="s">
        <v>41</v>
      </c>
      <c r="H635" t="s">
        <v>38</v>
      </c>
      <c r="I635" t="s">
        <v>31</v>
      </c>
      <c r="J635" t="s">
        <v>38</v>
      </c>
      <c r="K635" t="s">
        <v>31</v>
      </c>
      <c r="L635" t="s">
        <v>38</v>
      </c>
      <c r="M635" t="s">
        <v>31</v>
      </c>
      <c r="N635">
        <v>230</v>
      </c>
      <c r="O635">
        <v>201</v>
      </c>
      <c r="P635">
        <v>210</v>
      </c>
      <c r="Q635">
        <v>641</v>
      </c>
      <c r="R635" s="15">
        <v>44668</v>
      </c>
      <c r="S635" t="s">
        <v>38</v>
      </c>
      <c r="T635" t="s">
        <v>31</v>
      </c>
      <c r="U635">
        <v>1026662</v>
      </c>
    </row>
    <row r="636" spans="1:21" ht="14.25" customHeight="1" x14ac:dyDescent="0.35">
      <c r="A636" t="s">
        <v>2597</v>
      </c>
      <c r="B636" t="s">
        <v>2598</v>
      </c>
      <c r="C636" t="s">
        <v>23</v>
      </c>
      <c r="D636" t="s">
        <v>65</v>
      </c>
      <c r="E636" t="s">
        <v>107</v>
      </c>
      <c r="F636" t="s">
        <v>2599</v>
      </c>
      <c r="G636" t="s">
        <v>2600</v>
      </c>
      <c r="H636" t="s">
        <v>28</v>
      </c>
      <c r="I636" t="s">
        <v>29</v>
      </c>
      <c r="J636" t="s">
        <v>30</v>
      </c>
      <c r="K636" t="s">
        <v>31</v>
      </c>
      <c r="L636" t="s">
        <v>30</v>
      </c>
      <c r="M636" t="s">
        <v>31</v>
      </c>
      <c r="N636">
        <v>535</v>
      </c>
      <c r="O636">
        <v>322</v>
      </c>
      <c r="P636">
        <v>325</v>
      </c>
      <c r="Q636">
        <v>1182</v>
      </c>
      <c r="R636" s="15">
        <v>44722</v>
      </c>
      <c r="S636" t="s">
        <v>32</v>
      </c>
      <c r="T636" t="s">
        <v>29</v>
      </c>
      <c r="U636">
        <v>1705843</v>
      </c>
    </row>
    <row r="637" spans="1:21" ht="14.25" customHeight="1" x14ac:dyDescent="0.35">
      <c r="A637" t="s">
        <v>2601</v>
      </c>
      <c r="B637" t="s">
        <v>2602</v>
      </c>
      <c r="C637" t="s">
        <v>23</v>
      </c>
      <c r="D637" t="s">
        <v>65</v>
      </c>
      <c r="E637" t="s">
        <v>81</v>
      </c>
      <c r="F637" t="s">
        <v>2603</v>
      </c>
      <c r="H637" t="s">
        <v>28</v>
      </c>
      <c r="I637" t="s">
        <v>29</v>
      </c>
      <c r="J637" t="s">
        <v>30</v>
      </c>
      <c r="K637" t="s">
        <v>31</v>
      </c>
      <c r="L637" t="s">
        <v>30</v>
      </c>
      <c r="M637" t="s">
        <v>31</v>
      </c>
      <c r="N637">
        <v>505</v>
      </c>
      <c r="O637">
        <v>337</v>
      </c>
      <c r="P637">
        <v>300</v>
      </c>
      <c r="Q637">
        <v>1142</v>
      </c>
      <c r="R637" s="15">
        <v>44722</v>
      </c>
      <c r="S637" t="s">
        <v>32</v>
      </c>
      <c r="T637" t="s">
        <v>29</v>
      </c>
      <c r="U637">
        <v>1738177</v>
      </c>
    </row>
    <row r="638" spans="1:21" ht="14.25" customHeight="1" x14ac:dyDescent="0.35">
      <c r="A638" t="s">
        <v>2604</v>
      </c>
      <c r="B638" t="s">
        <v>2605</v>
      </c>
      <c r="C638" t="s">
        <v>23</v>
      </c>
      <c r="D638" t="s">
        <v>65</v>
      </c>
      <c r="E638" t="s">
        <v>390</v>
      </c>
      <c r="F638" t="s">
        <v>2606</v>
      </c>
      <c r="G638" t="s">
        <v>2607</v>
      </c>
      <c r="H638" t="s">
        <v>38</v>
      </c>
      <c r="I638" t="s">
        <v>31</v>
      </c>
      <c r="J638" t="s">
        <v>30</v>
      </c>
      <c r="K638" t="s">
        <v>31</v>
      </c>
      <c r="L638" t="s">
        <v>38</v>
      </c>
      <c r="M638" t="s">
        <v>31</v>
      </c>
      <c r="N638">
        <v>200</v>
      </c>
      <c r="O638">
        <v>323</v>
      </c>
      <c r="P638">
        <v>240</v>
      </c>
      <c r="Q638">
        <v>763</v>
      </c>
      <c r="R638" s="15">
        <v>44667</v>
      </c>
      <c r="S638" t="s">
        <v>30</v>
      </c>
      <c r="T638" t="s">
        <v>31</v>
      </c>
      <c r="U638">
        <v>1005229</v>
      </c>
    </row>
    <row r="639" spans="1:21" ht="14.25" customHeight="1" x14ac:dyDescent="0.35">
      <c r="A639" t="s">
        <v>2608</v>
      </c>
      <c r="B639" t="s">
        <v>2609</v>
      </c>
      <c r="C639" t="s">
        <v>23</v>
      </c>
      <c r="D639" t="s">
        <v>65</v>
      </c>
      <c r="E639" t="s">
        <v>1541</v>
      </c>
      <c r="F639" t="s">
        <v>2610</v>
      </c>
      <c r="G639" t="s">
        <v>2611</v>
      </c>
      <c r="H639" t="s">
        <v>38</v>
      </c>
      <c r="I639" t="s">
        <v>31</v>
      </c>
      <c r="J639" t="s">
        <v>38</v>
      </c>
      <c r="K639" t="s">
        <v>31</v>
      </c>
      <c r="L639" t="s">
        <v>38</v>
      </c>
      <c r="M639" t="s">
        <v>31</v>
      </c>
      <c r="N639">
        <v>200</v>
      </c>
      <c r="O639">
        <v>211</v>
      </c>
      <c r="P639">
        <v>210</v>
      </c>
      <c r="Q639">
        <v>621</v>
      </c>
      <c r="R639" s="15">
        <v>44668</v>
      </c>
      <c r="S639" t="s">
        <v>38</v>
      </c>
      <c r="T639" t="s">
        <v>31</v>
      </c>
      <c r="U639">
        <v>943184</v>
      </c>
    </row>
    <row r="640" spans="1:21" ht="14.25" customHeight="1" x14ac:dyDescent="0.35">
      <c r="A640" t="s">
        <v>2612</v>
      </c>
      <c r="B640" t="s">
        <v>2613</v>
      </c>
      <c r="C640" t="s">
        <v>23</v>
      </c>
      <c r="D640" t="s">
        <v>65</v>
      </c>
      <c r="E640" t="s">
        <v>107</v>
      </c>
      <c r="F640" t="s">
        <v>2614</v>
      </c>
      <c r="G640" t="s">
        <v>2615</v>
      </c>
      <c r="H640" t="s">
        <v>38</v>
      </c>
      <c r="I640" t="s">
        <v>31</v>
      </c>
      <c r="J640" t="s">
        <v>38</v>
      </c>
      <c r="K640" t="s">
        <v>31</v>
      </c>
      <c r="L640" t="s">
        <v>30</v>
      </c>
      <c r="M640" t="s">
        <v>31</v>
      </c>
      <c r="N640">
        <v>225</v>
      </c>
      <c r="O640">
        <v>212</v>
      </c>
      <c r="P640">
        <v>300</v>
      </c>
      <c r="Q640">
        <v>737</v>
      </c>
      <c r="R640" s="15">
        <v>44667</v>
      </c>
      <c r="S640" t="s">
        <v>38</v>
      </c>
      <c r="T640" t="s">
        <v>31</v>
      </c>
      <c r="U640">
        <v>1466301</v>
      </c>
    </row>
    <row r="641" spans="1:21" ht="14.25" customHeight="1" x14ac:dyDescent="0.35">
      <c r="A641" t="s">
        <v>2616</v>
      </c>
      <c r="B641" t="s">
        <v>2617</v>
      </c>
      <c r="C641" t="s">
        <v>23</v>
      </c>
      <c r="D641" t="s">
        <v>65</v>
      </c>
      <c r="E641" t="s">
        <v>215</v>
      </c>
      <c r="H641" t="s">
        <v>38</v>
      </c>
      <c r="I641" t="s">
        <v>31</v>
      </c>
      <c r="J641" t="s">
        <v>38</v>
      </c>
      <c r="K641" t="s">
        <v>31</v>
      </c>
      <c r="L641" t="s">
        <v>38</v>
      </c>
      <c r="M641" t="s">
        <v>31</v>
      </c>
      <c r="N641">
        <v>225</v>
      </c>
      <c r="O641">
        <v>243</v>
      </c>
      <c r="P641">
        <v>205</v>
      </c>
      <c r="Q641">
        <v>673</v>
      </c>
      <c r="R641" s="15">
        <v>44722</v>
      </c>
      <c r="S641" t="s">
        <v>38</v>
      </c>
      <c r="T641" t="s">
        <v>31</v>
      </c>
      <c r="U641">
        <v>1819615</v>
      </c>
    </row>
    <row r="642" spans="1:21" ht="14.25" customHeight="1" x14ac:dyDescent="0.35">
      <c r="A642" t="s">
        <v>2618</v>
      </c>
      <c r="B642" t="s">
        <v>2619</v>
      </c>
      <c r="C642" t="s">
        <v>23</v>
      </c>
      <c r="D642" t="s">
        <v>65</v>
      </c>
      <c r="E642" t="s">
        <v>46</v>
      </c>
      <c r="F642" t="s">
        <v>2620</v>
      </c>
      <c r="G642" t="s">
        <v>2621</v>
      </c>
      <c r="H642" t="s">
        <v>38</v>
      </c>
      <c r="I642" t="s">
        <v>31</v>
      </c>
      <c r="J642" t="s">
        <v>38</v>
      </c>
      <c r="K642" t="s">
        <v>31</v>
      </c>
      <c r="L642" t="s">
        <v>30</v>
      </c>
      <c r="M642" t="s">
        <v>31</v>
      </c>
      <c r="N642">
        <v>225</v>
      </c>
      <c r="O642">
        <v>207</v>
      </c>
      <c r="P642">
        <v>300</v>
      </c>
      <c r="Q642">
        <v>732</v>
      </c>
      <c r="R642" s="15">
        <v>44722</v>
      </c>
      <c r="S642" t="s">
        <v>38</v>
      </c>
      <c r="T642" t="s">
        <v>31</v>
      </c>
      <c r="U642">
        <v>1751876</v>
      </c>
    </row>
    <row r="643" spans="1:21" ht="14.25" customHeight="1" x14ac:dyDescent="0.35">
      <c r="A643" t="s">
        <v>2622</v>
      </c>
      <c r="B643" t="s">
        <v>2623</v>
      </c>
      <c r="C643" t="s">
        <v>23</v>
      </c>
      <c r="D643" t="s">
        <v>65</v>
      </c>
      <c r="E643" t="s">
        <v>224</v>
      </c>
      <c r="F643" t="s">
        <v>2624</v>
      </c>
      <c r="G643" t="s">
        <v>2625</v>
      </c>
      <c r="H643" t="s">
        <v>38</v>
      </c>
      <c r="I643" t="s">
        <v>31</v>
      </c>
      <c r="J643" t="s">
        <v>38</v>
      </c>
      <c r="K643" t="s">
        <v>31</v>
      </c>
      <c r="L643" t="s">
        <v>38</v>
      </c>
      <c r="M643" t="s">
        <v>31</v>
      </c>
      <c r="N643">
        <v>230</v>
      </c>
      <c r="O643">
        <v>202</v>
      </c>
      <c r="P643">
        <v>200</v>
      </c>
      <c r="Q643">
        <v>632</v>
      </c>
      <c r="R643" s="15">
        <v>44668</v>
      </c>
      <c r="S643" t="s">
        <v>38</v>
      </c>
      <c r="T643" t="s">
        <v>31</v>
      </c>
      <c r="U643">
        <v>1436425</v>
      </c>
    </row>
    <row r="644" spans="1:21" ht="14.25" customHeight="1" x14ac:dyDescent="0.35">
      <c r="A644" t="s">
        <v>2626</v>
      </c>
      <c r="B644" t="s">
        <v>2627</v>
      </c>
      <c r="C644" t="s">
        <v>23</v>
      </c>
      <c r="D644" t="s">
        <v>65</v>
      </c>
      <c r="E644" t="s">
        <v>133</v>
      </c>
      <c r="F644" t="s">
        <v>2628</v>
      </c>
      <c r="G644" t="s">
        <v>2629</v>
      </c>
      <c r="H644" t="s">
        <v>38</v>
      </c>
      <c r="I644" t="s">
        <v>31</v>
      </c>
      <c r="J644" t="s">
        <v>38</v>
      </c>
      <c r="K644" t="s">
        <v>31</v>
      </c>
      <c r="L644" t="s">
        <v>30</v>
      </c>
      <c r="M644" t="s">
        <v>31</v>
      </c>
      <c r="N644">
        <v>250</v>
      </c>
      <c r="O644">
        <v>221</v>
      </c>
      <c r="P644">
        <v>300</v>
      </c>
      <c r="Q644">
        <v>771</v>
      </c>
      <c r="R644" s="15">
        <v>44668</v>
      </c>
      <c r="S644" t="s">
        <v>30</v>
      </c>
      <c r="T644" t="s">
        <v>31</v>
      </c>
      <c r="U644">
        <v>1123494</v>
      </c>
    </row>
    <row r="645" spans="1:21" ht="14.25" customHeight="1" x14ac:dyDescent="0.35">
      <c r="A645" t="s">
        <v>2630</v>
      </c>
      <c r="B645" t="s">
        <v>2631</v>
      </c>
      <c r="C645" t="s">
        <v>23</v>
      </c>
      <c r="D645" t="s">
        <v>65</v>
      </c>
      <c r="E645" t="s">
        <v>138</v>
      </c>
      <c r="F645" t="s">
        <v>2632</v>
      </c>
      <c r="G645" t="s">
        <v>2633</v>
      </c>
      <c r="H645" t="s">
        <v>38</v>
      </c>
      <c r="I645" t="s">
        <v>31</v>
      </c>
      <c r="J645" t="s">
        <v>30</v>
      </c>
      <c r="K645" t="s">
        <v>31</v>
      </c>
      <c r="L645" t="s">
        <v>38</v>
      </c>
      <c r="M645" t="s">
        <v>31</v>
      </c>
      <c r="N645">
        <v>255</v>
      </c>
      <c r="O645">
        <v>321</v>
      </c>
      <c r="P645">
        <v>233</v>
      </c>
      <c r="Q645">
        <v>809</v>
      </c>
      <c r="R645" s="15">
        <v>44668</v>
      </c>
      <c r="S645" t="s">
        <v>30</v>
      </c>
      <c r="T645" t="s">
        <v>31</v>
      </c>
      <c r="U645">
        <v>706129</v>
      </c>
    </row>
    <row r="646" spans="1:21" ht="14.25" customHeight="1" x14ac:dyDescent="0.35">
      <c r="A646" t="s">
        <v>2634</v>
      </c>
      <c r="B646" t="s">
        <v>2635</v>
      </c>
      <c r="C646" t="s">
        <v>23</v>
      </c>
      <c r="D646" t="s">
        <v>65</v>
      </c>
      <c r="E646" t="s">
        <v>138</v>
      </c>
      <c r="F646" t="s">
        <v>2636</v>
      </c>
      <c r="G646" t="s">
        <v>2637</v>
      </c>
      <c r="H646" t="s">
        <v>38</v>
      </c>
      <c r="I646" t="s">
        <v>31</v>
      </c>
      <c r="J646" t="s">
        <v>38</v>
      </c>
      <c r="K646" t="s">
        <v>31</v>
      </c>
      <c r="L646" t="s">
        <v>30</v>
      </c>
      <c r="M646" t="s">
        <v>31</v>
      </c>
      <c r="N646">
        <v>245</v>
      </c>
      <c r="O646">
        <v>275</v>
      </c>
      <c r="P646">
        <v>300</v>
      </c>
      <c r="Q646">
        <v>820</v>
      </c>
      <c r="R646" s="15">
        <v>44722</v>
      </c>
      <c r="S646" t="s">
        <v>30</v>
      </c>
      <c r="T646" t="s">
        <v>31</v>
      </c>
      <c r="U646">
        <v>775215</v>
      </c>
    </row>
    <row r="647" spans="1:21" ht="14.25" customHeight="1" x14ac:dyDescent="0.35">
      <c r="A647" t="s">
        <v>2638</v>
      </c>
      <c r="B647" t="s">
        <v>2639</v>
      </c>
      <c r="C647" t="s">
        <v>23</v>
      </c>
      <c r="D647" t="s">
        <v>65</v>
      </c>
      <c r="E647" t="s">
        <v>124</v>
      </c>
      <c r="F647" t="s">
        <v>2640</v>
      </c>
      <c r="G647" t="s">
        <v>2641</v>
      </c>
      <c r="H647" t="s">
        <v>28</v>
      </c>
      <c r="I647" t="s">
        <v>29</v>
      </c>
      <c r="J647" t="s">
        <v>30</v>
      </c>
      <c r="K647" t="s">
        <v>31</v>
      </c>
      <c r="L647" t="s">
        <v>30</v>
      </c>
      <c r="M647" t="s">
        <v>31</v>
      </c>
      <c r="N647">
        <v>545</v>
      </c>
      <c r="O647">
        <v>324</v>
      </c>
      <c r="P647">
        <v>320</v>
      </c>
      <c r="Q647">
        <v>1189</v>
      </c>
      <c r="R647" s="15">
        <v>44722</v>
      </c>
      <c r="S647" t="s">
        <v>32</v>
      </c>
      <c r="T647" t="s">
        <v>29</v>
      </c>
      <c r="U647">
        <v>1636422</v>
      </c>
    </row>
    <row r="648" spans="1:21" ht="14.25" customHeight="1" x14ac:dyDescent="0.35">
      <c r="A648" t="s">
        <v>2642</v>
      </c>
      <c r="B648" t="s">
        <v>2643</v>
      </c>
      <c r="C648" t="s">
        <v>23</v>
      </c>
      <c r="D648" t="s">
        <v>65</v>
      </c>
      <c r="E648" t="s">
        <v>104</v>
      </c>
      <c r="F648" t="s">
        <v>2644</v>
      </c>
      <c r="G648" t="s">
        <v>2645</v>
      </c>
      <c r="H648" t="s">
        <v>38</v>
      </c>
      <c r="I648" t="s">
        <v>31</v>
      </c>
      <c r="J648" t="s">
        <v>38</v>
      </c>
      <c r="K648" t="s">
        <v>31</v>
      </c>
      <c r="L648" t="s">
        <v>30</v>
      </c>
      <c r="M648" t="s">
        <v>31</v>
      </c>
      <c r="N648">
        <v>245</v>
      </c>
      <c r="O648">
        <v>205</v>
      </c>
      <c r="P648">
        <v>300</v>
      </c>
      <c r="Q648">
        <v>750</v>
      </c>
      <c r="R648" s="15">
        <v>44722</v>
      </c>
      <c r="S648" t="s">
        <v>30</v>
      </c>
      <c r="T648" t="s">
        <v>31</v>
      </c>
      <c r="U648">
        <v>1824846</v>
      </c>
    </row>
    <row r="649" spans="1:21" ht="14.25" customHeight="1" x14ac:dyDescent="0.35">
      <c r="A649" t="s">
        <v>2646</v>
      </c>
      <c r="B649" t="s">
        <v>2647</v>
      </c>
      <c r="C649" t="s">
        <v>23</v>
      </c>
      <c r="D649" t="s">
        <v>65</v>
      </c>
      <c r="E649" t="s">
        <v>107</v>
      </c>
      <c r="F649" t="s">
        <v>2648</v>
      </c>
      <c r="G649" t="s">
        <v>2649</v>
      </c>
      <c r="H649" t="s">
        <v>32</v>
      </c>
      <c r="I649" t="s">
        <v>29</v>
      </c>
      <c r="J649" t="s">
        <v>30</v>
      </c>
      <c r="K649" t="s">
        <v>31</v>
      </c>
      <c r="L649" t="s">
        <v>30</v>
      </c>
      <c r="M649" t="s">
        <v>31</v>
      </c>
      <c r="N649">
        <v>485</v>
      </c>
      <c r="O649">
        <v>300</v>
      </c>
      <c r="P649">
        <v>310</v>
      </c>
      <c r="Q649">
        <v>1095</v>
      </c>
      <c r="R649" s="15">
        <v>44722</v>
      </c>
      <c r="S649" t="s">
        <v>32</v>
      </c>
      <c r="T649" t="s">
        <v>29</v>
      </c>
      <c r="U649">
        <v>1708493</v>
      </c>
    </row>
    <row r="650" spans="1:21" ht="14.25" customHeight="1" x14ac:dyDescent="0.35">
      <c r="A650" t="s">
        <v>2650</v>
      </c>
      <c r="B650" t="s">
        <v>2651</v>
      </c>
      <c r="C650" t="s">
        <v>23</v>
      </c>
      <c r="D650" t="s">
        <v>65</v>
      </c>
      <c r="E650" t="s">
        <v>1443</v>
      </c>
      <c r="F650" t="s">
        <v>2652</v>
      </c>
      <c r="G650" t="s">
        <v>2653</v>
      </c>
      <c r="H650" t="s">
        <v>28</v>
      </c>
      <c r="I650" t="s">
        <v>29</v>
      </c>
      <c r="J650" t="s">
        <v>30</v>
      </c>
      <c r="K650" t="s">
        <v>31</v>
      </c>
      <c r="L650" t="s">
        <v>30</v>
      </c>
      <c r="M650" t="s">
        <v>31</v>
      </c>
      <c r="N650">
        <v>500</v>
      </c>
      <c r="O650">
        <v>301</v>
      </c>
      <c r="P650">
        <v>300</v>
      </c>
      <c r="Q650">
        <v>1101</v>
      </c>
      <c r="R650" s="15">
        <v>44668</v>
      </c>
      <c r="S650" t="s">
        <v>32</v>
      </c>
      <c r="T650" t="s">
        <v>29</v>
      </c>
      <c r="U650">
        <v>858655</v>
      </c>
    </row>
    <row r="651" spans="1:21" ht="14.25" customHeight="1" x14ac:dyDescent="0.35">
      <c r="A651" t="s">
        <v>2654</v>
      </c>
      <c r="B651" t="s">
        <v>2655</v>
      </c>
      <c r="C651" t="s">
        <v>23</v>
      </c>
      <c r="D651" t="s">
        <v>65</v>
      </c>
      <c r="E651" t="s">
        <v>138</v>
      </c>
      <c r="F651" t="s">
        <v>2656</v>
      </c>
      <c r="G651" t="s">
        <v>2657</v>
      </c>
      <c r="H651" t="s">
        <v>38</v>
      </c>
      <c r="I651" t="s">
        <v>31</v>
      </c>
      <c r="J651" t="s">
        <v>30</v>
      </c>
      <c r="K651" t="s">
        <v>31</v>
      </c>
      <c r="L651" t="s">
        <v>38</v>
      </c>
      <c r="M651" t="s">
        <v>31</v>
      </c>
      <c r="N651">
        <v>205</v>
      </c>
      <c r="O651">
        <v>302</v>
      </c>
      <c r="P651">
        <v>210</v>
      </c>
      <c r="Q651">
        <v>717</v>
      </c>
      <c r="R651" s="15">
        <v>44669</v>
      </c>
      <c r="S651" t="s">
        <v>38</v>
      </c>
      <c r="T651" t="s">
        <v>31</v>
      </c>
      <c r="U651">
        <v>1098146</v>
      </c>
    </row>
    <row r="652" spans="1:21" ht="14.25" customHeight="1" x14ac:dyDescent="0.35">
      <c r="A652" t="s">
        <v>2658</v>
      </c>
      <c r="B652" t="s">
        <v>2659</v>
      </c>
      <c r="C652" t="s">
        <v>23</v>
      </c>
      <c r="D652" t="s">
        <v>65</v>
      </c>
      <c r="E652" t="s">
        <v>46</v>
      </c>
      <c r="F652" t="s">
        <v>2660</v>
      </c>
      <c r="G652" t="s">
        <v>2661</v>
      </c>
      <c r="H652" t="s">
        <v>38</v>
      </c>
      <c r="I652" t="s">
        <v>31</v>
      </c>
      <c r="J652" t="s">
        <v>38</v>
      </c>
      <c r="K652" t="s">
        <v>31</v>
      </c>
      <c r="L652" t="s">
        <v>38</v>
      </c>
      <c r="M652" t="s">
        <v>31</v>
      </c>
      <c r="N652">
        <v>222</v>
      </c>
      <c r="O652">
        <v>221</v>
      </c>
      <c r="P652">
        <v>208</v>
      </c>
      <c r="Q652">
        <v>651</v>
      </c>
      <c r="R652" s="15">
        <v>44722</v>
      </c>
      <c r="S652" t="s">
        <v>38</v>
      </c>
      <c r="T652" t="s">
        <v>31</v>
      </c>
      <c r="U652">
        <v>1784567</v>
      </c>
    </row>
    <row r="653" spans="1:21" ht="14.25" customHeight="1" x14ac:dyDescent="0.35">
      <c r="A653" t="s">
        <v>2662</v>
      </c>
      <c r="B653" t="s">
        <v>2663</v>
      </c>
      <c r="C653" t="s">
        <v>23</v>
      </c>
      <c r="D653" t="s">
        <v>65</v>
      </c>
      <c r="E653" t="s">
        <v>233</v>
      </c>
      <c r="F653" t="s">
        <v>2664</v>
      </c>
      <c r="G653" t="s">
        <v>2665</v>
      </c>
      <c r="H653" t="s">
        <v>28</v>
      </c>
      <c r="I653" t="s">
        <v>29</v>
      </c>
      <c r="J653" t="s">
        <v>32</v>
      </c>
      <c r="K653" t="s">
        <v>29</v>
      </c>
      <c r="L653" t="s">
        <v>30</v>
      </c>
      <c r="M653" t="s">
        <v>31</v>
      </c>
      <c r="N653">
        <v>525</v>
      </c>
      <c r="O653">
        <v>400</v>
      </c>
      <c r="P653">
        <v>300</v>
      </c>
      <c r="Q653">
        <v>1225</v>
      </c>
      <c r="R653" s="15">
        <v>44668</v>
      </c>
      <c r="S653" t="s">
        <v>28</v>
      </c>
      <c r="T653" t="s">
        <v>29</v>
      </c>
      <c r="U653">
        <v>1403431</v>
      </c>
    </row>
    <row r="654" spans="1:21" ht="14.25" customHeight="1" x14ac:dyDescent="0.35">
      <c r="A654" t="s">
        <v>2666</v>
      </c>
      <c r="B654" t="s">
        <v>2667</v>
      </c>
      <c r="C654" t="s">
        <v>23</v>
      </c>
      <c r="D654" t="s">
        <v>65</v>
      </c>
      <c r="E654" t="s">
        <v>138</v>
      </c>
      <c r="F654" t="s">
        <v>2668</v>
      </c>
      <c r="G654" t="s">
        <v>2669</v>
      </c>
      <c r="H654" t="s">
        <v>38</v>
      </c>
      <c r="I654" t="s">
        <v>31</v>
      </c>
      <c r="J654" t="s">
        <v>30</v>
      </c>
      <c r="K654" t="s">
        <v>31</v>
      </c>
      <c r="L654" t="s">
        <v>38</v>
      </c>
      <c r="M654" t="s">
        <v>31</v>
      </c>
      <c r="N654">
        <v>271</v>
      </c>
      <c r="O654">
        <v>328</v>
      </c>
      <c r="P654">
        <v>250</v>
      </c>
      <c r="Q654">
        <v>849</v>
      </c>
      <c r="R654" s="15">
        <v>44873</v>
      </c>
      <c r="S654" t="s">
        <v>30</v>
      </c>
      <c r="T654" t="s">
        <v>31</v>
      </c>
      <c r="U654">
        <v>1115055</v>
      </c>
    </row>
    <row r="655" spans="1:21" ht="14.25" customHeight="1" x14ac:dyDescent="0.35">
      <c r="A655" t="s">
        <v>2670</v>
      </c>
      <c r="B655" t="s">
        <v>2671</v>
      </c>
      <c r="C655" t="s">
        <v>23</v>
      </c>
      <c r="D655" t="s">
        <v>65</v>
      </c>
      <c r="E655" t="s">
        <v>107</v>
      </c>
      <c r="G655" t="s">
        <v>2672</v>
      </c>
      <c r="H655" t="s">
        <v>30</v>
      </c>
      <c r="I655" t="s">
        <v>31</v>
      </c>
      <c r="J655" t="s">
        <v>38</v>
      </c>
      <c r="K655" t="s">
        <v>31</v>
      </c>
      <c r="L655" t="s">
        <v>38</v>
      </c>
      <c r="M655" t="s">
        <v>31</v>
      </c>
      <c r="N655">
        <v>320</v>
      </c>
      <c r="O655">
        <v>221</v>
      </c>
      <c r="P655">
        <v>285</v>
      </c>
      <c r="Q655">
        <v>826</v>
      </c>
      <c r="R655" s="15">
        <v>44723</v>
      </c>
      <c r="S655" t="s">
        <v>30</v>
      </c>
      <c r="T655" t="s">
        <v>31</v>
      </c>
      <c r="U655">
        <v>1811764</v>
      </c>
    </row>
    <row r="656" spans="1:21" ht="14.25" customHeight="1" x14ac:dyDescent="0.35">
      <c r="A656" t="s">
        <v>2673</v>
      </c>
      <c r="B656" t="s">
        <v>2674</v>
      </c>
      <c r="C656" t="s">
        <v>23</v>
      </c>
      <c r="D656" t="s">
        <v>65</v>
      </c>
      <c r="E656" t="s">
        <v>124</v>
      </c>
      <c r="F656" t="s">
        <v>2675</v>
      </c>
      <c r="G656" t="s">
        <v>2676</v>
      </c>
      <c r="H656" t="s">
        <v>38</v>
      </c>
      <c r="I656" t="s">
        <v>31</v>
      </c>
      <c r="J656" t="s">
        <v>38</v>
      </c>
      <c r="K656" t="s">
        <v>31</v>
      </c>
      <c r="L656" t="s">
        <v>38</v>
      </c>
      <c r="M656" t="s">
        <v>31</v>
      </c>
      <c r="N656">
        <v>278</v>
      </c>
      <c r="O656">
        <v>297</v>
      </c>
      <c r="P656">
        <v>220</v>
      </c>
      <c r="Q656">
        <v>795</v>
      </c>
      <c r="R656" s="15">
        <v>44722</v>
      </c>
      <c r="S656" t="s">
        <v>30</v>
      </c>
      <c r="T656" t="s">
        <v>31</v>
      </c>
      <c r="U656">
        <v>1446159</v>
      </c>
    </row>
    <row r="657" spans="1:21" ht="14.25" customHeight="1" x14ac:dyDescent="0.35">
      <c r="A657" t="s">
        <v>2677</v>
      </c>
      <c r="B657" t="s">
        <v>2678</v>
      </c>
      <c r="C657" t="s">
        <v>23</v>
      </c>
      <c r="D657" t="s">
        <v>65</v>
      </c>
      <c r="E657" t="s">
        <v>96</v>
      </c>
      <c r="F657" t="s">
        <v>2679</v>
      </c>
      <c r="G657" t="s">
        <v>2680</v>
      </c>
      <c r="H657" t="s">
        <v>38</v>
      </c>
      <c r="I657" t="s">
        <v>31</v>
      </c>
      <c r="J657" t="s">
        <v>38</v>
      </c>
      <c r="K657" t="s">
        <v>31</v>
      </c>
      <c r="L657" t="s">
        <v>38</v>
      </c>
      <c r="M657" t="s">
        <v>31</v>
      </c>
      <c r="N657">
        <v>200</v>
      </c>
      <c r="O657">
        <v>200</v>
      </c>
      <c r="P657">
        <v>200</v>
      </c>
      <c r="Q657">
        <v>600</v>
      </c>
      <c r="R657" s="15">
        <v>44717</v>
      </c>
      <c r="S657" t="s">
        <v>38</v>
      </c>
      <c r="T657" t="s">
        <v>31</v>
      </c>
      <c r="U657">
        <v>1622345</v>
      </c>
    </row>
    <row r="658" spans="1:21" ht="14.25" customHeight="1" x14ac:dyDescent="0.35">
      <c r="A658" t="s">
        <v>2681</v>
      </c>
      <c r="B658" t="s">
        <v>2682</v>
      </c>
      <c r="C658" t="s">
        <v>23</v>
      </c>
      <c r="D658" t="s">
        <v>65</v>
      </c>
      <c r="E658" t="s">
        <v>124</v>
      </c>
      <c r="F658" t="s">
        <v>2683</v>
      </c>
      <c r="G658" t="s">
        <v>2684</v>
      </c>
      <c r="H658" t="s">
        <v>38</v>
      </c>
      <c r="I658" t="s">
        <v>31</v>
      </c>
      <c r="J658" t="s">
        <v>38</v>
      </c>
      <c r="K658" t="s">
        <v>31</v>
      </c>
      <c r="L658" t="s">
        <v>38</v>
      </c>
      <c r="M658" t="s">
        <v>31</v>
      </c>
      <c r="N658">
        <v>215</v>
      </c>
      <c r="O658">
        <v>233</v>
      </c>
      <c r="P658">
        <v>205</v>
      </c>
      <c r="Q658">
        <v>653</v>
      </c>
      <c r="R658" s="15">
        <v>44872</v>
      </c>
      <c r="S658" t="s">
        <v>38</v>
      </c>
      <c r="T658" t="s">
        <v>31</v>
      </c>
      <c r="U658">
        <v>1145197</v>
      </c>
    </row>
    <row r="659" spans="1:21" ht="14.25" customHeight="1" x14ac:dyDescent="0.35">
      <c r="A659" t="s">
        <v>2685</v>
      </c>
      <c r="B659" t="s">
        <v>2686</v>
      </c>
      <c r="C659" t="s">
        <v>23</v>
      </c>
      <c r="D659" t="s">
        <v>65</v>
      </c>
      <c r="E659" t="s">
        <v>189</v>
      </c>
      <c r="F659" t="s">
        <v>2687</v>
      </c>
      <c r="G659" t="s">
        <v>2688</v>
      </c>
      <c r="H659" t="s">
        <v>28</v>
      </c>
      <c r="I659" t="s">
        <v>29</v>
      </c>
      <c r="J659" t="s">
        <v>38</v>
      </c>
      <c r="K659" t="s">
        <v>31</v>
      </c>
      <c r="L659" t="s">
        <v>30</v>
      </c>
      <c r="M659" t="s">
        <v>31</v>
      </c>
      <c r="N659">
        <v>575</v>
      </c>
      <c r="O659">
        <v>285</v>
      </c>
      <c r="P659">
        <v>305</v>
      </c>
      <c r="Q659">
        <v>1165</v>
      </c>
      <c r="R659" s="15">
        <v>44873</v>
      </c>
      <c r="S659" t="s">
        <v>32</v>
      </c>
      <c r="T659" t="s">
        <v>29</v>
      </c>
      <c r="U659">
        <v>833640</v>
      </c>
    </row>
    <row r="660" spans="1:21" ht="14.25" customHeight="1" x14ac:dyDescent="0.35">
      <c r="A660" t="s">
        <v>2689</v>
      </c>
      <c r="B660" t="s">
        <v>2690</v>
      </c>
      <c r="C660" t="s">
        <v>23</v>
      </c>
      <c r="D660" t="s">
        <v>65</v>
      </c>
      <c r="E660" t="s">
        <v>2228</v>
      </c>
      <c r="F660" t="s">
        <v>2691</v>
      </c>
      <c r="G660" t="s">
        <v>2692</v>
      </c>
      <c r="H660" t="s">
        <v>38</v>
      </c>
      <c r="I660" t="s">
        <v>31</v>
      </c>
      <c r="J660" t="s">
        <v>38</v>
      </c>
      <c r="K660" t="s">
        <v>31</v>
      </c>
      <c r="L660" t="s">
        <v>38</v>
      </c>
      <c r="M660" t="s">
        <v>31</v>
      </c>
      <c r="N660">
        <v>233</v>
      </c>
      <c r="O660">
        <v>224</v>
      </c>
      <c r="P660">
        <v>200</v>
      </c>
      <c r="Q660">
        <v>657</v>
      </c>
      <c r="R660" s="15">
        <v>44775</v>
      </c>
      <c r="S660" t="s">
        <v>38</v>
      </c>
      <c r="T660" t="s">
        <v>31</v>
      </c>
      <c r="U660">
        <v>1015383</v>
      </c>
    </row>
    <row r="661" spans="1:21" ht="14.25" customHeight="1" x14ac:dyDescent="0.35">
      <c r="A661" t="s">
        <v>2693</v>
      </c>
      <c r="B661" t="s">
        <v>2694</v>
      </c>
      <c r="C661" t="s">
        <v>23</v>
      </c>
      <c r="D661" t="s">
        <v>65</v>
      </c>
      <c r="E661" t="s">
        <v>607</v>
      </c>
      <c r="G661" t="s">
        <v>2695</v>
      </c>
      <c r="H661" t="s">
        <v>38</v>
      </c>
      <c r="I661" t="s">
        <v>31</v>
      </c>
      <c r="J661" t="s">
        <v>38</v>
      </c>
      <c r="K661" t="s">
        <v>31</v>
      </c>
      <c r="L661" t="s">
        <v>38</v>
      </c>
      <c r="M661" t="s">
        <v>31</v>
      </c>
      <c r="N661">
        <v>200</v>
      </c>
      <c r="O661">
        <v>200</v>
      </c>
      <c r="P661">
        <v>260</v>
      </c>
      <c r="Q661">
        <v>660</v>
      </c>
      <c r="R661" s="15">
        <v>44873</v>
      </c>
      <c r="S661" t="s">
        <v>38</v>
      </c>
      <c r="T661" t="s">
        <v>31</v>
      </c>
      <c r="U661">
        <v>56868</v>
      </c>
    </row>
    <row r="662" spans="1:21" ht="14.25" customHeight="1" x14ac:dyDescent="0.35">
      <c r="A662" t="s">
        <v>2696</v>
      </c>
      <c r="B662" t="s">
        <v>2697</v>
      </c>
      <c r="C662" t="s">
        <v>23</v>
      </c>
      <c r="D662" t="s">
        <v>65</v>
      </c>
      <c r="E662" t="s">
        <v>124</v>
      </c>
      <c r="F662" t="s">
        <v>2698</v>
      </c>
      <c r="G662" t="s">
        <v>2699</v>
      </c>
      <c r="H662" t="s">
        <v>38</v>
      </c>
      <c r="I662" t="s">
        <v>31</v>
      </c>
      <c r="J662" t="s">
        <v>30</v>
      </c>
      <c r="K662" t="s">
        <v>31</v>
      </c>
      <c r="L662" t="s">
        <v>38</v>
      </c>
      <c r="M662" t="s">
        <v>31</v>
      </c>
      <c r="N662">
        <v>245</v>
      </c>
      <c r="O662">
        <v>306</v>
      </c>
      <c r="P662">
        <v>200</v>
      </c>
      <c r="Q662">
        <v>751</v>
      </c>
      <c r="R662" s="15">
        <v>44722</v>
      </c>
      <c r="S662" t="s">
        <v>30</v>
      </c>
      <c r="T662" t="s">
        <v>31</v>
      </c>
      <c r="U662">
        <v>1766400</v>
      </c>
    </row>
    <row r="663" spans="1:21" ht="14.25" customHeight="1" x14ac:dyDescent="0.35">
      <c r="A663" t="s">
        <v>2700</v>
      </c>
      <c r="B663" t="s">
        <v>2701</v>
      </c>
      <c r="C663" t="s">
        <v>23</v>
      </c>
      <c r="D663" t="s">
        <v>65</v>
      </c>
      <c r="E663" t="s">
        <v>138</v>
      </c>
      <c r="F663" t="s">
        <v>2702</v>
      </c>
      <c r="G663" t="s">
        <v>2703</v>
      </c>
      <c r="H663" t="s">
        <v>28</v>
      </c>
      <c r="I663" t="s">
        <v>29</v>
      </c>
      <c r="J663" t="s">
        <v>30</v>
      </c>
      <c r="K663" t="s">
        <v>31</v>
      </c>
      <c r="L663" t="s">
        <v>30</v>
      </c>
      <c r="M663" t="s">
        <v>31</v>
      </c>
      <c r="N663">
        <v>565</v>
      </c>
      <c r="O663">
        <v>328</v>
      </c>
      <c r="P663">
        <v>315</v>
      </c>
      <c r="Q663">
        <v>1208</v>
      </c>
      <c r="R663" s="15">
        <v>44873</v>
      </c>
      <c r="S663" t="s">
        <v>28</v>
      </c>
      <c r="T663" t="s">
        <v>29</v>
      </c>
      <c r="U663">
        <v>1028918</v>
      </c>
    </row>
    <row r="664" spans="1:21" ht="14.25" customHeight="1" x14ac:dyDescent="0.35">
      <c r="A664" t="s">
        <v>2704</v>
      </c>
      <c r="B664" t="s">
        <v>2705</v>
      </c>
      <c r="C664" t="s">
        <v>23</v>
      </c>
      <c r="D664" t="s">
        <v>65</v>
      </c>
      <c r="E664" t="s">
        <v>390</v>
      </c>
      <c r="F664" t="s">
        <v>2706</v>
      </c>
      <c r="G664" t="s">
        <v>2707</v>
      </c>
      <c r="H664" t="s">
        <v>28</v>
      </c>
      <c r="I664" t="s">
        <v>29</v>
      </c>
      <c r="J664" t="s">
        <v>38</v>
      </c>
      <c r="K664" t="s">
        <v>31</v>
      </c>
      <c r="L664" t="s">
        <v>30</v>
      </c>
      <c r="M664" t="s">
        <v>31</v>
      </c>
      <c r="N664">
        <v>500</v>
      </c>
      <c r="O664">
        <v>260</v>
      </c>
      <c r="P664">
        <v>300</v>
      </c>
      <c r="Q664">
        <v>1060</v>
      </c>
      <c r="R664" s="15">
        <v>44722</v>
      </c>
      <c r="S664" t="s">
        <v>32</v>
      </c>
      <c r="T664" t="s">
        <v>29</v>
      </c>
      <c r="U664">
        <v>914122</v>
      </c>
    </row>
    <row r="665" spans="1:21" ht="14.25" customHeight="1" x14ac:dyDescent="0.35">
      <c r="A665" t="s">
        <v>2708</v>
      </c>
      <c r="B665" t="s">
        <v>2709</v>
      </c>
      <c r="C665" t="s">
        <v>23</v>
      </c>
      <c r="D665" t="s">
        <v>65</v>
      </c>
      <c r="E665" t="s">
        <v>415</v>
      </c>
      <c r="F665" t="s">
        <v>2710</v>
      </c>
      <c r="G665" t="s">
        <v>2711</v>
      </c>
      <c r="H665" t="s">
        <v>28</v>
      </c>
      <c r="I665" t="s">
        <v>29</v>
      </c>
      <c r="J665" t="s">
        <v>30</v>
      </c>
      <c r="K665" t="s">
        <v>31</v>
      </c>
      <c r="L665" t="s">
        <v>38</v>
      </c>
      <c r="M665" t="s">
        <v>31</v>
      </c>
      <c r="N665">
        <v>500</v>
      </c>
      <c r="O665">
        <v>302</v>
      </c>
      <c r="P665">
        <v>220</v>
      </c>
      <c r="Q665">
        <v>1022</v>
      </c>
      <c r="R665" s="15">
        <v>44873</v>
      </c>
      <c r="S665" t="s">
        <v>32</v>
      </c>
      <c r="T665" t="s">
        <v>29</v>
      </c>
      <c r="U665">
        <v>802481</v>
      </c>
    </row>
    <row r="666" spans="1:21" ht="14.25" customHeight="1" x14ac:dyDescent="0.35">
      <c r="A666" t="s">
        <v>2712</v>
      </c>
      <c r="B666" t="s">
        <v>2713</v>
      </c>
      <c r="C666" t="s">
        <v>23</v>
      </c>
      <c r="D666" t="s">
        <v>65</v>
      </c>
      <c r="E666" t="s">
        <v>224</v>
      </c>
      <c r="F666" t="s">
        <v>2714</v>
      </c>
      <c r="G666" t="s">
        <v>2715</v>
      </c>
      <c r="H666" t="s">
        <v>32</v>
      </c>
      <c r="I666" t="s">
        <v>29</v>
      </c>
      <c r="J666" t="s">
        <v>30</v>
      </c>
      <c r="K666" t="s">
        <v>31</v>
      </c>
      <c r="L666" t="s">
        <v>30</v>
      </c>
      <c r="M666" t="s">
        <v>31</v>
      </c>
      <c r="N666">
        <v>473</v>
      </c>
      <c r="O666">
        <v>321</v>
      </c>
      <c r="P666">
        <v>310</v>
      </c>
      <c r="Q666">
        <v>1104</v>
      </c>
      <c r="R666" s="15">
        <v>44873</v>
      </c>
      <c r="S666" t="s">
        <v>32</v>
      </c>
      <c r="T666" t="s">
        <v>29</v>
      </c>
      <c r="U666">
        <v>1185348</v>
      </c>
    </row>
    <row r="667" spans="1:21" ht="14.25" customHeight="1" x14ac:dyDescent="0.35">
      <c r="A667" t="s">
        <v>2716</v>
      </c>
      <c r="B667" t="s">
        <v>2717</v>
      </c>
      <c r="C667" t="s">
        <v>23</v>
      </c>
      <c r="D667" t="s">
        <v>65</v>
      </c>
      <c r="E667" t="s">
        <v>96</v>
      </c>
      <c r="F667" t="s">
        <v>2718</v>
      </c>
      <c r="G667" t="s">
        <v>2719</v>
      </c>
      <c r="H667" t="s">
        <v>38</v>
      </c>
      <c r="I667" t="s">
        <v>31</v>
      </c>
      <c r="J667" t="s">
        <v>30</v>
      </c>
      <c r="K667" t="s">
        <v>31</v>
      </c>
      <c r="L667" t="s">
        <v>30</v>
      </c>
      <c r="M667" t="s">
        <v>31</v>
      </c>
      <c r="N667">
        <v>299</v>
      </c>
      <c r="O667">
        <v>305</v>
      </c>
      <c r="P667">
        <v>315</v>
      </c>
      <c r="Q667">
        <v>919</v>
      </c>
      <c r="R667" s="15">
        <v>44873</v>
      </c>
      <c r="S667" t="s">
        <v>32</v>
      </c>
      <c r="T667" t="s">
        <v>29</v>
      </c>
      <c r="U667">
        <v>1449792</v>
      </c>
    </row>
    <row r="668" spans="1:21" ht="14.25" customHeight="1" x14ac:dyDescent="0.35">
      <c r="A668" t="s">
        <v>2720</v>
      </c>
      <c r="B668" t="s">
        <v>2721</v>
      </c>
      <c r="C668" t="s">
        <v>23</v>
      </c>
      <c r="D668" t="s">
        <v>65</v>
      </c>
      <c r="E668" t="s">
        <v>107</v>
      </c>
      <c r="F668" t="s">
        <v>2722</v>
      </c>
      <c r="G668" t="s">
        <v>2723</v>
      </c>
      <c r="H668" t="s">
        <v>38</v>
      </c>
      <c r="I668" t="s">
        <v>31</v>
      </c>
      <c r="J668" t="s">
        <v>38</v>
      </c>
      <c r="K668" t="s">
        <v>31</v>
      </c>
      <c r="L668" t="s">
        <v>38</v>
      </c>
      <c r="M668" t="s">
        <v>31</v>
      </c>
      <c r="N668">
        <v>200</v>
      </c>
      <c r="O668">
        <v>215</v>
      </c>
      <c r="P668">
        <v>215</v>
      </c>
      <c r="Q668">
        <v>630</v>
      </c>
      <c r="R668" s="15">
        <v>44722</v>
      </c>
      <c r="S668" t="s">
        <v>38</v>
      </c>
      <c r="T668" t="s">
        <v>31</v>
      </c>
      <c r="U668">
        <v>1689548</v>
      </c>
    </row>
    <row r="669" spans="1:21" ht="14.25" customHeight="1" x14ac:dyDescent="0.35">
      <c r="A669" t="s">
        <v>2724</v>
      </c>
      <c r="B669" t="s">
        <v>2725</v>
      </c>
      <c r="C669" t="s">
        <v>23</v>
      </c>
      <c r="D669" t="s">
        <v>65</v>
      </c>
      <c r="E669" t="s">
        <v>124</v>
      </c>
      <c r="F669" t="s">
        <v>2726</v>
      </c>
      <c r="G669" t="s">
        <v>2727</v>
      </c>
      <c r="H669" t="s">
        <v>38</v>
      </c>
      <c r="I669" t="s">
        <v>31</v>
      </c>
      <c r="J669" t="s">
        <v>38</v>
      </c>
      <c r="K669" t="s">
        <v>31</v>
      </c>
      <c r="L669" t="s">
        <v>30</v>
      </c>
      <c r="M669" t="s">
        <v>31</v>
      </c>
      <c r="N669">
        <v>200</v>
      </c>
      <c r="O669">
        <v>224</v>
      </c>
      <c r="P669">
        <v>300</v>
      </c>
      <c r="Q669">
        <v>724</v>
      </c>
      <c r="R669" s="15">
        <v>44723</v>
      </c>
      <c r="S669" t="s">
        <v>38</v>
      </c>
      <c r="T669" t="s">
        <v>31</v>
      </c>
      <c r="U669">
        <v>1588978</v>
      </c>
    </row>
    <row r="670" spans="1:21" ht="14.25" customHeight="1" x14ac:dyDescent="0.35">
      <c r="A670" t="s">
        <v>2728</v>
      </c>
      <c r="B670" t="s">
        <v>2729</v>
      </c>
      <c r="C670" t="s">
        <v>23</v>
      </c>
      <c r="D670" t="s">
        <v>65</v>
      </c>
      <c r="E670" t="s">
        <v>596</v>
      </c>
      <c r="F670" t="s">
        <v>2730</v>
      </c>
      <c r="G670" t="s">
        <v>2731</v>
      </c>
      <c r="H670" t="s">
        <v>38</v>
      </c>
      <c r="I670" t="s">
        <v>31</v>
      </c>
      <c r="J670" t="s">
        <v>38</v>
      </c>
      <c r="K670" t="s">
        <v>31</v>
      </c>
      <c r="L670" t="s">
        <v>38</v>
      </c>
      <c r="M670" t="s">
        <v>31</v>
      </c>
      <c r="N670">
        <v>225</v>
      </c>
      <c r="O670">
        <v>227</v>
      </c>
      <c r="P670">
        <v>215</v>
      </c>
      <c r="Q670">
        <v>667</v>
      </c>
      <c r="R670" s="15">
        <v>44722</v>
      </c>
      <c r="S670" t="s">
        <v>38</v>
      </c>
      <c r="T670" t="s">
        <v>31</v>
      </c>
      <c r="U670">
        <v>1784535</v>
      </c>
    </row>
    <row r="671" spans="1:21" ht="14.25" customHeight="1" x14ac:dyDescent="0.35">
      <c r="A671" t="s">
        <v>2732</v>
      </c>
      <c r="B671" t="s">
        <v>2733</v>
      </c>
      <c r="C671" t="s">
        <v>23</v>
      </c>
      <c r="D671" t="s">
        <v>65</v>
      </c>
      <c r="E671" t="s">
        <v>104</v>
      </c>
      <c r="H671" t="s">
        <v>38</v>
      </c>
      <c r="I671" t="s">
        <v>31</v>
      </c>
      <c r="J671" t="s">
        <v>38</v>
      </c>
      <c r="K671" t="s">
        <v>31</v>
      </c>
      <c r="L671" t="s">
        <v>38</v>
      </c>
      <c r="M671" t="s">
        <v>31</v>
      </c>
      <c r="N671">
        <v>245</v>
      </c>
      <c r="O671">
        <v>203</v>
      </c>
      <c r="P671">
        <v>265</v>
      </c>
      <c r="Q671">
        <v>713</v>
      </c>
      <c r="R671" s="15">
        <v>44673</v>
      </c>
      <c r="S671" t="s">
        <v>38</v>
      </c>
      <c r="T671" t="s">
        <v>31</v>
      </c>
      <c r="U671">
        <v>1876431</v>
      </c>
    </row>
    <row r="672" spans="1:21" ht="14.25" customHeight="1" x14ac:dyDescent="0.35">
      <c r="A672" t="s">
        <v>2734</v>
      </c>
      <c r="B672" t="s">
        <v>2735</v>
      </c>
      <c r="C672" t="s">
        <v>23</v>
      </c>
      <c r="D672" t="s">
        <v>65</v>
      </c>
      <c r="E672" t="s">
        <v>66</v>
      </c>
      <c r="F672" t="s">
        <v>2736</v>
      </c>
      <c r="G672" t="s">
        <v>2737</v>
      </c>
      <c r="H672" t="s">
        <v>30</v>
      </c>
      <c r="I672" t="s">
        <v>31</v>
      </c>
      <c r="J672" t="s">
        <v>38</v>
      </c>
      <c r="K672" t="s">
        <v>31</v>
      </c>
      <c r="L672" t="s">
        <v>38</v>
      </c>
      <c r="M672" t="s">
        <v>31</v>
      </c>
      <c r="N672">
        <v>365</v>
      </c>
      <c r="O672">
        <v>297</v>
      </c>
      <c r="P672">
        <v>250</v>
      </c>
      <c r="Q672">
        <v>912</v>
      </c>
      <c r="R672" s="15">
        <v>44722</v>
      </c>
      <c r="S672" t="s">
        <v>32</v>
      </c>
      <c r="T672" t="s">
        <v>29</v>
      </c>
      <c r="U672">
        <v>1046568</v>
      </c>
    </row>
    <row r="673" spans="1:21" ht="14.25" customHeight="1" x14ac:dyDescent="0.35">
      <c r="A673" t="s">
        <v>2738</v>
      </c>
      <c r="B673" t="s">
        <v>2739</v>
      </c>
      <c r="C673" t="s">
        <v>23</v>
      </c>
      <c r="D673" t="s">
        <v>65</v>
      </c>
      <c r="E673" t="s">
        <v>46</v>
      </c>
      <c r="G673" t="s">
        <v>2740</v>
      </c>
      <c r="H673" t="s">
        <v>30</v>
      </c>
      <c r="I673" t="s">
        <v>31</v>
      </c>
      <c r="J673" t="s">
        <v>30</v>
      </c>
      <c r="K673" t="s">
        <v>31</v>
      </c>
      <c r="L673" t="s">
        <v>30</v>
      </c>
      <c r="M673" t="s">
        <v>31</v>
      </c>
      <c r="N673">
        <v>340</v>
      </c>
      <c r="O673">
        <v>346</v>
      </c>
      <c r="P673">
        <v>305</v>
      </c>
      <c r="Q673">
        <v>991</v>
      </c>
      <c r="R673" s="15">
        <v>44723</v>
      </c>
      <c r="S673" t="s">
        <v>32</v>
      </c>
      <c r="T673" t="s">
        <v>29</v>
      </c>
      <c r="U673">
        <v>1300734</v>
      </c>
    </row>
    <row r="674" spans="1:21" ht="14.25" customHeight="1" x14ac:dyDescent="0.35">
      <c r="A674" t="s">
        <v>2741</v>
      </c>
      <c r="B674" t="s">
        <v>2742</v>
      </c>
      <c r="C674" t="s">
        <v>23</v>
      </c>
      <c r="D674" t="s">
        <v>65</v>
      </c>
      <c r="E674" t="s">
        <v>189</v>
      </c>
      <c r="F674" t="s">
        <v>2743</v>
      </c>
      <c r="G674" t="s">
        <v>2744</v>
      </c>
      <c r="H674" t="s">
        <v>28</v>
      </c>
      <c r="I674" t="s">
        <v>29</v>
      </c>
      <c r="J674" t="s">
        <v>30</v>
      </c>
      <c r="K674" t="s">
        <v>31</v>
      </c>
      <c r="L674" t="s">
        <v>30</v>
      </c>
      <c r="M674" t="s">
        <v>31</v>
      </c>
      <c r="N674">
        <v>505</v>
      </c>
      <c r="O674">
        <v>304</v>
      </c>
      <c r="P674">
        <v>300</v>
      </c>
      <c r="Q674">
        <v>1109</v>
      </c>
      <c r="R674" s="15">
        <v>44722</v>
      </c>
      <c r="S674" t="s">
        <v>32</v>
      </c>
      <c r="T674" t="s">
        <v>29</v>
      </c>
      <c r="U674">
        <v>1451809</v>
      </c>
    </row>
    <row r="675" spans="1:21" ht="14.25" customHeight="1" x14ac:dyDescent="0.35">
      <c r="A675" t="s">
        <v>2745</v>
      </c>
      <c r="B675" t="s">
        <v>2746</v>
      </c>
      <c r="C675" t="s">
        <v>23</v>
      </c>
      <c r="D675" t="s">
        <v>65</v>
      </c>
      <c r="E675" t="s">
        <v>25</v>
      </c>
      <c r="F675" t="s">
        <v>2747</v>
      </c>
      <c r="G675" t="s">
        <v>2748</v>
      </c>
      <c r="H675" t="s">
        <v>38</v>
      </c>
      <c r="I675" t="s">
        <v>31</v>
      </c>
      <c r="J675" t="s">
        <v>30</v>
      </c>
      <c r="K675" t="s">
        <v>31</v>
      </c>
      <c r="L675" t="s">
        <v>38</v>
      </c>
      <c r="M675" t="s">
        <v>31</v>
      </c>
      <c r="N675">
        <v>240</v>
      </c>
      <c r="O675">
        <v>302</v>
      </c>
      <c r="P675">
        <v>205</v>
      </c>
      <c r="Q675">
        <v>747</v>
      </c>
      <c r="R675" s="15">
        <v>44873</v>
      </c>
      <c r="S675" t="s">
        <v>38</v>
      </c>
      <c r="T675" t="s">
        <v>31</v>
      </c>
      <c r="U675">
        <v>908937</v>
      </c>
    </row>
    <row r="676" spans="1:21" ht="14.25" customHeight="1" x14ac:dyDescent="0.35">
      <c r="A676" t="s">
        <v>2749</v>
      </c>
      <c r="B676" t="s">
        <v>2750</v>
      </c>
      <c r="C676" t="s">
        <v>64</v>
      </c>
      <c r="D676" t="s">
        <v>65</v>
      </c>
      <c r="E676" t="s">
        <v>25</v>
      </c>
      <c r="H676" t="s">
        <v>38</v>
      </c>
      <c r="I676" t="s">
        <v>31</v>
      </c>
      <c r="J676" t="s">
        <v>30</v>
      </c>
      <c r="K676" t="s">
        <v>31</v>
      </c>
      <c r="L676" t="s">
        <v>38</v>
      </c>
      <c r="M676" t="s">
        <v>31</v>
      </c>
      <c r="N676">
        <v>260</v>
      </c>
      <c r="O676">
        <v>320</v>
      </c>
      <c r="P676">
        <v>240</v>
      </c>
      <c r="Q676">
        <v>820</v>
      </c>
      <c r="R676" s="15">
        <v>44722</v>
      </c>
      <c r="S676" t="s">
        <v>30</v>
      </c>
      <c r="T676" t="s">
        <v>31</v>
      </c>
      <c r="U676">
        <v>1753673</v>
      </c>
    </row>
    <row r="677" spans="1:21" ht="14.25" customHeight="1" x14ac:dyDescent="0.35">
      <c r="A677" t="s">
        <v>2751</v>
      </c>
      <c r="B677" t="s">
        <v>2752</v>
      </c>
      <c r="C677" t="s">
        <v>23</v>
      </c>
      <c r="D677" t="s">
        <v>65</v>
      </c>
      <c r="E677" t="s">
        <v>104</v>
      </c>
      <c r="H677" t="s">
        <v>38</v>
      </c>
      <c r="I677" t="s">
        <v>31</v>
      </c>
      <c r="J677" t="s">
        <v>38</v>
      </c>
      <c r="K677" t="s">
        <v>31</v>
      </c>
      <c r="L677" t="s">
        <v>38</v>
      </c>
      <c r="M677" t="s">
        <v>31</v>
      </c>
      <c r="N677">
        <v>235</v>
      </c>
      <c r="O677">
        <v>231</v>
      </c>
      <c r="P677">
        <v>250</v>
      </c>
      <c r="Q677">
        <v>716</v>
      </c>
      <c r="R677" s="15">
        <v>44671</v>
      </c>
      <c r="S677" t="s">
        <v>38</v>
      </c>
      <c r="T677" t="s">
        <v>31</v>
      </c>
      <c r="U677">
        <v>1829427</v>
      </c>
    </row>
    <row r="678" spans="1:21" ht="14.25" customHeight="1" x14ac:dyDescent="0.35">
      <c r="A678" t="s">
        <v>2753</v>
      </c>
      <c r="B678" t="s">
        <v>2754</v>
      </c>
      <c r="C678" t="s">
        <v>23</v>
      </c>
      <c r="D678" t="s">
        <v>65</v>
      </c>
      <c r="E678" t="s">
        <v>96</v>
      </c>
      <c r="F678" t="s">
        <v>2755</v>
      </c>
      <c r="G678" t="s">
        <v>2756</v>
      </c>
      <c r="H678" t="s">
        <v>28</v>
      </c>
      <c r="I678" t="s">
        <v>29</v>
      </c>
      <c r="J678" t="s">
        <v>38</v>
      </c>
      <c r="K678" t="s">
        <v>31</v>
      </c>
      <c r="L678" t="s">
        <v>38</v>
      </c>
      <c r="M678" t="s">
        <v>31</v>
      </c>
      <c r="N678">
        <v>500</v>
      </c>
      <c r="O678">
        <v>240</v>
      </c>
      <c r="P678">
        <v>215</v>
      </c>
      <c r="Q678">
        <v>955</v>
      </c>
      <c r="R678" s="15">
        <v>44873</v>
      </c>
      <c r="S678" t="s">
        <v>32</v>
      </c>
      <c r="T678" t="s">
        <v>29</v>
      </c>
      <c r="U678">
        <v>80420</v>
      </c>
    </row>
    <row r="679" spans="1:21" ht="14.25" customHeight="1" x14ac:dyDescent="0.35">
      <c r="A679" t="s">
        <v>2757</v>
      </c>
      <c r="B679" t="s">
        <v>2758</v>
      </c>
      <c r="C679" t="s">
        <v>23</v>
      </c>
      <c r="D679" t="s">
        <v>65</v>
      </c>
      <c r="E679" t="s">
        <v>926</v>
      </c>
      <c r="F679" t="s">
        <v>2759</v>
      </c>
      <c r="G679" t="s">
        <v>2760</v>
      </c>
      <c r="H679" t="s">
        <v>38</v>
      </c>
      <c r="I679" t="s">
        <v>31</v>
      </c>
      <c r="J679" t="s">
        <v>38</v>
      </c>
      <c r="K679" t="s">
        <v>31</v>
      </c>
      <c r="L679" t="s">
        <v>38</v>
      </c>
      <c r="M679" t="s">
        <v>31</v>
      </c>
      <c r="N679">
        <v>275</v>
      </c>
      <c r="O679">
        <v>264</v>
      </c>
      <c r="P679">
        <v>278</v>
      </c>
      <c r="Q679">
        <v>817</v>
      </c>
      <c r="R679" s="15">
        <v>44722</v>
      </c>
      <c r="S679" t="s">
        <v>30</v>
      </c>
      <c r="T679" t="s">
        <v>31</v>
      </c>
      <c r="U679">
        <v>1627475</v>
      </c>
    </row>
    <row r="680" spans="1:21" ht="14.25" customHeight="1" x14ac:dyDescent="0.35">
      <c r="A680" t="s">
        <v>2761</v>
      </c>
      <c r="B680" t="s">
        <v>2762</v>
      </c>
      <c r="C680" t="s">
        <v>23</v>
      </c>
      <c r="D680" t="s">
        <v>65</v>
      </c>
      <c r="E680" t="s">
        <v>652</v>
      </c>
      <c r="F680" t="s">
        <v>2763</v>
      </c>
      <c r="G680" t="s">
        <v>2764</v>
      </c>
      <c r="H680" t="s">
        <v>28</v>
      </c>
      <c r="I680" t="s">
        <v>29</v>
      </c>
      <c r="J680" t="s">
        <v>30</v>
      </c>
      <c r="K680" t="s">
        <v>31</v>
      </c>
      <c r="L680" t="s">
        <v>30</v>
      </c>
      <c r="M680" t="s">
        <v>31</v>
      </c>
      <c r="N680">
        <v>532</v>
      </c>
      <c r="O680">
        <v>311</v>
      </c>
      <c r="P680">
        <v>303</v>
      </c>
      <c r="Q680">
        <v>1146</v>
      </c>
      <c r="R680" s="15">
        <v>44873</v>
      </c>
      <c r="S680" t="s">
        <v>32</v>
      </c>
      <c r="T680" t="s">
        <v>29</v>
      </c>
      <c r="U680">
        <v>883945</v>
      </c>
    </row>
    <row r="681" spans="1:21" ht="14.25" customHeight="1" x14ac:dyDescent="0.35">
      <c r="A681" t="s">
        <v>2765</v>
      </c>
      <c r="B681" t="s">
        <v>2766</v>
      </c>
      <c r="C681" t="s">
        <v>23</v>
      </c>
      <c r="D681" t="s">
        <v>65</v>
      </c>
      <c r="E681" t="s">
        <v>1443</v>
      </c>
      <c r="F681" t="s">
        <v>2767</v>
      </c>
      <c r="G681" t="s">
        <v>2768</v>
      </c>
      <c r="H681" t="s">
        <v>32</v>
      </c>
      <c r="I681" t="s">
        <v>29</v>
      </c>
      <c r="J681" t="s">
        <v>38</v>
      </c>
      <c r="K681" t="s">
        <v>31</v>
      </c>
      <c r="L681" t="s">
        <v>30</v>
      </c>
      <c r="M681" t="s">
        <v>31</v>
      </c>
      <c r="N681">
        <v>400</v>
      </c>
      <c r="O681">
        <v>240</v>
      </c>
      <c r="P681">
        <v>300</v>
      </c>
      <c r="Q681">
        <v>940</v>
      </c>
      <c r="R681" s="15">
        <v>44722</v>
      </c>
      <c r="S681" t="s">
        <v>32</v>
      </c>
      <c r="T681" t="s">
        <v>29</v>
      </c>
      <c r="U681">
        <v>27093</v>
      </c>
    </row>
    <row r="682" spans="1:21" ht="14.25" customHeight="1" x14ac:dyDescent="0.35">
      <c r="A682" t="s">
        <v>2769</v>
      </c>
      <c r="B682" t="s">
        <v>2770</v>
      </c>
      <c r="C682" t="s">
        <v>23</v>
      </c>
      <c r="D682" t="s">
        <v>65</v>
      </c>
      <c r="E682" t="s">
        <v>1443</v>
      </c>
      <c r="F682" t="s">
        <v>2771</v>
      </c>
      <c r="G682" t="s">
        <v>2772</v>
      </c>
      <c r="H682" t="s">
        <v>38</v>
      </c>
      <c r="I682" t="s">
        <v>31</v>
      </c>
      <c r="J682" t="s">
        <v>38</v>
      </c>
      <c r="K682" t="s">
        <v>31</v>
      </c>
      <c r="L682" t="s">
        <v>38</v>
      </c>
      <c r="M682" t="s">
        <v>31</v>
      </c>
      <c r="N682">
        <v>238</v>
      </c>
      <c r="O682">
        <v>231</v>
      </c>
      <c r="P682">
        <v>200</v>
      </c>
      <c r="Q682">
        <v>669</v>
      </c>
      <c r="R682" s="15">
        <v>44873</v>
      </c>
      <c r="S682" t="s">
        <v>38</v>
      </c>
      <c r="T682" t="s">
        <v>31</v>
      </c>
      <c r="U682">
        <v>931584</v>
      </c>
    </row>
    <row r="683" spans="1:21" ht="14.25" customHeight="1" x14ac:dyDescent="0.35">
      <c r="A683" t="s">
        <v>2773</v>
      </c>
      <c r="B683" t="s">
        <v>2774</v>
      </c>
      <c r="C683" t="s">
        <v>23</v>
      </c>
      <c r="D683" t="s">
        <v>65</v>
      </c>
      <c r="E683" t="s">
        <v>607</v>
      </c>
      <c r="F683" t="s">
        <v>2775</v>
      </c>
      <c r="G683" t="s">
        <v>2776</v>
      </c>
      <c r="H683" t="s">
        <v>32</v>
      </c>
      <c r="I683" t="s">
        <v>29</v>
      </c>
      <c r="J683" t="s">
        <v>38</v>
      </c>
      <c r="K683" t="s">
        <v>31</v>
      </c>
      <c r="L683" t="s">
        <v>30</v>
      </c>
      <c r="M683" t="s">
        <v>31</v>
      </c>
      <c r="N683">
        <v>438</v>
      </c>
      <c r="O683">
        <v>265</v>
      </c>
      <c r="P683">
        <v>315</v>
      </c>
      <c r="Q683">
        <v>1018</v>
      </c>
      <c r="R683" s="15">
        <v>44873</v>
      </c>
      <c r="S683" t="s">
        <v>32</v>
      </c>
      <c r="T683" t="s">
        <v>29</v>
      </c>
      <c r="U683">
        <v>101594</v>
      </c>
    </row>
    <row r="684" spans="1:21" ht="14.25" customHeight="1" x14ac:dyDescent="0.35">
      <c r="A684" t="s">
        <v>2777</v>
      </c>
      <c r="B684" t="s">
        <v>2778</v>
      </c>
      <c r="C684" t="s">
        <v>23</v>
      </c>
      <c r="D684" t="s">
        <v>65</v>
      </c>
      <c r="E684" t="s">
        <v>91</v>
      </c>
      <c r="F684" t="s">
        <v>2779</v>
      </c>
      <c r="G684" t="s">
        <v>2780</v>
      </c>
      <c r="H684" t="s">
        <v>38</v>
      </c>
      <c r="I684" t="s">
        <v>31</v>
      </c>
      <c r="J684" t="s">
        <v>38</v>
      </c>
      <c r="K684" t="s">
        <v>31</v>
      </c>
      <c r="L684" t="s">
        <v>38</v>
      </c>
      <c r="M684" t="s">
        <v>31</v>
      </c>
      <c r="N684">
        <v>285</v>
      </c>
      <c r="O684">
        <v>245</v>
      </c>
      <c r="P684">
        <v>240</v>
      </c>
      <c r="Q684">
        <v>770</v>
      </c>
      <c r="R684" s="15">
        <v>44722</v>
      </c>
      <c r="S684" t="s">
        <v>30</v>
      </c>
      <c r="T684" t="s">
        <v>31</v>
      </c>
      <c r="U684">
        <v>1088034</v>
      </c>
    </row>
    <row r="685" spans="1:21" ht="14.25" customHeight="1" x14ac:dyDescent="0.35">
      <c r="A685" t="s">
        <v>2781</v>
      </c>
      <c r="B685" t="s">
        <v>2782</v>
      </c>
      <c r="C685" t="s">
        <v>23</v>
      </c>
      <c r="D685" t="s">
        <v>65</v>
      </c>
      <c r="E685" t="s">
        <v>107</v>
      </c>
      <c r="F685" t="s">
        <v>2783</v>
      </c>
      <c r="G685" t="s">
        <v>2784</v>
      </c>
      <c r="H685" t="s">
        <v>38</v>
      </c>
      <c r="I685" t="s">
        <v>31</v>
      </c>
      <c r="J685" t="s">
        <v>38</v>
      </c>
      <c r="K685" t="s">
        <v>31</v>
      </c>
      <c r="L685" t="s">
        <v>30</v>
      </c>
      <c r="M685" t="s">
        <v>31</v>
      </c>
      <c r="N685">
        <v>233</v>
      </c>
      <c r="O685">
        <v>259</v>
      </c>
      <c r="P685">
        <v>300</v>
      </c>
      <c r="Q685">
        <v>792</v>
      </c>
      <c r="R685" s="15">
        <v>44873</v>
      </c>
      <c r="S685" t="s">
        <v>30</v>
      </c>
      <c r="T685" t="s">
        <v>31</v>
      </c>
      <c r="U685">
        <v>1082554</v>
      </c>
    </row>
    <row r="686" spans="1:21" ht="14.25" customHeight="1" x14ac:dyDescent="0.35">
      <c r="A686" t="s">
        <v>2785</v>
      </c>
      <c r="B686" t="s">
        <v>2786</v>
      </c>
      <c r="C686" t="s">
        <v>23</v>
      </c>
      <c r="D686" t="s">
        <v>65</v>
      </c>
      <c r="E686" t="s">
        <v>107</v>
      </c>
      <c r="F686" t="s">
        <v>2787</v>
      </c>
      <c r="G686" t="s">
        <v>2788</v>
      </c>
      <c r="H686" t="s">
        <v>38</v>
      </c>
      <c r="I686" t="s">
        <v>31</v>
      </c>
      <c r="J686" t="s">
        <v>38</v>
      </c>
      <c r="K686" t="s">
        <v>31</v>
      </c>
      <c r="L686" t="s">
        <v>38</v>
      </c>
      <c r="M686" t="s">
        <v>31</v>
      </c>
      <c r="N686">
        <v>210</v>
      </c>
      <c r="O686">
        <v>251</v>
      </c>
      <c r="P686">
        <v>290</v>
      </c>
      <c r="Q686">
        <v>751</v>
      </c>
      <c r="R686" s="15">
        <v>44722</v>
      </c>
      <c r="S686" t="s">
        <v>30</v>
      </c>
      <c r="T686" t="s">
        <v>31</v>
      </c>
      <c r="U686">
        <v>1668243</v>
      </c>
    </row>
    <row r="687" spans="1:21" ht="14.25" customHeight="1" x14ac:dyDescent="0.35">
      <c r="A687" t="s">
        <v>2789</v>
      </c>
      <c r="B687" t="s">
        <v>2790</v>
      </c>
      <c r="C687" t="s">
        <v>23</v>
      </c>
      <c r="D687" t="s">
        <v>65</v>
      </c>
      <c r="E687" t="s">
        <v>596</v>
      </c>
      <c r="F687" t="s">
        <v>2791</v>
      </c>
      <c r="G687" t="s">
        <v>2792</v>
      </c>
      <c r="H687" t="s">
        <v>30</v>
      </c>
      <c r="I687" t="s">
        <v>31</v>
      </c>
      <c r="J687" t="s">
        <v>30</v>
      </c>
      <c r="K687" t="s">
        <v>31</v>
      </c>
      <c r="L687" t="s">
        <v>30</v>
      </c>
      <c r="M687" t="s">
        <v>31</v>
      </c>
      <c r="N687">
        <v>335</v>
      </c>
      <c r="O687">
        <v>300</v>
      </c>
      <c r="P687">
        <v>300</v>
      </c>
      <c r="Q687">
        <v>935</v>
      </c>
      <c r="R687" s="15">
        <v>44873</v>
      </c>
      <c r="S687" t="s">
        <v>32</v>
      </c>
      <c r="T687" t="s">
        <v>29</v>
      </c>
      <c r="U687">
        <v>912615</v>
      </c>
    </row>
    <row r="688" spans="1:21" ht="14.25" customHeight="1" x14ac:dyDescent="0.35">
      <c r="A688" t="s">
        <v>2793</v>
      </c>
      <c r="B688" t="s">
        <v>2794</v>
      </c>
      <c r="C688" t="s">
        <v>64</v>
      </c>
      <c r="D688" t="s">
        <v>65</v>
      </c>
      <c r="E688" t="s">
        <v>96</v>
      </c>
      <c r="F688" t="s">
        <v>2795</v>
      </c>
      <c r="G688" t="s">
        <v>2796</v>
      </c>
      <c r="H688" t="s">
        <v>38</v>
      </c>
      <c r="I688" t="s">
        <v>31</v>
      </c>
      <c r="J688" t="s">
        <v>38</v>
      </c>
      <c r="K688" t="s">
        <v>31</v>
      </c>
      <c r="L688" t="s">
        <v>38</v>
      </c>
      <c r="M688" t="s">
        <v>31</v>
      </c>
      <c r="N688">
        <v>217</v>
      </c>
      <c r="O688">
        <v>200</v>
      </c>
      <c r="P688">
        <v>200</v>
      </c>
      <c r="Q688">
        <v>617</v>
      </c>
      <c r="R688" s="15">
        <v>44722</v>
      </c>
      <c r="S688" t="s">
        <v>38</v>
      </c>
      <c r="T688" t="s">
        <v>31</v>
      </c>
      <c r="U688">
        <v>1789299</v>
      </c>
    </row>
    <row r="689" spans="1:21" ht="14.25" customHeight="1" x14ac:dyDescent="0.35">
      <c r="A689" t="s">
        <v>2797</v>
      </c>
      <c r="B689" t="s">
        <v>2798</v>
      </c>
      <c r="C689" t="s">
        <v>23</v>
      </c>
      <c r="D689" t="s">
        <v>65</v>
      </c>
      <c r="E689" t="s">
        <v>124</v>
      </c>
      <c r="F689" t="s">
        <v>2799</v>
      </c>
      <c r="G689" t="s">
        <v>2800</v>
      </c>
      <c r="H689" t="s">
        <v>38</v>
      </c>
      <c r="I689" t="s">
        <v>31</v>
      </c>
      <c r="J689" t="s">
        <v>38</v>
      </c>
      <c r="K689" t="s">
        <v>31</v>
      </c>
      <c r="L689" t="s">
        <v>38</v>
      </c>
      <c r="M689" t="s">
        <v>31</v>
      </c>
      <c r="N689">
        <v>205</v>
      </c>
      <c r="O689">
        <v>201</v>
      </c>
      <c r="P689">
        <v>210</v>
      </c>
      <c r="Q689">
        <v>616</v>
      </c>
      <c r="R689" s="15">
        <v>44723</v>
      </c>
      <c r="S689" t="s">
        <v>38</v>
      </c>
      <c r="T689" t="s">
        <v>31</v>
      </c>
      <c r="U689">
        <v>1452965</v>
      </c>
    </row>
    <row r="690" spans="1:21" ht="14.25" customHeight="1" x14ac:dyDescent="0.35">
      <c r="A690" t="s">
        <v>2801</v>
      </c>
      <c r="B690" t="s">
        <v>2802</v>
      </c>
      <c r="C690" t="s">
        <v>23</v>
      </c>
      <c r="D690" t="s">
        <v>65</v>
      </c>
      <c r="E690" t="s">
        <v>81</v>
      </c>
      <c r="F690" t="s">
        <v>2803</v>
      </c>
      <c r="G690" t="s">
        <v>2804</v>
      </c>
      <c r="H690" t="s">
        <v>30</v>
      </c>
      <c r="I690" t="s">
        <v>31</v>
      </c>
      <c r="J690" t="s">
        <v>30</v>
      </c>
      <c r="K690" t="s">
        <v>31</v>
      </c>
      <c r="L690" t="s">
        <v>30</v>
      </c>
      <c r="M690" t="s">
        <v>31</v>
      </c>
      <c r="N690">
        <v>340</v>
      </c>
      <c r="O690">
        <v>310</v>
      </c>
      <c r="P690">
        <v>365</v>
      </c>
      <c r="Q690">
        <v>1015</v>
      </c>
      <c r="R690" s="15">
        <v>44873</v>
      </c>
      <c r="S690" t="s">
        <v>32</v>
      </c>
      <c r="T690" t="s">
        <v>29</v>
      </c>
      <c r="U690">
        <v>1030471</v>
      </c>
    </row>
    <row r="691" spans="1:21" ht="14.25" customHeight="1" x14ac:dyDescent="0.35">
      <c r="A691" t="s">
        <v>2805</v>
      </c>
      <c r="B691" t="s">
        <v>2806</v>
      </c>
      <c r="C691" t="s">
        <v>64</v>
      </c>
      <c r="D691" t="s">
        <v>65</v>
      </c>
      <c r="E691" t="s">
        <v>596</v>
      </c>
      <c r="F691" t="s">
        <v>2807</v>
      </c>
      <c r="G691" t="s">
        <v>2808</v>
      </c>
      <c r="H691" t="s">
        <v>38</v>
      </c>
      <c r="I691" t="s">
        <v>31</v>
      </c>
      <c r="J691" t="s">
        <v>38</v>
      </c>
      <c r="K691" t="s">
        <v>31</v>
      </c>
      <c r="L691" t="s">
        <v>38</v>
      </c>
      <c r="M691" t="s">
        <v>31</v>
      </c>
      <c r="N691">
        <v>203</v>
      </c>
      <c r="O691">
        <v>202</v>
      </c>
      <c r="P691">
        <v>225</v>
      </c>
      <c r="Q691">
        <v>630</v>
      </c>
      <c r="R691" s="15">
        <v>44722</v>
      </c>
      <c r="S691" t="s">
        <v>38</v>
      </c>
      <c r="T691" t="s">
        <v>31</v>
      </c>
      <c r="U691">
        <v>1729173</v>
      </c>
    </row>
    <row r="692" spans="1:21" ht="14.25" customHeight="1" x14ac:dyDescent="0.35">
      <c r="A692" t="s">
        <v>2809</v>
      </c>
      <c r="B692" t="s">
        <v>2810</v>
      </c>
      <c r="C692" t="s">
        <v>23</v>
      </c>
      <c r="D692" t="s">
        <v>65</v>
      </c>
      <c r="E692" t="s">
        <v>138</v>
      </c>
      <c r="F692" t="s">
        <v>2811</v>
      </c>
      <c r="G692" t="s">
        <v>2812</v>
      </c>
      <c r="H692" t="s">
        <v>30</v>
      </c>
      <c r="I692" t="s">
        <v>31</v>
      </c>
      <c r="J692" t="s">
        <v>30</v>
      </c>
      <c r="K692" t="s">
        <v>31</v>
      </c>
      <c r="L692" t="s">
        <v>30</v>
      </c>
      <c r="M692" t="s">
        <v>31</v>
      </c>
      <c r="N692">
        <v>331</v>
      </c>
      <c r="O692">
        <v>322</v>
      </c>
      <c r="P692">
        <v>305</v>
      </c>
      <c r="Q692">
        <v>958</v>
      </c>
      <c r="R692" s="15">
        <v>44873</v>
      </c>
      <c r="S692" t="s">
        <v>32</v>
      </c>
      <c r="T692" t="s">
        <v>29</v>
      </c>
      <c r="U692">
        <v>102212</v>
      </c>
    </row>
    <row r="693" spans="1:21" ht="14.25" customHeight="1" x14ac:dyDescent="0.35">
      <c r="A693" t="s">
        <v>2813</v>
      </c>
      <c r="B693" t="s">
        <v>2814</v>
      </c>
      <c r="C693" t="s">
        <v>64</v>
      </c>
      <c r="D693" t="s">
        <v>24</v>
      </c>
      <c r="E693" t="s">
        <v>91</v>
      </c>
      <c r="F693" t="s">
        <v>2815</v>
      </c>
      <c r="G693" t="s">
        <v>2816</v>
      </c>
      <c r="H693" t="s">
        <v>38</v>
      </c>
      <c r="I693" t="s">
        <v>31</v>
      </c>
      <c r="J693" t="s">
        <v>38</v>
      </c>
      <c r="K693" t="s">
        <v>31</v>
      </c>
      <c r="L693" t="s">
        <v>38</v>
      </c>
      <c r="M693" t="s">
        <v>31</v>
      </c>
      <c r="N693">
        <v>205</v>
      </c>
      <c r="O693">
        <v>214</v>
      </c>
      <c r="P693">
        <v>215</v>
      </c>
      <c r="Q693">
        <v>634</v>
      </c>
      <c r="R693" s="15">
        <v>44872</v>
      </c>
      <c r="S693" t="s">
        <v>38</v>
      </c>
      <c r="T693" t="s">
        <v>31</v>
      </c>
      <c r="U693">
        <v>1597835</v>
      </c>
    </row>
    <row r="694" spans="1:21" ht="14.25" customHeight="1" x14ac:dyDescent="0.35">
      <c r="A694" t="s">
        <v>2817</v>
      </c>
      <c r="B694" t="s">
        <v>2818</v>
      </c>
      <c r="C694" t="s">
        <v>23</v>
      </c>
      <c r="D694" t="s">
        <v>24</v>
      </c>
      <c r="E694" t="s">
        <v>1443</v>
      </c>
      <c r="F694" t="s">
        <v>2819</v>
      </c>
      <c r="G694" t="s">
        <v>2820</v>
      </c>
      <c r="H694" t="s">
        <v>38</v>
      </c>
      <c r="I694" t="s">
        <v>31</v>
      </c>
      <c r="J694" t="s">
        <v>38</v>
      </c>
      <c r="K694" t="s">
        <v>31</v>
      </c>
      <c r="L694" t="s">
        <v>38</v>
      </c>
      <c r="M694" t="s">
        <v>31</v>
      </c>
      <c r="N694">
        <v>223</v>
      </c>
      <c r="O694">
        <v>212</v>
      </c>
      <c r="P694">
        <v>200</v>
      </c>
      <c r="Q694">
        <v>635</v>
      </c>
      <c r="R694" s="15">
        <v>44872</v>
      </c>
      <c r="S694" t="s">
        <v>38</v>
      </c>
      <c r="T694" t="s">
        <v>31</v>
      </c>
      <c r="U694">
        <v>22444</v>
      </c>
    </row>
    <row r="695" spans="1:21" ht="14.25" customHeight="1" x14ac:dyDescent="0.35">
      <c r="A695" t="s">
        <v>2821</v>
      </c>
      <c r="B695" t="s">
        <v>2822</v>
      </c>
      <c r="C695" t="s">
        <v>23</v>
      </c>
      <c r="D695" t="s">
        <v>65</v>
      </c>
      <c r="E695" t="s">
        <v>1524</v>
      </c>
      <c r="F695" t="s">
        <v>2823</v>
      </c>
      <c r="G695" t="s">
        <v>2824</v>
      </c>
      <c r="H695" t="s">
        <v>28</v>
      </c>
      <c r="I695" t="s">
        <v>29</v>
      </c>
      <c r="J695" t="s">
        <v>38</v>
      </c>
      <c r="K695" t="s">
        <v>31</v>
      </c>
      <c r="L695" t="s">
        <v>30</v>
      </c>
      <c r="M695" t="s">
        <v>31</v>
      </c>
      <c r="N695">
        <v>500</v>
      </c>
      <c r="O695">
        <v>233</v>
      </c>
      <c r="P695">
        <v>300</v>
      </c>
      <c r="Q695">
        <v>1033</v>
      </c>
      <c r="R695" s="15">
        <v>44873</v>
      </c>
      <c r="S695" t="s">
        <v>32</v>
      </c>
      <c r="T695" t="s">
        <v>29</v>
      </c>
      <c r="U695">
        <v>82020</v>
      </c>
    </row>
    <row r="696" spans="1:21" ht="14.25" customHeight="1" x14ac:dyDescent="0.35">
      <c r="A696" t="s">
        <v>2825</v>
      </c>
      <c r="B696" t="s">
        <v>2826</v>
      </c>
      <c r="C696" t="s">
        <v>23</v>
      </c>
      <c r="D696" t="s">
        <v>65</v>
      </c>
      <c r="E696" t="s">
        <v>124</v>
      </c>
      <c r="F696" t="s">
        <v>2827</v>
      </c>
      <c r="G696" t="s">
        <v>2828</v>
      </c>
      <c r="H696" t="s">
        <v>38</v>
      </c>
      <c r="I696" t="s">
        <v>31</v>
      </c>
      <c r="J696" t="s">
        <v>38</v>
      </c>
      <c r="K696" t="s">
        <v>31</v>
      </c>
      <c r="L696" t="s">
        <v>38</v>
      </c>
      <c r="M696" t="s">
        <v>31</v>
      </c>
      <c r="N696">
        <v>240</v>
      </c>
      <c r="O696">
        <v>236</v>
      </c>
      <c r="P696">
        <v>250</v>
      </c>
      <c r="Q696">
        <v>726</v>
      </c>
      <c r="R696" s="15">
        <v>44873</v>
      </c>
      <c r="S696" t="s">
        <v>38</v>
      </c>
      <c r="T696" t="s">
        <v>31</v>
      </c>
      <c r="U696">
        <v>706698</v>
      </c>
    </row>
    <row r="697" spans="1:21" ht="14.25" customHeight="1" x14ac:dyDescent="0.35">
      <c r="A697" t="s">
        <v>2829</v>
      </c>
      <c r="B697" t="s">
        <v>2830</v>
      </c>
      <c r="C697" t="s">
        <v>23</v>
      </c>
      <c r="D697" t="s">
        <v>24</v>
      </c>
      <c r="E697" t="s">
        <v>1443</v>
      </c>
      <c r="F697" t="s">
        <v>2831</v>
      </c>
      <c r="G697" t="s">
        <v>2832</v>
      </c>
      <c r="H697" t="s">
        <v>28</v>
      </c>
      <c r="I697" t="s">
        <v>29</v>
      </c>
      <c r="J697" t="s">
        <v>30</v>
      </c>
      <c r="K697" t="s">
        <v>31</v>
      </c>
      <c r="L697" t="s">
        <v>30</v>
      </c>
      <c r="M697" t="s">
        <v>31</v>
      </c>
      <c r="N697">
        <v>505</v>
      </c>
      <c r="O697">
        <v>302</v>
      </c>
      <c r="P697">
        <v>320</v>
      </c>
      <c r="Q697">
        <v>1127</v>
      </c>
      <c r="R697" s="15">
        <v>44872</v>
      </c>
      <c r="S697" t="s">
        <v>32</v>
      </c>
      <c r="T697" t="s">
        <v>29</v>
      </c>
      <c r="U697">
        <v>1227654</v>
      </c>
    </row>
    <row r="698" spans="1:21" ht="14.25" customHeight="1" x14ac:dyDescent="0.35">
      <c r="A698" t="s">
        <v>2833</v>
      </c>
      <c r="B698" t="s">
        <v>2834</v>
      </c>
      <c r="C698" t="s">
        <v>23</v>
      </c>
      <c r="D698" t="s">
        <v>24</v>
      </c>
      <c r="E698" t="s">
        <v>104</v>
      </c>
      <c r="F698" t="s">
        <v>2835</v>
      </c>
      <c r="H698" t="s">
        <v>38</v>
      </c>
      <c r="I698" t="s">
        <v>31</v>
      </c>
      <c r="J698" t="s">
        <v>38</v>
      </c>
      <c r="K698" t="s">
        <v>31</v>
      </c>
      <c r="L698" t="s">
        <v>30</v>
      </c>
      <c r="M698" t="s">
        <v>31</v>
      </c>
      <c r="N698">
        <v>205</v>
      </c>
      <c r="O698">
        <v>257</v>
      </c>
      <c r="P698">
        <v>300</v>
      </c>
      <c r="Q698">
        <v>762</v>
      </c>
      <c r="R698" s="15">
        <v>44877</v>
      </c>
      <c r="S698" t="s">
        <v>30</v>
      </c>
      <c r="T698" t="s">
        <v>31</v>
      </c>
      <c r="U698">
        <v>1824301</v>
      </c>
    </row>
    <row r="699" spans="1:21" ht="14.25" customHeight="1" x14ac:dyDescent="0.35">
      <c r="A699" t="s">
        <v>2836</v>
      </c>
      <c r="B699" t="s">
        <v>2837</v>
      </c>
      <c r="C699" t="s">
        <v>64</v>
      </c>
      <c r="D699" t="s">
        <v>24</v>
      </c>
      <c r="E699" t="s">
        <v>224</v>
      </c>
      <c r="G699" t="s">
        <v>2838</v>
      </c>
      <c r="H699" t="s">
        <v>38</v>
      </c>
      <c r="I699" t="s">
        <v>31</v>
      </c>
      <c r="J699" t="s">
        <v>38</v>
      </c>
      <c r="K699" t="s">
        <v>31</v>
      </c>
      <c r="L699" t="s">
        <v>38</v>
      </c>
      <c r="M699" t="s">
        <v>31</v>
      </c>
      <c r="N699">
        <v>200</v>
      </c>
      <c r="O699">
        <v>200</v>
      </c>
      <c r="P699">
        <v>220</v>
      </c>
      <c r="Q699">
        <v>620</v>
      </c>
      <c r="R699" s="15">
        <v>44722</v>
      </c>
      <c r="S699" t="s">
        <v>38</v>
      </c>
      <c r="T699" t="s">
        <v>31</v>
      </c>
      <c r="U699">
        <v>1733868</v>
      </c>
    </row>
    <row r="700" spans="1:21" ht="14.25" customHeight="1" x14ac:dyDescent="0.35">
      <c r="A700" t="s">
        <v>2839</v>
      </c>
      <c r="B700" t="s">
        <v>2840</v>
      </c>
      <c r="C700" t="s">
        <v>23</v>
      </c>
      <c r="D700" t="s">
        <v>24</v>
      </c>
      <c r="E700" t="s">
        <v>124</v>
      </c>
      <c r="F700" t="s">
        <v>2841</v>
      </c>
      <c r="G700" t="s">
        <v>2842</v>
      </c>
      <c r="H700" t="s">
        <v>32</v>
      </c>
      <c r="I700" t="s">
        <v>29</v>
      </c>
      <c r="J700" t="s">
        <v>30</v>
      </c>
      <c r="K700" t="s">
        <v>31</v>
      </c>
      <c r="L700" t="s">
        <v>38</v>
      </c>
      <c r="M700" t="s">
        <v>31</v>
      </c>
      <c r="N700">
        <v>441</v>
      </c>
      <c r="O700">
        <v>300</v>
      </c>
      <c r="P700">
        <v>270</v>
      </c>
      <c r="Q700">
        <v>1011</v>
      </c>
      <c r="R700" s="15">
        <v>44872</v>
      </c>
      <c r="S700" t="s">
        <v>32</v>
      </c>
      <c r="T700" t="s">
        <v>29</v>
      </c>
      <c r="U700">
        <v>816956</v>
      </c>
    </row>
    <row r="701" spans="1:21" ht="14.25" customHeight="1" x14ac:dyDescent="0.35">
      <c r="A701" t="s">
        <v>2843</v>
      </c>
      <c r="B701" t="s">
        <v>2844</v>
      </c>
      <c r="C701" t="s">
        <v>23</v>
      </c>
      <c r="D701" t="s">
        <v>24</v>
      </c>
      <c r="E701" t="s">
        <v>25</v>
      </c>
      <c r="F701" t="s">
        <v>2845</v>
      </c>
      <c r="G701" t="s">
        <v>2846</v>
      </c>
      <c r="H701" t="s">
        <v>30</v>
      </c>
      <c r="I701" t="s">
        <v>31</v>
      </c>
      <c r="J701" t="s">
        <v>30</v>
      </c>
      <c r="K701" t="s">
        <v>31</v>
      </c>
      <c r="L701" t="s">
        <v>30</v>
      </c>
      <c r="M701" t="s">
        <v>31</v>
      </c>
      <c r="N701">
        <v>330</v>
      </c>
      <c r="O701">
        <v>300</v>
      </c>
      <c r="P701">
        <v>300</v>
      </c>
      <c r="Q701">
        <v>930</v>
      </c>
      <c r="R701" s="15">
        <v>44872</v>
      </c>
      <c r="S701" t="s">
        <v>32</v>
      </c>
      <c r="T701" t="s">
        <v>29</v>
      </c>
      <c r="U701">
        <v>1385280</v>
      </c>
    </row>
    <row r="702" spans="1:21" ht="14.25" customHeight="1" x14ac:dyDescent="0.35">
      <c r="A702" t="s">
        <v>2847</v>
      </c>
      <c r="B702" t="s">
        <v>2848</v>
      </c>
      <c r="C702" t="s">
        <v>23</v>
      </c>
      <c r="D702" t="s">
        <v>24</v>
      </c>
      <c r="E702" t="s">
        <v>224</v>
      </c>
      <c r="F702" t="s">
        <v>2849</v>
      </c>
      <c r="G702" t="s">
        <v>2850</v>
      </c>
      <c r="H702" t="s">
        <v>38</v>
      </c>
      <c r="I702" t="s">
        <v>31</v>
      </c>
      <c r="J702" t="s">
        <v>38</v>
      </c>
      <c r="K702" t="s">
        <v>31</v>
      </c>
      <c r="L702" t="s">
        <v>38</v>
      </c>
      <c r="M702" t="s">
        <v>31</v>
      </c>
      <c r="N702">
        <v>215</v>
      </c>
      <c r="O702">
        <v>203</v>
      </c>
      <c r="P702">
        <v>203</v>
      </c>
      <c r="Q702">
        <v>621</v>
      </c>
      <c r="R702" s="15">
        <v>44722</v>
      </c>
      <c r="S702" t="s">
        <v>38</v>
      </c>
      <c r="T702" t="s">
        <v>31</v>
      </c>
      <c r="U702">
        <v>1704720</v>
      </c>
    </row>
    <row r="703" spans="1:21" ht="14.25" customHeight="1" x14ac:dyDescent="0.35">
      <c r="A703" t="s">
        <v>2851</v>
      </c>
      <c r="B703" t="s">
        <v>2852</v>
      </c>
      <c r="C703" t="s">
        <v>23</v>
      </c>
      <c r="D703" t="s">
        <v>24</v>
      </c>
      <c r="E703" t="s">
        <v>76</v>
      </c>
      <c r="F703" t="s">
        <v>2853</v>
      </c>
      <c r="G703" t="s">
        <v>2854</v>
      </c>
      <c r="H703" t="s">
        <v>28</v>
      </c>
      <c r="I703" t="s">
        <v>29</v>
      </c>
      <c r="J703" t="s">
        <v>30</v>
      </c>
      <c r="K703" t="s">
        <v>31</v>
      </c>
      <c r="L703" t="s">
        <v>30</v>
      </c>
      <c r="M703" t="s">
        <v>31</v>
      </c>
      <c r="N703">
        <v>500</v>
      </c>
      <c r="O703">
        <v>322</v>
      </c>
      <c r="P703">
        <v>315</v>
      </c>
      <c r="Q703">
        <v>1137</v>
      </c>
      <c r="R703" s="15">
        <v>44872</v>
      </c>
      <c r="S703" t="s">
        <v>32</v>
      </c>
      <c r="T703" t="s">
        <v>29</v>
      </c>
      <c r="U703">
        <v>1224608</v>
      </c>
    </row>
    <row r="704" spans="1:21" ht="14.25" customHeight="1" x14ac:dyDescent="0.35">
      <c r="A704" t="s">
        <v>2855</v>
      </c>
      <c r="B704" t="s">
        <v>2856</v>
      </c>
      <c r="C704" t="s">
        <v>23</v>
      </c>
      <c r="D704" t="s">
        <v>24</v>
      </c>
      <c r="E704" t="s">
        <v>76</v>
      </c>
      <c r="F704" t="s">
        <v>2857</v>
      </c>
      <c r="G704" t="s">
        <v>2858</v>
      </c>
      <c r="H704" t="s">
        <v>28</v>
      </c>
      <c r="I704" t="s">
        <v>29</v>
      </c>
      <c r="J704" t="s">
        <v>30</v>
      </c>
      <c r="K704" t="s">
        <v>31</v>
      </c>
      <c r="L704" t="s">
        <v>30</v>
      </c>
      <c r="M704" t="s">
        <v>31</v>
      </c>
      <c r="N704">
        <v>540</v>
      </c>
      <c r="O704">
        <v>329</v>
      </c>
      <c r="P704">
        <v>340</v>
      </c>
      <c r="Q704">
        <v>1209</v>
      </c>
      <c r="R704" s="15">
        <v>44872</v>
      </c>
      <c r="S704" t="s">
        <v>28</v>
      </c>
      <c r="T704" t="s">
        <v>29</v>
      </c>
      <c r="U704">
        <v>21175</v>
      </c>
    </row>
    <row r="705" spans="1:21" ht="14.25" customHeight="1" x14ac:dyDescent="0.35">
      <c r="A705" t="s">
        <v>2859</v>
      </c>
      <c r="B705" t="s">
        <v>2860</v>
      </c>
      <c r="C705" t="s">
        <v>23</v>
      </c>
      <c r="D705" t="s">
        <v>24</v>
      </c>
      <c r="E705" t="s">
        <v>2363</v>
      </c>
      <c r="F705" t="s">
        <v>2861</v>
      </c>
      <c r="G705" t="s">
        <v>2862</v>
      </c>
      <c r="H705" t="s">
        <v>38</v>
      </c>
      <c r="I705" t="s">
        <v>31</v>
      </c>
      <c r="J705" t="s">
        <v>38</v>
      </c>
      <c r="K705" t="s">
        <v>31</v>
      </c>
      <c r="L705" t="s">
        <v>38</v>
      </c>
      <c r="M705" t="s">
        <v>31</v>
      </c>
      <c r="N705">
        <v>242</v>
      </c>
      <c r="O705">
        <v>204</v>
      </c>
      <c r="P705">
        <v>200</v>
      </c>
      <c r="Q705">
        <v>646</v>
      </c>
      <c r="R705" s="15">
        <v>44872</v>
      </c>
      <c r="S705" t="s">
        <v>38</v>
      </c>
      <c r="T705" t="s">
        <v>31</v>
      </c>
      <c r="U705">
        <v>1503584</v>
      </c>
    </row>
    <row r="706" spans="1:21" ht="14.25" customHeight="1" x14ac:dyDescent="0.35">
      <c r="A706" t="s">
        <v>2863</v>
      </c>
      <c r="B706" t="s">
        <v>2864</v>
      </c>
      <c r="C706" t="s">
        <v>23</v>
      </c>
      <c r="D706" t="s">
        <v>24</v>
      </c>
      <c r="E706" t="s">
        <v>1524</v>
      </c>
      <c r="F706" t="s">
        <v>2865</v>
      </c>
      <c r="G706" t="s">
        <v>2866</v>
      </c>
      <c r="H706" t="s">
        <v>38</v>
      </c>
      <c r="I706" t="s">
        <v>31</v>
      </c>
      <c r="J706" t="s">
        <v>38</v>
      </c>
      <c r="K706" t="s">
        <v>31</v>
      </c>
      <c r="L706" t="s">
        <v>38</v>
      </c>
      <c r="M706" t="s">
        <v>31</v>
      </c>
      <c r="N706">
        <v>200</v>
      </c>
      <c r="O706">
        <v>200</v>
      </c>
      <c r="P706">
        <v>200</v>
      </c>
      <c r="Q706">
        <v>600</v>
      </c>
      <c r="R706" s="15">
        <v>44872</v>
      </c>
      <c r="S706" t="s">
        <v>38</v>
      </c>
      <c r="T706" t="s">
        <v>31</v>
      </c>
      <c r="U706">
        <v>861459</v>
      </c>
    </row>
    <row r="707" spans="1:21" ht="14.25" customHeight="1" x14ac:dyDescent="0.35">
      <c r="A707" t="s">
        <v>2867</v>
      </c>
      <c r="B707" t="s">
        <v>2868</v>
      </c>
      <c r="C707" t="s">
        <v>23</v>
      </c>
      <c r="D707" t="s">
        <v>24</v>
      </c>
      <c r="E707" t="s">
        <v>96</v>
      </c>
      <c r="F707" t="s">
        <v>2869</v>
      </c>
      <c r="G707" t="s">
        <v>2870</v>
      </c>
      <c r="H707" t="s">
        <v>28</v>
      </c>
      <c r="I707" t="s">
        <v>29</v>
      </c>
      <c r="J707" t="s">
        <v>38</v>
      </c>
      <c r="K707" t="s">
        <v>31</v>
      </c>
      <c r="L707" t="s">
        <v>38</v>
      </c>
      <c r="M707" t="s">
        <v>31</v>
      </c>
      <c r="N707">
        <v>510</v>
      </c>
      <c r="O707">
        <v>209</v>
      </c>
      <c r="P707">
        <v>210</v>
      </c>
      <c r="Q707">
        <v>929</v>
      </c>
      <c r="R707" s="15">
        <v>44872</v>
      </c>
      <c r="S707" t="s">
        <v>32</v>
      </c>
      <c r="T707" t="s">
        <v>29</v>
      </c>
      <c r="U707">
        <v>1408710</v>
      </c>
    </row>
    <row r="708" spans="1:21" ht="14.25" customHeight="1" x14ac:dyDescent="0.35">
      <c r="A708" t="s">
        <v>2871</v>
      </c>
      <c r="B708" t="s">
        <v>2872</v>
      </c>
      <c r="C708" t="s">
        <v>23</v>
      </c>
      <c r="D708" t="s">
        <v>24</v>
      </c>
      <c r="E708" t="s">
        <v>2873</v>
      </c>
      <c r="F708" t="s">
        <v>2874</v>
      </c>
      <c r="G708" t="s">
        <v>2875</v>
      </c>
      <c r="H708" t="s">
        <v>38</v>
      </c>
      <c r="I708" t="s">
        <v>31</v>
      </c>
      <c r="J708" t="s">
        <v>38</v>
      </c>
      <c r="K708" t="s">
        <v>31</v>
      </c>
      <c r="L708" t="s">
        <v>38</v>
      </c>
      <c r="M708" t="s">
        <v>31</v>
      </c>
      <c r="N708">
        <v>235</v>
      </c>
      <c r="O708">
        <v>209</v>
      </c>
      <c r="P708">
        <v>205</v>
      </c>
      <c r="Q708">
        <v>649</v>
      </c>
      <c r="R708" s="15">
        <v>44872</v>
      </c>
      <c r="S708" t="s">
        <v>38</v>
      </c>
      <c r="T708" t="s">
        <v>31</v>
      </c>
      <c r="U708">
        <v>1468174</v>
      </c>
    </row>
    <row r="709" spans="1:21" ht="14.25" customHeight="1" x14ac:dyDescent="0.35">
      <c r="A709" t="s">
        <v>2876</v>
      </c>
      <c r="B709" t="s">
        <v>2877</v>
      </c>
      <c r="C709" t="s">
        <v>23</v>
      </c>
      <c r="D709" t="s">
        <v>24</v>
      </c>
      <c r="E709" t="s">
        <v>321</v>
      </c>
      <c r="F709" t="s">
        <v>2878</v>
      </c>
      <c r="G709" t="s">
        <v>2879</v>
      </c>
      <c r="H709" t="s">
        <v>599</v>
      </c>
      <c r="I709" t="s">
        <v>600</v>
      </c>
      <c r="J709" t="s">
        <v>32</v>
      </c>
      <c r="K709" t="s">
        <v>29</v>
      </c>
      <c r="L709" t="s">
        <v>30</v>
      </c>
      <c r="M709" t="s">
        <v>31</v>
      </c>
      <c r="N709">
        <v>646</v>
      </c>
      <c r="O709">
        <v>404</v>
      </c>
      <c r="P709">
        <v>313</v>
      </c>
      <c r="Q709">
        <v>1363</v>
      </c>
      <c r="R709" s="15">
        <v>44872</v>
      </c>
      <c r="S709" t="s">
        <v>28</v>
      </c>
      <c r="T709" t="s">
        <v>29</v>
      </c>
      <c r="U709">
        <v>1561894</v>
      </c>
    </row>
    <row r="710" spans="1:21" ht="14.25" customHeight="1" x14ac:dyDescent="0.35">
      <c r="A710" t="s">
        <v>2880</v>
      </c>
      <c r="B710" t="s">
        <v>2881</v>
      </c>
      <c r="C710" t="s">
        <v>23</v>
      </c>
      <c r="D710" t="s">
        <v>24</v>
      </c>
      <c r="E710" t="s">
        <v>86</v>
      </c>
      <c r="F710" t="s">
        <v>2882</v>
      </c>
      <c r="G710" t="s">
        <v>2883</v>
      </c>
      <c r="H710" t="s">
        <v>28</v>
      </c>
      <c r="I710" t="s">
        <v>29</v>
      </c>
      <c r="J710" t="s">
        <v>30</v>
      </c>
      <c r="K710" t="s">
        <v>31</v>
      </c>
      <c r="L710" t="s">
        <v>30</v>
      </c>
      <c r="M710" t="s">
        <v>31</v>
      </c>
      <c r="N710">
        <v>535</v>
      </c>
      <c r="O710">
        <v>305</v>
      </c>
      <c r="P710">
        <v>300</v>
      </c>
      <c r="Q710">
        <v>1140</v>
      </c>
      <c r="R710" s="15">
        <v>44880</v>
      </c>
      <c r="S710" t="s">
        <v>32</v>
      </c>
      <c r="T710" t="s">
        <v>29</v>
      </c>
      <c r="U710">
        <v>1834622</v>
      </c>
    </row>
    <row r="711" spans="1:21" ht="14.25" customHeight="1" x14ac:dyDescent="0.35">
      <c r="A711" t="s">
        <v>2884</v>
      </c>
      <c r="B711" t="s">
        <v>2885</v>
      </c>
      <c r="C711" t="s">
        <v>23</v>
      </c>
      <c r="D711" t="s">
        <v>24</v>
      </c>
      <c r="E711" t="s">
        <v>46</v>
      </c>
      <c r="F711" t="s">
        <v>2886</v>
      </c>
      <c r="G711" t="s">
        <v>2887</v>
      </c>
      <c r="H711" t="s">
        <v>38</v>
      </c>
      <c r="I711" t="s">
        <v>31</v>
      </c>
      <c r="J711" t="s">
        <v>38</v>
      </c>
      <c r="K711" t="s">
        <v>31</v>
      </c>
      <c r="L711" t="s">
        <v>38</v>
      </c>
      <c r="M711" t="s">
        <v>31</v>
      </c>
      <c r="N711">
        <v>245</v>
      </c>
      <c r="O711">
        <v>272</v>
      </c>
      <c r="P711">
        <v>230</v>
      </c>
      <c r="Q711">
        <v>747</v>
      </c>
      <c r="R711" s="15">
        <v>44880</v>
      </c>
      <c r="S711" t="s">
        <v>38</v>
      </c>
      <c r="T711" t="s">
        <v>31</v>
      </c>
      <c r="U711">
        <v>1709164</v>
      </c>
    </row>
    <row r="712" spans="1:21" ht="14.25" customHeight="1" x14ac:dyDescent="0.35">
      <c r="A712" t="s">
        <v>2888</v>
      </c>
      <c r="B712" t="s">
        <v>2889</v>
      </c>
      <c r="C712" t="s">
        <v>23</v>
      </c>
      <c r="D712" t="s">
        <v>24</v>
      </c>
      <c r="E712" t="s">
        <v>2890</v>
      </c>
      <c r="F712" t="s">
        <v>2891</v>
      </c>
      <c r="G712" t="s">
        <v>2892</v>
      </c>
      <c r="H712" t="s">
        <v>38</v>
      </c>
      <c r="I712" t="s">
        <v>31</v>
      </c>
      <c r="J712" t="s">
        <v>38</v>
      </c>
      <c r="K712" t="s">
        <v>31</v>
      </c>
      <c r="L712" t="s">
        <v>38</v>
      </c>
      <c r="M712" t="s">
        <v>31</v>
      </c>
      <c r="N712">
        <v>215</v>
      </c>
      <c r="O712">
        <v>200</v>
      </c>
      <c r="P712">
        <v>200</v>
      </c>
      <c r="Q712">
        <v>615</v>
      </c>
      <c r="R712" s="15">
        <v>44874</v>
      </c>
      <c r="S712" t="s">
        <v>38</v>
      </c>
      <c r="T712" t="s">
        <v>31</v>
      </c>
      <c r="U712">
        <v>1691303</v>
      </c>
    </row>
    <row r="713" spans="1:21" ht="14.25" customHeight="1" x14ac:dyDescent="0.35">
      <c r="A713" t="s">
        <v>2893</v>
      </c>
      <c r="B713" t="s">
        <v>2894</v>
      </c>
      <c r="C713" t="s">
        <v>23</v>
      </c>
      <c r="D713" t="s">
        <v>24</v>
      </c>
      <c r="E713" t="s">
        <v>76</v>
      </c>
      <c r="F713" t="s">
        <v>2895</v>
      </c>
      <c r="G713" t="s">
        <v>2896</v>
      </c>
      <c r="H713" t="s">
        <v>38</v>
      </c>
      <c r="I713" t="s">
        <v>31</v>
      </c>
      <c r="J713" t="s">
        <v>38</v>
      </c>
      <c r="K713" t="s">
        <v>31</v>
      </c>
      <c r="L713" t="s">
        <v>30</v>
      </c>
      <c r="M713" t="s">
        <v>31</v>
      </c>
      <c r="N713">
        <v>205</v>
      </c>
      <c r="O713">
        <v>260</v>
      </c>
      <c r="P713">
        <v>300</v>
      </c>
      <c r="Q713">
        <v>765</v>
      </c>
      <c r="R713" s="15">
        <v>44872</v>
      </c>
      <c r="S713" t="s">
        <v>30</v>
      </c>
      <c r="T713" t="s">
        <v>31</v>
      </c>
      <c r="U713">
        <v>1400810</v>
      </c>
    </row>
    <row r="714" spans="1:21" ht="14.25" customHeight="1" x14ac:dyDescent="0.35">
      <c r="A714" t="s">
        <v>2897</v>
      </c>
      <c r="B714" t="s">
        <v>2898</v>
      </c>
      <c r="C714" t="s">
        <v>23</v>
      </c>
      <c r="D714" t="s">
        <v>24</v>
      </c>
      <c r="E714" t="s">
        <v>330</v>
      </c>
      <c r="F714" t="s">
        <v>2899</v>
      </c>
      <c r="G714" t="s">
        <v>2900</v>
      </c>
      <c r="H714" t="s">
        <v>28</v>
      </c>
      <c r="I714" t="s">
        <v>29</v>
      </c>
      <c r="J714" t="s">
        <v>30</v>
      </c>
      <c r="K714" t="s">
        <v>31</v>
      </c>
      <c r="L714" t="s">
        <v>30</v>
      </c>
      <c r="M714" t="s">
        <v>31</v>
      </c>
      <c r="N714">
        <v>585</v>
      </c>
      <c r="O714">
        <v>348</v>
      </c>
      <c r="P714">
        <v>310</v>
      </c>
      <c r="Q714">
        <v>1243</v>
      </c>
      <c r="R714" s="15">
        <v>44872</v>
      </c>
      <c r="S714" t="s">
        <v>28</v>
      </c>
      <c r="T714" t="s">
        <v>29</v>
      </c>
      <c r="U714">
        <v>354707</v>
      </c>
    </row>
    <row r="715" spans="1:21" ht="14.25" customHeight="1" x14ac:dyDescent="0.35">
      <c r="A715" t="s">
        <v>2901</v>
      </c>
      <c r="B715" t="s">
        <v>2902</v>
      </c>
      <c r="C715" t="s">
        <v>23</v>
      </c>
      <c r="D715" t="s">
        <v>24</v>
      </c>
      <c r="E715" t="s">
        <v>91</v>
      </c>
      <c r="F715" t="s">
        <v>2903</v>
      </c>
      <c r="G715" t="s">
        <v>2904</v>
      </c>
      <c r="H715" t="s">
        <v>28</v>
      </c>
      <c r="I715" t="s">
        <v>29</v>
      </c>
      <c r="J715" t="s">
        <v>30</v>
      </c>
      <c r="K715" t="s">
        <v>31</v>
      </c>
      <c r="L715" t="s">
        <v>30</v>
      </c>
      <c r="M715" t="s">
        <v>31</v>
      </c>
      <c r="N715">
        <v>549</v>
      </c>
      <c r="O715">
        <v>321</v>
      </c>
      <c r="P715">
        <v>330</v>
      </c>
      <c r="Q715">
        <v>1200</v>
      </c>
      <c r="R715" s="15">
        <v>44872</v>
      </c>
      <c r="S715" t="s">
        <v>28</v>
      </c>
      <c r="T715" t="s">
        <v>29</v>
      </c>
      <c r="U715">
        <v>1528396</v>
      </c>
    </row>
    <row r="716" spans="1:21" ht="14.25" customHeight="1" x14ac:dyDescent="0.35">
      <c r="A716" t="s">
        <v>2905</v>
      </c>
      <c r="B716" t="s">
        <v>2906</v>
      </c>
      <c r="C716" t="s">
        <v>23</v>
      </c>
      <c r="D716" t="s">
        <v>24</v>
      </c>
      <c r="E716" t="s">
        <v>124</v>
      </c>
      <c r="F716" t="s">
        <v>2907</v>
      </c>
      <c r="G716" t="s">
        <v>2908</v>
      </c>
      <c r="H716" t="s">
        <v>32</v>
      </c>
      <c r="I716" t="s">
        <v>29</v>
      </c>
      <c r="J716" t="s">
        <v>30</v>
      </c>
      <c r="K716" t="s">
        <v>31</v>
      </c>
      <c r="L716" t="s">
        <v>30</v>
      </c>
      <c r="M716" t="s">
        <v>31</v>
      </c>
      <c r="N716">
        <v>448</v>
      </c>
      <c r="O716">
        <v>303</v>
      </c>
      <c r="P716">
        <v>305</v>
      </c>
      <c r="Q716">
        <v>1056</v>
      </c>
      <c r="R716" s="15">
        <v>44872</v>
      </c>
      <c r="S716" t="s">
        <v>32</v>
      </c>
      <c r="T716" t="s">
        <v>29</v>
      </c>
      <c r="U716">
        <v>313143</v>
      </c>
    </row>
    <row r="717" spans="1:21" ht="14.25" customHeight="1" x14ac:dyDescent="0.35">
      <c r="A717" t="s">
        <v>2909</v>
      </c>
      <c r="B717" t="s">
        <v>2910</v>
      </c>
      <c r="C717" t="s">
        <v>23</v>
      </c>
      <c r="D717" t="s">
        <v>24</v>
      </c>
      <c r="E717" t="s">
        <v>2911</v>
      </c>
      <c r="F717" t="s">
        <v>2912</v>
      </c>
      <c r="G717" t="s">
        <v>2913</v>
      </c>
      <c r="H717" t="s">
        <v>28</v>
      </c>
      <c r="I717" t="s">
        <v>29</v>
      </c>
      <c r="J717" t="s">
        <v>38</v>
      </c>
      <c r="K717" t="s">
        <v>31</v>
      </c>
      <c r="L717" t="s">
        <v>38</v>
      </c>
      <c r="M717" t="s">
        <v>31</v>
      </c>
      <c r="N717">
        <v>511</v>
      </c>
      <c r="O717">
        <v>225</v>
      </c>
      <c r="P717">
        <v>215</v>
      </c>
      <c r="Q717">
        <v>951</v>
      </c>
      <c r="R717" s="15">
        <v>44872</v>
      </c>
      <c r="S717" t="s">
        <v>32</v>
      </c>
      <c r="T717" t="s">
        <v>29</v>
      </c>
      <c r="U717">
        <v>1283140</v>
      </c>
    </row>
    <row r="718" spans="1:21" ht="14.25" customHeight="1" x14ac:dyDescent="0.35">
      <c r="A718" t="s">
        <v>2914</v>
      </c>
      <c r="B718" t="s">
        <v>2915</v>
      </c>
      <c r="C718" t="s">
        <v>23</v>
      </c>
      <c r="D718" t="s">
        <v>24</v>
      </c>
      <c r="E718" t="s">
        <v>2873</v>
      </c>
      <c r="F718" t="s">
        <v>2916</v>
      </c>
      <c r="G718" t="s">
        <v>2917</v>
      </c>
      <c r="H718" t="s">
        <v>30</v>
      </c>
      <c r="I718" t="s">
        <v>31</v>
      </c>
      <c r="J718" t="s">
        <v>38</v>
      </c>
      <c r="K718" t="s">
        <v>31</v>
      </c>
      <c r="L718" t="s">
        <v>38</v>
      </c>
      <c r="M718" t="s">
        <v>31</v>
      </c>
      <c r="N718">
        <v>305</v>
      </c>
      <c r="O718">
        <v>288</v>
      </c>
      <c r="P718">
        <v>250</v>
      </c>
      <c r="Q718">
        <v>843</v>
      </c>
      <c r="R718" s="15">
        <v>44880</v>
      </c>
      <c r="S718" t="s">
        <v>30</v>
      </c>
      <c r="T718" t="s">
        <v>31</v>
      </c>
      <c r="U718">
        <v>1674168</v>
      </c>
    </row>
    <row r="719" spans="1:21" ht="14.25" customHeight="1" x14ac:dyDescent="0.35">
      <c r="A719" t="s">
        <v>2918</v>
      </c>
      <c r="B719" t="s">
        <v>2919</v>
      </c>
      <c r="C719" t="s">
        <v>23</v>
      </c>
      <c r="D719" t="s">
        <v>24</v>
      </c>
      <c r="E719" t="s">
        <v>390</v>
      </c>
      <c r="F719" t="s">
        <v>2920</v>
      </c>
      <c r="G719" t="s">
        <v>2921</v>
      </c>
      <c r="H719" t="s">
        <v>32</v>
      </c>
      <c r="I719" t="s">
        <v>29</v>
      </c>
      <c r="J719" t="s">
        <v>30</v>
      </c>
      <c r="K719" t="s">
        <v>31</v>
      </c>
      <c r="L719" t="s">
        <v>30</v>
      </c>
      <c r="M719" t="s">
        <v>31</v>
      </c>
      <c r="N719">
        <v>489</v>
      </c>
      <c r="O719">
        <v>349</v>
      </c>
      <c r="P719">
        <v>300</v>
      </c>
      <c r="Q719">
        <v>1138</v>
      </c>
      <c r="R719" s="15">
        <v>44872</v>
      </c>
      <c r="S719" t="s">
        <v>32</v>
      </c>
      <c r="T719" t="s">
        <v>29</v>
      </c>
      <c r="U719">
        <v>1417398</v>
      </c>
    </row>
    <row r="720" spans="1:21" ht="14.25" customHeight="1" x14ac:dyDescent="0.35">
      <c r="A720" t="s">
        <v>2922</v>
      </c>
      <c r="B720" t="s">
        <v>2923</v>
      </c>
      <c r="C720" t="s">
        <v>23</v>
      </c>
      <c r="D720" t="s">
        <v>24</v>
      </c>
      <c r="E720" t="s">
        <v>321</v>
      </c>
      <c r="F720" t="s">
        <v>2924</v>
      </c>
      <c r="G720" t="s">
        <v>2925</v>
      </c>
      <c r="H720" t="s">
        <v>28</v>
      </c>
      <c r="I720" t="s">
        <v>29</v>
      </c>
      <c r="J720" t="s">
        <v>30</v>
      </c>
      <c r="K720" t="s">
        <v>31</v>
      </c>
      <c r="L720" t="s">
        <v>30</v>
      </c>
      <c r="M720" t="s">
        <v>31</v>
      </c>
      <c r="N720">
        <v>500</v>
      </c>
      <c r="O720">
        <v>300</v>
      </c>
      <c r="P720">
        <v>300</v>
      </c>
      <c r="Q720">
        <v>1100</v>
      </c>
      <c r="R720" s="15">
        <v>44872</v>
      </c>
      <c r="S720" t="s">
        <v>32</v>
      </c>
      <c r="T720" t="s">
        <v>29</v>
      </c>
      <c r="U720">
        <v>1498828</v>
      </c>
    </row>
    <row r="721" spans="1:21" ht="14.25" customHeight="1" x14ac:dyDescent="0.35">
      <c r="A721" t="s">
        <v>2926</v>
      </c>
      <c r="B721" t="s">
        <v>2927</v>
      </c>
      <c r="C721" t="s">
        <v>23</v>
      </c>
      <c r="D721" t="s">
        <v>24</v>
      </c>
      <c r="E721" t="s">
        <v>91</v>
      </c>
      <c r="F721" t="s">
        <v>2928</v>
      </c>
      <c r="G721" t="s">
        <v>2929</v>
      </c>
      <c r="H721" t="s">
        <v>32</v>
      </c>
      <c r="I721" t="s">
        <v>29</v>
      </c>
      <c r="J721" t="s">
        <v>30</v>
      </c>
      <c r="K721" t="s">
        <v>31</v>
      </c>
      <c r="L721" t="s">
        <v>30</v>
      </c>
      <c r="M721" t="s">
        <v>31</v>
      </c>
      <c r="N721">
        <v>480</v>
      </c>
      <c r="O721">
        <v>329</v>
      </c>
      <c r="P721">
        <v>320</v>
      </c>
      <c r="Q721">
        <v>1129</v>
      </c>
      <c r="R721" s="15">
        <v>44872</v>
      </c>
      <c r="S721" t="s">
        <v>32</v>
      </c>
      <c r="T721" t="s">
        <v>29</v>
      </c>
      <c r="U721">
        <v>1404655</v>
      </c>
    </row>
    <row r="722" spans="1:21" ht="14.25" customHeight="1" x14ac:dyDescent="0.35">
      <c r="A722" t="s">
        <v>2930</v>
      </c>
      <c r="B722" t="s">
        <v>2931</v>
      </c>
      <c r="C722" t="s">
        <v>23</v>
      </c>
      <c r="D722" t="s">
        <v>24</v>
      </c>
      <c r="E722" t="s">
        <v>2911</v>
      </c>
      <c r="F722" t="s">
        <v>2932</v>
      </c>
      <c r="G722" t="s">
        <v>2933</v>
      </c>
      <c r="H722" t="s">
        <v>30</v>
      </c>
      <c r="I722" t="s">
        <v>31</v>
      </c>
      <c r="J722" t="s">
        <v>38</v>
      </c>
      <c r="K722" t="s">
        <v>31</v>
      </c>
      <c r="L722" t="s">
        <v>38</v>
      </c>
      <c r="M722" t="s">
        <v>31</v>
      </c>
      <c r="N722">
        <v>307</v>
      </c>
      <c r="O722">
        <v>257</v>
      </c>
      <c r="P722">
        <v>255</v>
      </c>
      <c r="Q722">
        <v>819</v>
      </c>
      <c r="R722" s="15">
        <v>44880</v>
      </c>
      <c r="S722" t="s">
        <v>30</v>
      </c>
      <c r="T722" t="s">
        <v>31</v>
      </c>
      <c r="U722">
        <v>1789832</v>
      </c>
    </row>
    <row r="723" spans="1:21" ht="14.25" customHeight="1" x14ac:dyDescent="0.35">
      <c r="A723" t="s">
        <v>2934</v>
      </c>
      <c r="B723" t="s">
        <v>2935</v>
      </c>
      <c r="C723" t="s">
        <v>23</v>
      </c>
      <c r="D723" t="s">
        <v>24</v>
      </c>
      <c r="E723" t="s">
        <v>2936</v>
      </c>
      <c r="F723" t="s">
        <v>2937</v>
      </c>
      <c r="G723" t="s">
        <v>2938</v>
      </c>
      <c r="H723" t="s">
        <v>38</v>
      </c>
      <c r="I723" t="s">
        <v>31</v>
      </c>
      <c r="J723" t="s">
        <v>38</v>
      </c>
      <c r="K723" t="s">
        <v>31</v>
      </c>
      <c r="L723" t="s">
        <v>38</v>
      </c>
      <c r="M723" t="s">
        <v>31</v>
      </c>
      <c r="N723">
        <v>225</v>
      </c>
      <c r="O723">
        <v>203</v>
      </c>
      <c r="P723">
        <v>205</v>
      </c>
      <c r="Q723">
        <v>633</v>
      </c>
      <c r="R723" s="15">
        <v>44872</v>
      </c>
      <c r="S723" t="s">
        <v>38</v>
      </c>
      <c r="T723" t="s">
        <v>31</v>
      </c>
      <c r="U723">
        <v>46619</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W725"/>
  <sheetViews>
    <sheetView showGridLines="0" tabSelected="1" zoomScaleNormal="100" workbookViewId="0">
      <pane xSplit="3" ySplit="3" topLeftCell="D4" activePane="bottomRight" state="frozen"/>
      <selection pane="topRight" activeCell="D1" sqref="D1"/>
      <selection pane="bottomLeft" activeCell="A4" sqref="A4"/>
      <selection pane="bottomRight" sqref="A1:P1"/>
    </sheetView>
  </sheetViews>
  <sheetFormatPr defaultColWidth="8.6328125" defaultRowHeight="14.5" x14ac:dyDescent="0.35"/>
  <cols>
    <col min="1" max="1" width="26" customWidth="1"/>
    <col min="2" max="2" width="9" customWidth="1"/>
    <col min="3" max="3" width="26" customWidth="1"/>
    <col min="4" max="4" width="11" customWidth="1"/>
    <col min="5" max="5" width="10" customWidth="1"/>
    <col min="6" max="6" width="11" customWidth="1"/>
    <col min="7" max="7" width="10" customWidth="1"/>
    <col min="8" max="8" width="11" customWidth="1"/>
    <col min="9" max="10" width="10" customWidth="1"/>
    <col min="11" max="12" width="12" customWidth="1"/>
    <col min="13" max="14" width="10" customWidth="1"/>
    <col min="15" max="16" width="12" customWidth="1"/>
    <col min="18" max="23" width="10" hidden="1" customWidth="1"/>
  </cols>
  <sheetData>
    <row r="1" spans="1:23" ht="30" customHeight="1" x14ac:dyDescent="0.35">
      <c r="A1" s="14" t="s">
        <v>2939</v>
      </c>
      <c r="B1" s="14"/>
      <c r="C1" s="14"/>
      <c r="D1" s="14"/>
      <c r="E1" s="14"/>
      <c r="F1" s="14"/>
      <c r="G1" s="14"/>
      <c r="H1" s="14"/>
      <c r="I1" s="14"/>
      <c r="J1" s="14"/>
      <c r="K1" s="14"/>
      <c r="L1" s="14"/>
      <c r="M1" s="14"/>
      <c r="N1" s="14"/>
      <c r="O1" s="14"/>
      <c r="P1" s="14"/>
    </row>
    <row r="2" spans="1:23" ht="18" customHeight="1" x14ac:dyDescent="0.35">
      <c r="A2" s="13" t="s">
        <v>2940</v>
      </c>
      <c r="B2" s="13"/>
      <c r="C2" s="13"/>
      <c r="D2" s="13"/>
      <c r="E2" s="13"/>
      <c r="F2" s="13"/>
      <c r="G2" s="13"/>
      <c r="H2" s="13"/>
      <c r="I2" s="13"/>
      <c r="J2" s="13"/>
      <c r="K2" s="13"/>
      <c r="L2" s="13"/>
      <c r="M2" s="13"/>
      <c r="N2" s="13"/>
      <c r="O2" s="13"/>
      <c r="P2" s="13"/>
    </row>
    <row r="3" spans="1:23" ht="27.75" customHeight="1" x14ac:dyDescent="0.35">
      <c r="A3" s="16" t="s">
        <v>2941</v>
      </c>
      <c r="B3" s="16" t="s">
        <v>2942</v>
      </c>
      <c r="C3" s="16" t="s">
        <v>2943</v>
      </c>
      <c r="D3" s="16" t="s">
        <v>2944</v>
      </c>
      <c r="E3" s="16" t="s">
        <v>2945</v>
      </c>
      <c r="F3" s="16" t="s">
        <v>2946</v>
      </c>
      <c r="G3" s="16" t="s">
        <v>2947</v>
      </c>
      <c r="H3" s="16" t="s">
        <v>2948</v>
      </c>
      <c r="I3" s="16" t="s">
        <v>2949</v>
      </c>
      <c r="J3" s="16" t="s">
        <v>2950</v>
      </c>
      <c r="K3" s="16" t="s">
        <v>2951</v>
      </c>
      <c r="L3" s="16" t="s">
        <v>2952</v>
      </c>
      <c r="M3" s="16" t="s">
        <v>2953</v>
      </c>
      <c r="N3" s="16" t="s">
        <v>2954</v>
      </c>
      <c r="O3" s="16" t="s">
        <v>2955</v>
      </c>
      <c r="P3" s="16" t="s">
        <v>2956</v>
      </c>
    </row>
    <row r="4" spans="1:23" ht="15" customHeight="1" x14ac:dyDescent="0.35">
      <c r="A4" t="str">
        <f>'Raw Data'!B2</f>
        <v>Walt Disney Co</v>
      </c>
      <c r="B4" t="str">
        <f>'Raw Data'!A2</f>
        <v>dis</v>
      </c>
      <c r="C4" t="str">
        <f>IF('Raw Data'!E2="N/A","Unclassified",TRIM(SUBSTITUTE('Raw Data'!E2," and "," &amp; ")))</f>
        <v>Media</v>
      </c>
      <c r="D4" s="17">
        <f>'Raw Data'!N2</f>
        <v>510</v>
      </c>
      <c r="E4" s="17">
        <f>'Raw Data'!O2</f>
        <v>316</v>
      </c>
      <c r="F4" s="17">
        <f>'Raw Data'!P2</f>
        <v>321</v>
      </c>
      <c r="G4" s="17">
        <f>'Raw Data'!Q2</f>
        <v>1147</v>
      </c>
      <c r="H4" s="18">
        <f>INDEX('Industry Stats'!$F$2:$F$49,MATCH($C4,'Industry Stats'!$A$2:$A$49,0))</f>
        <v>935.26086956521738</v>
      </c>
      <c r="I4" s="19">
        <f t="shared" ref="I4:I67" si="0">G4-H4</f>
        <v>211.73913043478262</v>
      </c>
      <c r="J4" s="20">
        <f t="shared" ref="J4:J67" si="1">I4/H4</f>
        <v>0.22639579749895405</v>
      </c>
      <c r="K4" s="18">
        <f>INDEX('Industry Stats'!$C$2:$C$49,MATCH($C4,'Industry Stats'!$A$2:$A$49,0))</f>
        <v>346.91304347826087</v>
      </c>
      <c r="L4" s="19">
        <f t="shared" ref="L4:L67" si="2">D4-K4</f>
        <v>163.08695652173913</v>
      </c>
      <c r="M4" s="18">
        <f>INDEX('Industry Stats'!$D$2:$D$49,MATCH($C4,'Industry Stats'!$A$2:$A$49,0))</f>
        <v>313</v>
      </c>
      <c r="N4" s="19">
        <f t="shared" ref="N4:N67" si="3">E4-M4</f>
        <v>3</v>
      </c>
      <c r="O4" s="18">
        <f>INDEX('Industry Stats'!$E$2:$E$49,MATCH($C4,'Industry Stats'!$A$2:$A$49,0))</f>
        <v>275.3478260869565</v>
      </c>
      <c r="P4" s="19">
        <f t="shared" ref="P4:P67" si="4">F4-O4</f>
        <v>45.652173913043498</v>
      </c>
      <c r="R4">
        <f t="shared" ref="R4:R67" si="5">G4+(10000-ROW())/10000000</f>
        <v>1147.0009995999999</v>
      </c>
      <c r="S4">
        <f t="shared" ref="S4:S67" si="6">D4+(10000-ROW())/10000000</f>
        <v>510.0009996</v>
      </c>
      <c r="T4">
        <f t="shared" ref="T4:T67" si="7">E4+(10000-ROW())/10000000</f>
        <v>316.0009996</v>
      </c>
      <c r="U4">
        <f t="shared" ref="U4:U67" si="8">F4+(10000-ROW())/10000000</f>
        <v>321.0009996</v>
      </c>
      <c r="V4">
        <f t="shared" ref="V4:V67" si="9">I4+(10000-ROW())/10000000</f>
        <v>211.74013003478262</v>
      </c>
      <c r="W4">
        <f t="shared" ref="W4:W67" si="10">-I4+(10000-ROW())/10000000</f>
        <v>-211.73813083478262</v>
      </c>
    </row>
    <row r="5" spans="1:23" ht="15" customHeight="1" x14ac:dyDescent="0.35">
      <c r="A5" t="str">
        <f>'Raw Data'!B3</f>
        <v>General Motors Co</v>
      </c>
      <c r="B5" t="str">
        <f>'Raw Data'!A3</f>
        <v>gm</v>
      </c>
      <c r="C5" t="str">
        <f>IF('Raw Data'!E3="N/A","Unclassified",TRIM(SUBSTITUTE('Raw Data'!E3," and "," &amp; ")))</f>
        <v>Automobiles</v>
      </c>
      <c r="D5" s="17">
        <f>'Raw Data'!N3</f>
        <v>510</v>
      </c>
      <c r="E5" s="17">
        <f>'Raw Data'!O3</f>
        <v>303</v>
      </c>
      <c r="F5" s="17">
        <f>'Raw Data'!P3</f>
        <v>255</v>
      </c>
      <c r="G5" s="17">
        <f>'Raw Data'!Q3</f>
        <v>1068</v>
      </c>
      <c r="H5" s="18">
        <f>INDEX('Industry Stats'!$F$2:$F$49,MATCH($C5,'Industry Stats'!$A$2:$A$49,0))</f>
        <v>859.25</v>
      </c>
      <c r="I5" s="19">
        <f t="shared" si="0"/>
        <v>208.75</v>
      </c>
      <c r="J5" s="20">
        <f t="shared" si="1"/>
        <v>0.24294442828047716</v>
      </c>
      <c r="K5" s="18">
        <f>INDEX('Industry Stats'!$C$2:$C$49,MATCH($C5,'Industry Stats'!$A$2:$A$49,0))</f>
        <v>393</v>
      </c>
      <c r="L5" s="19">
        <f t="shared" si="2"/>
        <v>117</v>
      </c>
      <c r="M5" s="18">
        <f>INDEX('Industry Stats'!$D$2:$D$49,MATCH($C5,'Industry Stats'!$A$2:$A$49,0))</f>
        <v>229.25</v>
      </c>
      <c r="N5" s="19">
        <f t="shared" si="3"/>
        <v>73.75</v>
      </c>
      <c r="O5" s="18">
        <f>INDEX('Industry Stats'!$E$2:$E$49,MATCH($C5,'Industry Stats'!$A$2:$A$49,0))</f>
        <v>237</v>
      </c>
      <c r="P5" s="19">
        <f t="shared" si="4"/>
        <v>18</v>
      </c>
      <c r="R5">
        <f t="shared" si="5"/>
        <v>1068.0009995</v>
      </c>
      <c r="S5">
        <f t="shared" si="6"/>
        <v>510.00099949999998</v>
      </c>
      <c r="T5">
        <f t="shared" si="7"/>
        <v>303.00099949999998</v>
      </c>
      <c r="U5">
        <f t="shared" si="8"/>
        <v>255.00099950000001</v>
      </c>
      <c r="V5">
        <f t="shared" si="9"/>
        <v>208.75099950000001</v>
      </c>
      <c r="W5">
        <f t="shared" si="10"/>
        <v>-208.74900049999999</v>
      </c>
    </row>
    <row r="6" spans="1:23" ht="15" customHeight="1" x14ac:dyDescent="0.35">
      <c r="A6" t="str">
        <f>'Raw Data'!B4</f>
        <v>WW Grainger Inc</v>
      </c>
      <c r="B6" t="str">
        <f>'Raw Data'!A4</f>
        <v>gww</v>
      </c>
      <c r="C6" t="str">
        <f>IF('Raw Data'!E4="N/A","Unclassified",TRIM(SUBSTITUTE('Raw Data'!E4," and "," &amp; ")))</f>
        <v>Trading Companies &amp; Distributors</v>
      </c>
      <c r="D6" s="17">
        <f>'Raw Data'!N4</f>
        <v>255</v>
      </c>
      <c r="E6" s="17">
        <f>'Raw Data'!O4</f>
        <v>385</v>
      </c>
      <c r="F6" s="17">
        <f>'Raw Data'!P4</f>
        <v>240</v>
      </c>
      <c r="G6" s="17">
        <f>'Raw Data'!Q4</f>
        <v>880</v>
      </c>
      <c r="H6" s="18">
        <f>INDEX('Industry Stats'!$F$2:$F$49,MATCH($C6,'Industry Stats'!$A$2:$A$49,0))</f>
        <v>885.2</v>
      </c>
      <c r="I6" s="19">
        <f t="shared" si="0"/>
        <v>-5.2000000000000455</v>
      </c>
      <c r="J6" s="20">
        <f t="shared" si="1"/>
        <v>-5.8743786714867208E-3</v>
      </c>
      <c r="K6" s="18">
        <f>INDEX('Industry Stats'!$C$2:$C$49,MATCH($C6,'Industry Stats'!$A$2:$A$49,0))</f>
        <v>332.8</v>
      </c>
      <c r="L6" s="19">
        <f t="shared" si="2"/>
        <v>-77.800000000000011</v>
      </c>
      <c r="M6" s="18">
        <f>INDEX('Industry Stats'!$D$2:$D$49,MATCH($C6,'Industry Stats'!$A$2:$A$49,0))</f>
        <v>302.39999999999998</v>
      </c>
      <c r="N6" s="19">
        <f t="shared" si="3"/>
        <v>82.600000000000023</v>
      </c>
      <c r="O6" s="18">
        <f>INDEX('Industry Stats'!$E$2:$E$49,MATCH($C6,'Industry Stats'!$A$2:$A$49,0))</f>
        <v>250</v>
      </c>
      <c r="P6" s="19">
        <f t="shared" si="4"/>
        <v>-10</v>
      </c>
      <c r="R6">
        <f t="shared" si="5"/>
        <v>880.00099939999996</v>
      </c>
      <c r="S6">
        <f t="shared" si="6"/>
        <v>255.00099940000001</v>
      </c>
      <c r="T6">
        <f t="shared" si="7"/>
        <v>385.00099940000001</v>
      </c>
      <c r="U6">
        <f t="shared" si="8"/>
        <v>240.00099940000001</v>
      </c>
      <c r="V6">
        <f t="shared" si="9"/>
        <v>-5.199000600000045</v>
      </c>
      <c r="W6">
        <f t="shared" si="10"/>
        <v>5.2009994000000459</v>
      </c>
    </row>
    <row r="7" spans="1:23" ht="15" customHeight="1" x14ac:dyDescent="0.35">
      <c r="A7" t="str">
        <f>'Raw Data'!B5</f>
        <v>Mohawk Industries Inc</v>
      </c>
      <c r="B7" t="str">
        <f>'Raw Data'!A5</f>
        <v>mhk</v>
      </c>
      <c r="C7" t="str">
        <f>IF('Raw Data'!E5="N/A","Unclassified",TRIM(SUBSTITUTE('Raw Data'!E5," and "," &amp; ")))</f>
        <v>Consumer products</v>
      </c>
      <c r="D7" s="17">
        <f>'Raw Data'!N5</f>
        <v>570</v>
      </c>
      <c r="E7" s="17">
        <f>'Raw Data'!O5</f>
        <v>298</v>
      </c>
      <c r="F7" s="17">
        <f>'Raw Data'!P5</f>
        <v>303</v>
      </c>
      <c r="G7" s="17">
        <f>'Raw Data'!Q5</f>
        <v>1171</v>
      </c>
      <c r="H7" s="18">
        <f>INDEX('Industry Stats'!$F$2:$F$49,MATCH($C7,'Industry Stats'!$A$2:$A$49,0))</f>
        <v>945.55</v>
      </c>
      <c r="I7" s="19">
        <f t="shared" si="0"/>
        <v>225.45000000000005</v>
      </c>
      <c r="J7" s="20">
        <f t="shared" si="1"/>
        <v>0.23843265824123533</v>
      </c>
      <c r="K7" s="18">
        <f>INDEX('Industry Stats'!$C$2:$C$49,MATCH($C7,'Industry Stats'!$A$2:$A$49,0))</f>
        <v>384.9</v>
      </c>
      <c r="L7" s="19">
        <f t="shared" si="2"/>
        <v>185.10000000000002</v>
      </c>
      <c r="M7" s="18">
        <f>INDEX('Industry Stats'!$D$2:$D$49,MATCH($C7,'Industry Stats'!$A$2:$A$49,0))</f>
        <v>285.7</v>
      </c>
      <c r="N7" s="19">
        <f t="shared" si="3"/>
        <v>12.300000000000011</v>
      </c>
      <c r="O7" s="18">
        <f>INDEX('Industry Stats'!$E$2:$E$49,MATCH($C7,'Industry Stats'!$A$2:$A$49,0))</f>
        <v>274.95</v>
      </c>
      <c r="P7" s="19">
        <f t="shared" si="4"/>
        <v>28.050000000000011</v>
      </c>
      <c r="R7">
        <f t="shared" si="5"/>
        <v>1171.0009993000001</v>
      </c>
      <c r="S7">
        <f t="shared" si="6"/>
        <v>570.00099929999999</v>
      </c>
      <c r="T7">
        <f t="shared" si="7"/>
        <v>298.00099929999999</v>
      </c>
      <c r="U7">
        <f t="shared" si="8"/>
        <v>303.00099929999999</v>
      </c>
      <c r="V7">
        <f t="shared" si="9"/>
        <v>225.45099930000003</v>
      </c>
      <c r="W7">
        <f t="shared" si="10"/>
        <v>-225.44900070000006</v>
      </c>
    </row>
    <row r="8" spans="1:23" ht="15" customHeight="1" x14ac:dyDescent="0.35">
      <c r="A8" t="str">
        <f>'Raw Data'!B6</f>
        <v>Live Nation Entertainment Inc</v>
      </c>
      <c r="B8" t="str">
        <f>'Raw Data'!A6</f>
        <v>lyv</v>
      </c>
      <c r="C8" t="str">
        <f>IF('Raw Data'!E6="N/A","Unclassified",TRIM(SUBSTITUTE('Raw Data'!E6," and "," &amp; ")))</f>
        <v>Media</v>
      </c>
      <c r="D8" s="17">
        <f>'Raw Data'!N6</f>
        <v>492</v>
      </c>
      <c r="E8" s="17">
        <f>'Raw Data'!O6</f>
        <v>310</v>
      </c>
      <c r="F8" s="17">
        <f>'Raw Data'!P6</f>
        <v>250</v>
      </c>
      <c r="G8" s="17">
        <f>'Raw Data'!Q6</f>
        <v>1052</v>
      </c>
      <c r="H8" s="18">
        <f>INDEX('Industry Stats'!$F$2:$F$49,MATCH($C8,'Industry Stats'!$A$2:$A$49,0))</f>
        <v>935.26086956521738</v>
      </c>
      <c r="I8" s="19">
        <f t="shared" si="0"/>
        <v>116.73913043478262</v>
      </c>
      <c r="J8" s="20">
        <f t="shared" si="1"/>
        <v>0.12481985960671287</v>
      </c>
      <c r="K8" s="18">
        <f>INDEX('Industry Stats'!$C$2:$C$49,MATCH($C8,'Industry Stats'!$A$2:$A$49,0))</f>
        <v>346.91304347826087</v>
      </c>
      <c r="L8" s="19">
        <f t="shared" si="2"/>
        <v>145.08695652173913</v>
      </c>
      <c r="M8" s="18">
        <f>INDEX('Industry Stats'!$D$2:$D$49,MATCH($C8,'Industry Stats'!$A$2:$A$49,0))</f>
        <v>313</v>
      </c>
      <c r="N8" s="19">
        <f t="shared" si="3"/>
        <v>-3</v>
      </c>
      <c r="O8" s="18">
        <f>INDEX('Industry Stats'!$E$2:$E$49,MATCH($C8,'Industry Stats'!$A$2:$A$49,0))</f>
        <v>275.3478260869565</v>
      </c>
      <c r="P8" s="19">
        <f t="shared" si="4"/>
        <v>-25.347826086956502</v>
      </c>
      <c r="R8">
        <f t="shared" si="5"/>
        <v>1052.0009992</v>
      </c>
      <c r="S8">
        <f t="shared" si="6"/>
        <v>492.00099920000002</v>
      </c>
      <c r="T8">
        <f t="shared" si="7"/>
        <v>310.00099920000002</v>
      </c>
      <c r="U8">
        <f t="shared" si="8"/>
        <v>250.0009992</v>
      </c>
      <c r="V8">
        <f t="shared" si="9"/>
        <v>116.74012963478262</v>
      </c>
      <c r="W8">
        <f t="shared" si="10"/>
        <v>-116.73813123478263</v>
      </c>
    </row>
    <row r="9" spans="1:23" ht="15" customHeight="1" x14ac:dyDescent="0.35">
      <c r="A9" t="str">
        <f>'Raw Data'!B7</f>
        <v>Las Vegas Sands Corp</v>
      </c>
      <c r="B9" t="str">
        <f>'Raw Data'!A7</f>
        <v>lvs</v>
      </c>
      <c r="C9" t="str">
        <f>IF('Raw Data'!E7="N/A","Unclassified",TRIM(SUBSTITUTE('Raw Data'!E7," and "," &amp; ")))</f>
        <v>Hotels Restaurants &amp; Leisure</v>
      </c>
      <c r="D9" s="17">
        <f>'Raw Data'!N7</f>
        <v>547</v>
      </c>
      <c r="E9" s="17">
        <f>'Raw Data'!O7</f>
        <v>318</v>
      </c>
      <c r="F9" s="17">
        <f>'Raw Data'!P7</f>
        <v>313</v>
      </c>
      <c r="G9" s="17">
        <f>'Raw Data'!Q7</f>
        <v>1178</v>
      </c>
      <c r="H9" s="18">
        <f>INDEX('Industry Stats'!$F$2:$F$49,MATCH($C9,'Industry Stats'!$A$2:$A$49,0))</f>
        <v>918.86363636363637</v>
      </c>
      <c r="I9" s="19">
        <f t="shared" si="0"/>
        <v>259.13636363636363</v>
      </c>
      <c r="J9" s="20">
        <f t="shared" si="1"/>
        <v>0.28201830324016819</v>
      </c>
      <c r="K9" s="18">
        <f>INDEX('Industry Stats'!$C$2:$C$49,MATCH($C9,'Industry Stats'!$A$2:$A$49,0))</f>
        <v>374.63636363636363</v>
      </c>
      <c r="L9" s="19">
        <f t="shared" si="2"/>
        <v>172.36363636363637</v>
      </c>
      <c r="M9" s="18">
        <f>INDEX('Industry Stats'!$D$2:$D$49,MATCH($C9,'Industry Stats'!$A$2:$A$49,0))</f>
        <v>283.04545454545456</v>
      </c>
      <c r="N9" s="19">
        <f t="shared" si="3"/>
        <v>34.954545454545439</v>
      </c>
      <c r="O9" s="18">
        <f>INDEX('Industry Stats'!$E$2:$E$49,MATCH($C9,'Industry Stats'!$A$2:$A$49,0))</f>
        <v>261.18181818181819</v>
      </c>
      <c r="P9" s="19">
        <f t="shared" si="4"/>
        <v>51.818181818181813</v>
      </c>
      <c r="R9">
        <f t="shared" si="5"/>
        <v>1178.0009990999999</v>
      </c>
      <c r="S9">
        <f t="shared" si="6"/>
        <v>547.00099909999994</v>
      </c>
      <c r="T9">
        <f t="shared" si="7"/>
        <v>318.0009991</v>
      </c>
      <c r="U9">
        <f t="shared" si="8"/>
        <v>313.0009991</v>
      </c>
      <c r="V9">
        <f t="shared" si="9"/>
        <v>259.13736273636363</v>
      </c>
      <c r="W9">
        <f t="shared" si="10"/>
        <v>-259.13536453636362</v>
      </c>
    </row>
    <row r="10" spans="1:23" ht="15" customHeight="1" x14ac:dyDescent="0.35">
      <c r="A10" t="str">
        <f>'Raw Data'!B8</f>
        <v>Clorox Co</v>
      </c>
      <c r="B10" t="str">
        <f>'Raw Data'!A8</f>
        <v>clx</v>
      </c>
      <c r="C10" t="str">
        <f>IF('Raw Data'!E8="N/A","Unclassified",TRIM(SUBSTITUTE('Raw Data'!E8," and "," &amp; ")))</f>
        <v>Consumer products</v>
      </c>
      <c r="D10" s="17">
        <f>'Raw Data'!N8</f>
        <v>560</v>
      </c>
      <c r="E10" s="17">
        <f>'Raw Data'!O8</f>
        <v>350</v>
      </c>
      <c r="F10" s="17">
        <f>'Raw Data'!P8</f>
        <v>345</v>
      </c>
      <c r="G10" s="17">
        <f>'Raw Data'!Q8</f>
        <v>1255</v>
      </c>
      <c r="H10" s="18">
        <f>INDEX('Industry Stats'!$F$2:$F$49,MATCH($C10,'Industry Stats'!$A$2:$A$49,0))</f>
        <v>945.55</v>
      </c>
      <c r="I10" s="19">
        <f t="shared" si="0"/>
        <v>309.45000000000005</v>
      </c>
      <c r="J10" s="20">
        <f t="shared" si="1"/>
        <v>0.32726984294854855</v>
      </c>
      <c r="K10" s="18">
        <f>INDEX('Industry Stats'!$C$2:$C$49,MATCH($C10,'Industry Stats'!$A$2:$A$49,0))</f>
        <v>384.9</v>
      </c>
      <c r="L10" s="19">
        <f t="shared" si="2"/>
        <v>175.10000000000002</v>
      </c>
      <c r="M10" s="18">
        <f>INDEX('Industry Stats'!$D$2:$D$49,MATCH($C10,'Industry Stats'!$A$2:$A$49,0))</f>
        <v>285.7</v>
      </c>
      <c r="N10" s="19">
        <f t="shared" si="3"/>
        <v>64.300000000000011</v>
      </c>
      <c r="O10" s="18">
        <f>INDEX('Industry Stats'!$E$2:$E$49,MATCH($C10,'Industry Stats'!$A$2:$A$49,0))</f>
        <v>274.95</v>
      </c>
      <c r="P10" s="19">
        <f t="shared" si="4"/>
        <v>70.050000000000011</v>
      </c>
      <c r="R10">
        <f t="shared" si="5"/>
        <v>1255.0009990000001</v>
      </c>
      <c r="S10">
        <f t="shared" si="6"/>
        <v>560.00099899999998</v>
      </c>
      <c r="T10">
        <f t="shared" si="7"/>
        <v>350.00099899999998</v>
      </c>
      <c r="U10">
        <f t="shared" si="8"/>
        <v>345.00099899999998</v>
      </c>
      <c r="V10">
        <f t="shared" si="9"/>
        <v>309.45099900000002</v>
      </c>
      <c r="W10">
        <f t="shared" si="10"/>
        <v>-309.44900100000007</v>
      </c>
    </row>
    <row r="11" spans="1:23" ht="15" customHeight="1" x14ac:dyDescent="0.35">
      <c r="A11" t="str">
        <f>'Raw Data'!B9</f>
        <v>ATA Creativity Global</v>
      </c>
      <c r="B11" t="str">
        <f>'Raw Data'!A9</f>
        <v>aacg</v>
      </c>
      <c r="C11" t="str">
        <f>IF('Raw Data'!E9="N/A","Unclassified",TRIM(SUBSTITUTE('Raw Data'!E9," and "," &amp; ")))</f>
        <v>Diversified Consumer Services</v>
      </c>
      <c r="D11" s="17">
        <f>'Raw Data'!N9</f>
        <v>203</v>
      </c>
      <c r="E11" s="17">
        <f>'Raw Data'!O9</f>
        <v>200</v>
      </c>
      <c r="F11" s="17">
        <f>'Raw Data'!P9</f>
        <v>205</v>
      </c>
      <c r="G11" s="17">
        <f>'Raw Data'!Q9</f>
        <v>608</v>
      </c>
      <c r="H11" s="18">
        <f>INDEX('Industry Stats'!$F$2:$F$49,MATCH($C11,'Industry Stats'!$A$2:$A$49,0))</f>
        <v>739.33333333333337</v>
      </c>
      <c r="I11" s="19">
        <f t="shared" si="0"/>
        <v>-131.33333333333337</v>
      </c>
      <c r="J11" s="20">
        <f t="shared" si="1"/>
        <v>-0.17763751127141572</v>
      </c>
      <c r="K11" s="18">
        <f>INDEX('Industry Stats'!$C$2:$C$49,MATCH($C11,'Industry Stats'!$A$2:$A$49,0))</f>
        <v>286</v>
      </c>
      <c r="L11" s="19">
        <f t="shared" si="2"/>
        <v>-83</v>
      </c>
      <c r="M11" s="18">
        <f>INDEX('Industry Stats'!$D$2:$D$49,MATCH($C11,'Industry Stats'!$A$2:$A$49,0))</f>
        <v>233.33333333333334</v>
      </c>
      <c r="N11" s="19">
        <f t="shared" si="3"/>
        <v>-33.333333333333343</v>
      </c>
      <c r="O11" s="18">
        <f>INDEX('Industry Stats'!$E$2:$E$49,MATCH($C11,'Industry Stats'!$A$2:$A$49,0))</f>
        <v>220</v>
      </c>
      <c r="P11" s="19">
        <f t="shared" si="4"/>
        <v>-15</v>
      </c>
      <c r="R11">
        <f t="shared" si="5"/>
        <v>608.00099890000001</v>
      </c>
      <c r="S11">
        <f t="shared" si="6"/>
        <v>203.00099890000001</v>
      </c>
      <c r="T11">
        <f t="shared" si="7"/>
        <v>200.00099890000001</v>
      </c>
      <c r="U11">
        <f t="shared" si="8"/>
        <v>205.00099890000001</v>
      </c>
      <c r="V11">
        <f t="shared" si="9"/>
        <v>-131.33233443333336</v>
      </c>
      <c r="W11">
        <f t="shared" si="10"/>
        <v>131.33433223333338</v>
      </c>
    </row>
    <row r="12" spans="1:23" ht="15" customHeight="1" x14ac:dyDescent="0.35">
      <c r="A12" t="str">
        <f>'Raw Data'!B10</f>
        <v>American Airlines Group Inc</v>
      </c>
      <c r="B12" t="str">
        <f>'Raw Data'!A10</f>
        <v>aal</v>
      </c>
      <c r="C12" t="str">
        <f>IF('Raw Data'!E10="N/A","Unclassified",TRIM(SUBSTITUTE('Raw Data'!E10," and "," &amp; ")))</f>
        <v>Airlines</v>
      </c>
      <c r="D12" s="17">
        <f>'Raw Data'!N10</f>
        <v>270</v>
      </c>
      <c r="E12" s="17">
        <f>'Raw Data'!O10</f>
        <v>211</v>
      </c>
      <c r="F12" s="17">
        <f>'Raw Data'!P10</f>
        <v>265</v>
      </c>
      <c r="G12" s="17">
        <f>'Raw Data'!Q10</f>
        <v>746</v>
      </c>
      <c r="H12" s="18">
        <f>INDEX('Industry Stats'!$F$2:$F$49,MATCH($C12,'Industry Stats'!$A$2:$A$49,0))</f>
        <v>838.71428571428567</v>
      </c>
      <c r="I12" s="19">
        <f t="shared" si="0"/>
        <v>-92.714285714285666</v>
      </c>
      <c r="J12" s="20">
        <f t="shared" si="1"/>
        <v>-0.11054334866291939</v>
      </c>
      <c r="K12" s="18">
        <f>INDEX('Industry Stats'!$C$2:$C$49,MATCH($C12,'Industry Stats'!$A$2:$A$49,0))</f>
        <v>326.71428571428572</v>
      </c>
      <c r="L12" s="19">
        <f t="shared" si="2"/>
        <v>-56.714285714285722</v>
      </c>
      <c r="M12" s="18">
        <f>INDEX('Industry Stats'!$D$2:$D$49,MATCH($C12,'Industry Stats'!$A$2:$A$49,0))</f>
        <v>265.71428571428572</v>
      </c>
      <c r="N12" s="19">
        <f t="shared" si="3"/>
        <v>-54.714285714285722</v>
      </c>
      <c r="O12" s="18">
        <f>INDEX('Industry Stats'!$E$2:$E$49,MATCH($C12,'Industry Stats'!$A$2:$A$49,0))</f>
        <v>246.28571428571428</v>
      </c>
      <c r="P12" s="19">
        <f t="shared" si="4"/>
        <v>18.714285714285722</v>
      </c>
      <c r="R12">
        <f t="shared" si="5"/>
        <v>746.00099880000005</v>
      </c>
      <c r="S12">
        <f t="shared" si="6"/>
        <v>270.00099879999999</v>
      </c>
      <c r="T12">
        <f t="shared" si="7"/>
        <v>211.00099879999999</v>
      </c>
      <c r="U12">
        <f t="shared" si="8"/>
        <v>265.00099879999999</v>
      </c>
      <c r="V12">
        <f t="shared" si="9"/>
        <v>-92.713286914285661</v>
      </c>
      <c r="W12">
        <f t="shared" si="10"/>
        <v>92.715284514285671</v>
      </c>
    </row>
    <row r="13" spans="1:23" ht="15" customHeight="1" x14ac:dyDescent="0.35">
      <c r="A13" t="str">
        <f>'Raw Data'!B11</f>
        <v>Atlantic American Corp</v>
      </c>
      <c r="B13" t="str">
        <f>'Raw Data'!A11</f>
        <v>aame</v>
      </c>
      <c r="C13" t="str">
        <f>IF('Raw Data'!E11="N/A","Unclassified",TRIM(SUBSTITUTE('Raw Data'!E11," and "," &amp; ")))</f>
        <v>Insurance</v>
      </c>
      <c r="D13" s="17">
        <f>'Raw Data'!N11</f>
        <v>220</v>
      </c>
      <c r="E13" s="17">
        <f>'Raw Data'!O11</f>
        <v>221</v>
      </c>
      <c r="F13" s="17">
        <f>'Raw Data'!P11</f>
        <v>300</v>
      </c>
      <c r="G13" s="17">
        <f>'Raw Data'!Q11</f>
        <v>741</v>
      </c>
      <c r="H13" s="18">
        <f>INDEX('Industry Stats'!$F$2:$F$49,MATCH($C13,'Industry Stats'!$A$2:$A$49,0))</f>
        <v>1012.3703703703703</v>
      </c>
      <c r="I13" s="19">
        <f t="shared" si="0"/>
        <v>-271.37037037037032</v>
      </c>
      <c r="J13" s="20">
        <f t="shared" si="1"/>
        <v>-0.2680544376966415</v>
      </c>
      <c r="K13" s="18">
        <f>INDEX('Industry Stats'!$C$2:$C$49,MATCH($C13,'Industry Stats'!$A$2:$A$49,0))</f>
        <v>425.25925925925924</v>
      </c>
      <c r="L13" s="19">
        <f t="shared" si="2"/>
        <v>-205.25925925925924</v>
      </c>
      <c r="M13" s="18">
        <f>INDEX('Industry Stats'!$D$2:$D$49,MATCH($C13,'Industry Stats'!$A$2:$A$49,0))</f>
        <v>295.66666666666669</v>
      </c>
      <c r="N13" s="19">
        <f t="shared" si="3"/>
        <v>-74.666666666666686</v>
      </c>
      <c r="O13" s="18">
        <f>INDEX('Industry Stats'!$E$2:$E$49,MATCH($C13,'Industry Stats'!$A$2:$A$49,0))</f>
        <v>291.44444444444446</v>
      </c>
      <c r="P13" s="19">
        <f t="shared" si="4"/>
        <v>8.5555555555555429</v>
      </c>
      <c r="R13">
        <f t="shared" si="5"/>
        <v>741.00099869999997</v>
      </c>
      <c r="S13">
        <f t="shared" si="6"/>
        <v>220.0009987</v>
      </c>
      <c r="T13">
        <f t="shared" si="7"/>
        <v>221.0009987</v>
      </c>
      <c r="U13">
        <f t="shared" si="8"/>
        <v>300.00099870000003</v>
      </c>
      <c r="V13">
        <f t="shared" si="9"/>
        <v>-271.3693716703703</v>
      </c>
      <c r="W13">
        <f t="shared" si="10"/>
        <v>271.37136907037035</v>
      </c>
    </row>
    <row r="14" spans="1:23" ht="15" customHeight="1" x14ac:dyDescent="0.35">
      <c r="A14" t="str">
        <f>'Raw Data'!B12</f>
        <v>Applied Optoelectronics Inc</v>
      </c>
      <c r="B14" t="str">
        <f>'Raw Data'!A12</f>
        <v>aaoi</v>
      </c>
      <c r="C14" t="str">
        <f>IF('Raw Data'!E12="N/A","Unclassified",TRIM(SUBSTITUTE('Raw Data'!E12," and "," &amp; ")))</f>
        <v>Communications</v>
      </c>
      <c r="D14" s="17">
        <f>'Raw Data'!N12</f>
        <v>311</v>
      </c>
      <c r="E14" s="17">
        <f>'Raw Data'!O12</f>
        <v>256</v>
      </c>
      <c r="F14" s="17">
        <f>'Raw Data'!P12</f>
        <v>218</v>
      </c>
      <c r="G14" s="17">
        <f>'Raw Data'!Q12</f>
        <v>785</v>
      </c>
      <c r="H14" s="18">
        <f>INDEX('Industry Stats'!$F$2:$F$49,MATCH($C14,'Industry Stats'!$A$2:$A$49,0))</f>
        <v>938.22222222222217</v>
      </c>
      <c r="I14" s="19">
        <f t="shared" si="0"/>
        <v>-153.22222222222217</v>
      </c>
      <c r="J14" s="20">
        <f t="shared" si="1"/>
        <v>-0.16331122690667926</v>
      </c>
      <c r="K14" s="18">
        <f>INDEX('Industry Stats'!$C$2:$C$49,MATCH($C14,'Industry Stats'!$A$2:$A$49,0))</f>
        <v>385</v>
      </c>
      <c r="L14" s="19">
        <f t="shared" si="2"/>
        <v>-74</v>
      </c>
      <c r="M14" s="18">
        <f>INDEX('Industry Stats'!$D$2:$D$49,MATCH($C14,'Industry Stats'!$A$2:$A$49,0))</f>
        <v>278.77777777777777</v>
      </c>
      <c r="N14" s="19">
        <f t="shared" si="3"/>
        <v>-22.777777777777771</v>
      </c>
      <c r="O14" s="18">
        <f>INDEX('Industry Stats'!$E$2:$E$49,MATCH($C14,'Industry Stats'!$A$2:$A$49,0))</f>
        <v>274.44444444444446</v>
      </c>
      <c r="P14" s="19">
        <f t="shared" si="4"/>
        <v>-56.444444444444457</v>
      </c>
      <c r="R14">
        <f t="shared" si="5"/>
        <v>785.0009986</v>
      </c>
      <c r="S14">
        <f t="shared" si="6"/>
        <v>311.0009986</v>
      </c>
      <c r="T14">
        <f t="shared" si="7"/>
        <v>256.0009986</v>
      </c>
      <c r="U14">
        <f t="shared" si="8"/>
        <v>218.0009986</v>
      </c>
      <c r="V14">
        <f t="shared" si="9"/>
        <v>-153.22122362222217</v>
      </c>
      <c r="W14">
        <f t="shared" si="10"/>
        <v>153.22322082222217</v>
      </c>
    </row>
    <row r="15" spans="1:23" ht="15" customHeight="1" x14ac:dyDescent="0.35">
      <c r="A15" t="str">
        <f>'Raw Data'!B13</f>
        <v>Aaon Inc</v>
      </c>
      <c r="B15" t="str">
        <f>'Raw Data'!A13</f>
        <v>aaon</v>
      </c>
      <c r="C15" t="str">
        <f>IF('Raw Data'!E13="N/A","Unclassified",TRIM(SUBSTITUTE('Raw Data'!E13," and "," &amp; ")))</f>
        <v>Building</v>
      </c>
      <c r="D15" s="17">
        <f>'Raw Data'!N13</f>
        <v>500</v>
      </c>
      <c r="E15" s="17">
        <f>'Raw Data'!O13</f>
        <v>300</v>
      </c>
      <c r="F15" s="17">
        <f>'Raw Data'!P13</f>
        <v>223</v>
      </c>
      <c r="G15" s="17">
        <f>'Raw Data'!Q13</f>
        <v>1023</v>
      </c>
      <c r="H15" s="18">
        <f>INDEX('Industry Stats'!$F$2:$F$49,MATCH($C15,'Industry Stats'!$A$2:$A$49,0))</f>
        <v>1074.2</v>
      </c>
      <c r="I15" s="19">
        <f t="shared" si="0"/>
        <v>-51.200000000000045</v>
      </c>
      <c r="J15" s="20">
        <f t="shared" si="1"/>
        <v>-4.7663377397132792E-2</v>
      </c>
      <c r="K15" s="18">
        <f>INDEX('Industry Stats'!$C$2:$C$49,MATCH($C15,'Industry Stats'!$A$2:$A$49,0))</f>
        <v>476.7</v>
      </c>
      <c r="L15" s="19">
        <f t="shared" si="2"/>
        <v>23.300000000000011</v>
      </c>
      <c r="M15" s="18">
        <f>INDEX('Industry Stats'!$D$2:$D$49,MATCH($C15,'Industry Stats'!$A$2:$A$49,0))</f>
        <v>305.10000000000002</v>
      </c>
      <c r="N15" s="19">
        <f t="shared" si="3"/>
        <v>-5.1000000000000227</v>
      </c>
      <c r="O15" s="18">
        <f>INDEX('Industry Stats'!$E$2:$E$49,MATCH($C15,'Industry Stats'!$A$2:$A$49,0))</f>
        <v>292.39999999999998</v>
      </c>
      <c r="P15" s="19">
        <f t="shared" si="4"/>
        <v>-69.399999999999977</v>
      </c>
      <c r="R15">
        <f t="shared" si="5"/>
        <v>1023.0009985</v>
      </c>
      <c r="S15">
        <f t="shared" si="6"/>
        <v>500.00099849999998</v>
      </c>
      <c r="T15">
        <f t="shared" si="7"/>
        <v>300.00099849999998</v>
      </c>
      <c r="U15">
        <f t="shared" si="8"/>
        <v>223.00099850000001</v>
      </c>
      <c r="V15">
        <f t="shared" si="9"/>
        <v>-51.199001500000044</v>
      </c>
      <c r="W15">
        <f t="shared" si="10"/>
        <v>51.200998500000047</v>
      </c>
    </row>
    <row r="16" spans="1:23" ht="15" customHeight="1" x14ac:dyDescent="0.35">
      <c r="A16" t="str">
        <f>'Raw Data'!B14</f>
        <v>Apple Inc</v>
      </c>
      <c r="B16" t="str">
        <f>'Raw Data'!A14</f>
        <v>aapl</v>
      </c>
      <c r="C16" t="str">
        <f>IF('Raw Data'!E14="N/A","Unclassified",TRIM(SUBSTITUTE('Raw Data'!E14," and "," &amp; ")))</f>
        <v>Technology</v>
      </c>
      <c r="D16" s="17">
        <f>'Raw Data'!N14</f>
        <v>355</v>
      </c>
      <c r="E16" s="17">
        <f>'Raw Data'!O14</f>
        <v>281</v>
      </c>
      <c r="F16" s="17">
        <f>'Raw Data'!P14</f>
        <v>255</v>
      </c>
      <c r="G16" s="17">
        <f>'Raw Data'!Q14</f>
        <v>891</v>
      </c>
      <c r="H16" s="18">
        <f>INDEX('Industry Stats'!$F$2:$F$49,MATCH($C16,'Industry Stats'!$A$2:$A$49,0))</f>
        <v>1031.3174603174602</v>
      </c>
      <c r="I16" s="19">
        <f t="shared" si="0"/>
        <v>-140.31746031746025</v>
      </c>
      <c r="J16" s="20">
        <f t="shared" si="1"/>
        <v>-0.13605651578347924</v>
      </c>
      <c r="K16" s="18">
        <f>INDEX('Industry Stats'!$C$2:$C$49,MATCH($C16,'Industry Stats'!$A$2:$A$49,0))</f>
        <v>438.11111111111109</v>
      </c>
      <c r="L16" s="19">
        <f t="shared" si="2"/>
        <v>-83.111111111111086</v>
      </c>
      <c r="M16" s="18">
        <f>INDEX('Industry Stats'!$D$2:$D$49,MATCH($C16,'Industry Stats'!$A$2:$A$49,0))</f>
        <v>307.90476190476193</v>
      </c>
      <c r="N16" s="19">
        <f t="shared" si="3"/>
        <v>-26.904761904761926</v>
      </c>
      <c r="O16" s="18">
        <f>INDEX('Industry Stats'!$E$2:$E$49,MATCH($C16,'Industry Stats'!$A$2:$A$49,0))</f>
        <v>285.30158730158729</v>
      </c>
      <c r="P16" s="19">
        <f t="shared" si="4"/>
        <v>-30.30158730158729</v>
      </c>
      <c r="R16">
        <f t="shared" si="5"/>
        <v>891.00099839999996</v>
      </c>
      <c r="S16">
        <f t="shared" si="6"/>
        <v>355.00099840000001</v>
      </c>
      <c r="T16">
        <f t="shared" si="7"/>
        <v>281.00099840000001</v>
      </c>
      <c r="U16">
        <f t="shared" si="8"/>
        <v>255.00099839999999</v>
      </c>
      <c r="V16">
        <f t="shared" si="9"/>
        <v>-140.31646191746026</v>
      </c>
      <c r="W16">
        <f t="shared" si="10"/>
        <v>140.31845871746023</v>
      </c>
    </row>
    <row r="17" spans="1:23" ht="15" customHeight="1" x14ac:dyDescent="0.35">
      <c r="A17" t="str">
        <f>'Raw Data'!B15</f>
        <v>Autoscope Technologies Corp</v>
      </c>
      <c r="B17" t="str">
        <f>'Raw Data'!A15</f>
        <v>aatc</v>
      </c>
      <c r="C17" t="str">
        <f>IF('Raw Data'!E15="N/A","Unclassified",TRIM(SUBSTITUTE('Raw Data'!E15," and "," &amp; ")))</f>
        <v>Electrical Equipment</v>
      </c>
      <c r="D17" s="17">
        <f>'Raw Data'!N15</f>
        <v>410</v>
      </c>
      <c r="E17" s="17">
        <f>'Raw Data'!O15</f>
        <v>286</v>
      </c>
      <c r="F17" s="17">
        <f>'Raw Data'!P15</f>
        <v>240</v>
      </c>
      <c r="G17" s="17">
        <f>'Raw Data'!Q15</f>
        <v>936</v>
      </c>
      <c r="H17" s="18">
        <f>INDEX('Industry Stats'!$F$2:$F$49,MATCH($C17,'Industry Stats'!$A$2:$A$49,0))</f>
        <v>933</v>
      </c>
      <c r="I17" s="19">
        <f t="shared" si="0"/>
        <v>3</v>
      </c>
      <c r="J17" s="20">
        <f t="shared" si="1"/>
        <v>3.2154340836012861E-3</v>
      </c>
      <c r="K17" s="18">
        <f>INDEX('Industry Stats'!$C$2:$C$49,MATCH($C17,'Industry Stats'!$A$2:$A$49,0))</f>
        <v>381.7037037037037</v>
      </c>
      <c r="L17" s="19">
        <f t="shared" si="2"/>
        <v>28.296296296296305</v>
      </c>
      <c r="M17" s="18">
        <f>INDEX('Industry Stats'!$D$2:$D$49,MATCH($C17,'Industry Stats'!$A$2:$A$49,0))</f>
        <v>272.11111111111109</v>
      </c>
      <c r="N17" s="19">
        <f t="shared" si="3"/>
        <v>13.888888888888914</v>
      </c>
      <c r="O17" s="18">
        <f>INDEX('Industry Stats'!$E$2:$E$49,MATCH($C17,'Industry Stats'!$A$2:$A$49,0))</f>
        <v>279.18518518518516</v>
      </c>
      <c r="P17" s="19">
        <f t="shared" si="4"/>
        <v>-39.185185185185162</v>
      </c>
      <c r="R17">
        <f t="shared" si="5"/>
        <v>936.00099829999999</v>
      </c>
      <c r="S17">
        <f t="shared" si="6"/>
        <v>410.00099829999999</v>
      </c>
      <c r="T17">
        <f t="shared" si="7"/>
        <v>286.00099829999999</v>
      </c>
      <c r="U17">
        <f t="shared" si="8"/>
        <v>240.00099829999999</v>
      </c>
      <c r="V17">
        <f t="shared" si="9"/>
        <v>3.0009983</v>
      </c>
      <c r="W17">
        <f t="shared" si="10"/>
        <v>-2.9990017</v>
      </c>
    </row>
    <row r="18" spans="1:23" ht="15" customHeight="1" x14ac:dyDescent="0.35">
      <c r="A18" t="str">
        <f>'Raw Data'!B16</f>
        <v>Atlas Air Worldwide Holdings Inc</v>
      </c>
      <c r="B18" t="str">
        <f>'Raw Data'!A16</f>
        <v>aaww</v>
      </c>
      <c r="C18" t="str">
        <f>IF('Raw Data'!E16="N/A","Unclassified",TRIM(SUBSTITUTE('Raw Data'!E16," and "," &amp; ")))</f>
        <v>Logistics &amp; Transportation</v>
      </c>
      <c r="D18" s="17">
        <f>'Raw Data'!N16</f>
        <v>520</v>
      </c>
      <c r="E18" s="17">
        <f>'Raw Data'!O16</f>
        <v>243</v>
      </c>
      <c r="F18" s="17">
        <f>'Raw Data'!P16</f>
        <v>237</v>
      </c>
      <c r="G18" s="17">
        <f>'Raw Data'!Q16</f>
        <v>1000</v>
      </c>
      <c r="H18" s="18">
        <f>INDEX('Industry Stats'!$F$2:$F$49,MATCH($C18,'Industry Stats'!$A$2:$A$49,0))</f>
        <v>1025.1666666666667</v>
      </c>
      <c r="I18" s="19">
        <f t="shared" si="0"/>
        <v>-25.166666666666742</v>
      </c>
      <c r="J18" s="20">
        <f t="shared" si="1"/>
        <v>-2.4548853844903341E-2</v>
      </c>
      <c r="K18" s="18">
        <f>INDEX('Industry Stats'!$C$2:$C$49,MATCH($C18,'Industry Stats'!$A$2:$A$49,0))</f>
        <v>452.33333333333331</v>
      </c>
      <c r="L18" s="19">
        <f t="shared" si="2"/>
        <v>67.666666666666686</v>
      </c>
      <c r="M18" s="18">
        <f>INDEX('Industry Stats'!$D$2:$D$49,MATCH($C18,'Industry Stats'!$A$2:$A$49,0))</f>
        <v>289.5</v>
      </c>
      <c r="N18" s="19">
        <f t="shared" si="3"/>
        <v>-46.5</v>
      </c>
      <c r="O18" s="18">
        <f>INDEX('Industry Stats'!$E$2:$E$49,MATCH($C18,'Industry Stats'!$A$2:$A$49,0))</f>
        <v>283.33333333333331</v>
      </c>
      <c r="P18" s="19">
        <f t="shared" si="4"/>
        <v>-46.333333333333314</v>
      </c>
      <c r="R18">
        <f t="shared" si="5"/>
        <v>1000.0009982</v>
      </c>
      <c r="S18">
        <f t="shared" si="6"/>
        <v>520.00099820000003</v>
      </c>
      <c r="T18">
        <f t="shared" si="7"/>
        <v>243.0009982</v>
      </c>
      <c r="U18">
        <f t="shared" si="8"/>
        <v>237.0009982</v>
      </c>
      <c r="V18">
        <f t="shared" si="9"/>
        <v>-25.165668466666741</v>
      </c>
      <c r="W18">
        <f t="shared" si="10"/>
        <v>25.167664866666744</v>
      </c>
    </row>
    <row r="19" spans="1:23" ht="15" customHeight="1" x14ac:dyDescent="0.35">
      <c r="A19" t="str">
        <f>'Raw Data'!B17</f>
        <v>Armada Acquisition Corp I</v>
      </c>
      <c r="B19" t="str">
        <f>'Raw Data'!A17</f>
        <v>aaci</v>
      </c>
      <c r="C19" t="str">
        <f>IF('Raw Data'!E17="N/A","Unclassified",TRIM(SUBSTITUTE('Raw Data'!E17," and "," &amp; ")))</f>
        <v>Unclassified</v>
      </c>
      <c r="D19" s="17">
        <f>'Raw Data'!N17</f>
        <v>205</v>
      </c>
      <c r="E19" s="17">
        <f>'Raw Data'!O17</f>
        <v>200</v>
      </c>
      <c r="F19" s="17">
        <f>'Raw Data'!P17</f>
        <v>200</v>
      </c>
      <c r="G19" s="17">
        <f>'Raw Data'!Q17</f>
        <v>605</v>
      </c>
      <c r="H19" s="18">
        <f>INDEX('Industry Stats'!$F$2:$F$49,MATCH($C19,'Industry Stats'!$A$2:$A$49,0))</f>
        <v>709.30769230769226</v>
      </c>
      <c r="I19" s="19">
        <f t="shared" si="0"/>
        <v>-104.30769230769226</v>
      </c>
      <c r="J19" s="20">
        <f t="shared" si="1"/>
        <v>-0.14705563387918877</v>
      </c>
      <c r="K19" s="18">
        <f>INDEX('Industry Stats'!$C$2:$C$49,MATCH($C19,'Industry Stats'!$A$2:$A$49,0))</f>
        <v>215.38461538461539</v>
      </c>
      <c r="L19" s="19">
        <f t="shared" si="2"/>
        <v>-10.384615384615387</v>
      </c>
      <c r="M19" s="18">
        <f>INDEX('Industry Stats'!$D$2:$D$49,MATCH($C19,'Industry Stats'!$A$2:$A$49,0))</f>
        <v>231.15384615384616</v>
      </c>
      <c r="N19" s="19">
        <f t="shared" si="3"/>
        <v>-31.15384615384616</v>
      </c>
      <c r="O19" s="18">
        <f>INDEX('Industry Stats'!$E$2:$E$49,MATCH($C19,'Industry Stats'!$A$2:$A$49,0))</f>
        <v>262.76923076923077</v>
      </c>
      <c r="P19" s="19">
        <f t="shared" si="4"/>
        <v>-62.769230769230774</v>
      </c>
      <c r="R19">
        <f t="shared" si="5"/>
        <v>605.00099809999995</v>
      </c>
      <c r="S19">
        <f t="shared" si="6"/>
        <v>205.0009981</v>
      </c>
      <c r="T19">
        <f t="shared" si="7"/>
        <v>200.0009981</v>
      </c>
      <c r="U19">
        <f t="shared" si="8"/>
        <v>200.0009981</v>
      </c>
      <c r="V19">
        <f t="shared" si="9"/>
        <v>-104.30669420769226</v>
      </c>
      <c r="W19">
        <f t="shared" si="10"/>
        <v>104.30869040769227</v>
      </c>
    </row>
    <row r="20" spans="1:23" ht="15" customHeight="1" x14ac:dyDescent="0.35">
      <c r="A20" t="str">
        <f>'Raw Data'!B18</f>
        <v>Aadi Bioscience Inc</v>
      </c>
      <c r="B20" t="str">
        <f>'Raw Data'!A18</f>
        <v>aadi</v>
      </c>
      <c r="C20" t="str">
        <f>IF('Raw Data'!E18="N/A","Unclassified",TRIM(SUBSTITUTE('Raw Data'!E18," and "," &amp; ")))</f>
        <v>Biotechnology</v>
      </c>
      <c r="D20" s="17">
        <f>'Raw Data'!N18</f>
        <v>200</v>
      </c>
      <c r="E20" s="17">
        <f>'Raw Data'!O18</f>
        <v>201</v>
      </c>
      <c r="F20" s="17">
        <f>'Raw Data'!P18</f>
        <v>203</v>
      </c>
      <c r="G20" s="17">
        <f>'Raw Data'!Q18</f>
        <v>604</v>
      </c>
      <c r="H20" s="18">
        <f>INDEX('Industry Stats'!$F$2:$F$49,MATCH($C20,'Industry Stats'!$A$2:$A$49,0))</f>
        <v>866.91071428571433</v>
      </c>
      <c r="I20" s="19">
        <f t="shared" si="0"/>
        <v>-262.91071428571433</v>
      </c>
      <c r="J20" s="20">
        <f t="shared" si="1"/>
        <v>-0.3032731167734361</v>
      </c>
      <c r="K20" s="18">
        <f>INDEX('Industry Stats'!$C$2:$C$49,MATCH($C20,'Industry Stats'!$A$2:$A$49,0))</f>
        <v>306.53571428571428</v>
      </c>
      <c r="L20" s="19">
        <f t="shared" si="2"/>
        <v>-106.53571428571428</v>
      </c>
      <c r="M20" s="18">
        <f>INDEX('Industry Stats'!$D$2:$D$49,MATCH($C20,'Industry Stats'!$A$2:$A$49,0))</f>
        <v>268.85714285714283</v>
      </c>
      <c r="N20" s="19">
        <f t="shared" si="3"/>
        <v>-67.857142857142833</v>
      </c>
      <c r="O20" s="18">
        <f>INDEX('Industry Stats'!$E$2:$E$49,MATCH($C20,'Industry Stats'!$A$2:$A$49,0))</f>
        <v>291.51785714285717</v>
      </c>
      <c r="P20" s="19">
        <f t="shared" si="4"/>
        <v>-88.517857142857167</v>
      </c>
      <c r="R20">
        <f t="shared" si="5"/>
        <v>604.00099799999998</v>
      </c>
      <c r="S20">
        <f t="shared" si="6"/>
        <v>200.00099800000001</v>
      </c>
      <c r="T20">
        <f t="shared" si="7"/>
        <v>201.00099800000001</v>
      </c>
      <c r="U20">
        <f t="shared" si="8"/>
        <v>203.00099800000001</v>
      </c>
      <c r="V20">
        <f t="shared" si="9"/>
        <v>-262.90971628571435</v>
      </c>
      <c r="W20">
        <f t="shared" si="10"/>
        <v>262.91171228571432</v>
      </c>
    </row>
    <row r="21" spans="1:23" ht="15" customHeight="1" x14ac:dyDescent="0.35">
      <c r="A21" t="str">
        <f>'Raw Data'!B19</f>
        <v>Abeona Therapeutics Inc</v>
      </c>
      <c r="B21" t="str">
        <f>'Raw Data'!A19</f>
        <v>abeo</v>
      </c>
      <c r="C21" t="str">
        <f>IF('Raw Data'!E19="N/A","Unclassified",TRIM(SUBSTITUTE('Raw Data'!E19," and "," &amp; ")))</f>
        <v>Biotechnology</v>
      </c>
      <c r="D21" s="17">
        <f>'Raw Data'!N19</f>
        <v>205</v>
      </c>
      <c r="E21" s="17">
        <f>'Raw Data'!O19</f>
        <v>306</v>
      </c>
      <c r="F21" s="17">
        <f>'Raw Data'!P19</f>
        <v>310</v>
      </c>
      <c r="G21" s="17">
        <f>'Raw Data'!Q19</f>
        <v>821</v>
      </c>
      <c r="H21" s="18">
        <f>INDEX('Industry Stats'!$F$2:$F$49,MATCH($C21,'Industry Stats'!$A$2:$A$49,0))</f>
        <v>866.91071428571433</v>
      </c>
      <c r="I21" s="19">
        <f t="shared" si="0"/>
        <v>-45.910714285714334</v>
      </c>
      <c r="J21" s="20">
        <f t="shared" si="1"/>
        <v>-5.2958988197005015E-2</v>
      </c>
      <c r="K21" s="18">
        <f>INDEX('Industry Stats'!$C$2:$C$49,MATCH($C21,'Industry Stats'!$A$2:$A$49,0))</f>
        <v>306.53571428571428</v>
      </c>
      <c r="L21" s="19">
        <f t="shared" si="2"/>
        <v>-101.53571428571428</v>
      </c>
      <c r="M21" s="18">
        <f>INDEX('Industry Stats'!$D$2:$D$49,MATCH($C21,'Industry Stats'!$A$2:$A$49,0))</f>
        <v>268.85714285714283</v>
      </c>
      <c r="N21" s="19">
        <f t="shared" si="3"/>
        <v>37.142857142857167</v>
      </c>
      <c r="O21" s="18">
        <f>INDEX('Industry Stats'!$E$2:$E$49,MATCH($C21,'Industry Stats'!$A$2:$A$49,0))</f>
        <v>291.51785714285717</v>
      </c>
      <c r="P21" s="19">
        <f t="shared" si="4"/>
        <v>18.482142857142833</v>
      </c>
      <c r="R21">
        <f t="shared" si="5"/>
        <v>821.00099790000002</v>
      </c>
      <c r="S21">
        <f t="shared" si="6"/>
        <v>205.00099789999999</v>
      </c>
      <c r="T21">
        <f t="shared" si="7"/>
        <v>306.00099790000002</v>
      </c>
      <c r="U21">
        <f t="shared" si="8"/>
        <v>310.00099790000002</v>
      </c>
      <c r="V21">
        <f t="shared" si="9"/>
        <v>-45.909716385714333</v>
      </c>
      <c r="W21">
        <f t="shared" si="10"/>
        <v>45.911712185714336</v>
      </c>
    </row>
    <row r="22" spans="1:23" ht="15" customHeight="1" x14ac:dyDescent="0.35">
      <c r="A22" t="str">
        <f>'Raw Data'!B20</f>
        <v>Airbnb Inc</v>
      </c>
      <c r="B22" t="str">
        <f>'Raw Data'!A20</f>
        <v>abnb</v>
      </c>
      <c r="C22" t="str">
        <f>IF('Raw Data'!E20="N/A","Unclassified",TRIM(SUBSTITUTE('Raw Data'!E20," and "," &amp; ")))</f>
        <v>Hotels Restaurants &amp; Leisure</v>
      </c>
      <c r="D22" s="17">
        <f>'Raw Data'!N20</f>
        <v>505</v>
      </c>
      <c r="E22" s="17">
        <f>'Raw Data'!O20</f>
        <v>570</v>
      </c>
      <c r="F22" s="17">
        <f>'Raw Data'!P20</f>
        <v>400</v>
      </c>
      <c r="G22" s="17">
        <f>'Raw Data'!Q20</f>
        <v>1475</v>
      </c>
      <c r="H22" s="18">
        <f>INDEX('Industry Stats'!$F$2:$F$49,MATCH($C22,'Industry Stats'!$A$2:$A$49,0))</f>
        <v>918.86363636363637</v>
      </c>
      <c r="I22" s="19">
        <f t="shared" si="0"/>
        <v>556.13636363636363</v>
      </c>
      <c r="J22" s="20">
        <f t="shared" si="1"/>
        <v>0.60524363096710365</v>
      </c>
      <c r="K22" s="18">
        <f>INDEX('Industry Stats'!$C$2:$C$49,MATCH($C22,'Industry Stats'!$A$2:$A$49,0))</f>
        <v>374.63636363636363</v>
      </c>
      <c r="L22" s="19">
        <f t="shared" si="2"/>
        <v>130.36363636363637</v>
      </c>
      <c r="M22" s="18">
        <f>INDEX('Industry Stats'!$D$2:$D$49,MATCH($C22,'Industry Stats'!$A$2:$A$49,0))</f>
        <v>283.04545454545456</v>
      </c>
      <c r="N22" s="19">
        <f t="shared" si="3"/>
        <v>286.95454545454544</v>
      </c>
      <c r="O22" s="18">
        <f>INDEX('Industry Stats'!$E$2:$E$49,MATCH($C22,'Industry Stats'!$A$2:$A$49,0))</f>
        <v>261.18181818181819</v>
      </c>
      <c r="P22" s="19">
        <f t="shared" si="4"/>
        <v>138.81818181818181</v>
      </c>
      <c r="R22">
        <f t="shared" si="5"/>
        <v>1475.0009978000001</v>
      </c>
      <c r="S22">
        <f t="shared" si="6"/>
        <v>505.00099779999999</v>
      </c>
      <c r="T22">
        <f t="shared" si="7"/>
        <v>570.00099780000005</v>
      </c>
      <c r="U22">
        <f t="shared" si="8"/>
        <v>400.00099779999999</v>
      </c>
      <c r="V22">
        <f t="shared" si="9"/>
        <v>556.13736143636368</v>
      </c>
      <c r="W22">
        <f t="shared" si="10"/>
        <v>-556.13536583636358</v>
      </c>
    </row>
    <row r="23" spans="1:23" ht="15" customHeight="1" x14ac:dyDescent="0.35">
      <c r="A23" t="str">
        <f>'Raw Data'!B21</f>
        <v>ARCA Biopharma Inc</v>
      </c>
      <c r="B23" t="str">
        <f>'Raw Data'!A21</f>
        <v>abio</v>
      </c>
      <c r="C23" t="str">
        <f>IF('Raw Data'!E21="N/A","Unclassified",TRIM(SUBSTITUTE('Raw Data'!E21," and "," &amp; ")))</f>
        <v>Biotechnology</v>
      </c>
      <c r="D23" s="17">
        <f>'Raw Data'!N21</f>
        <v>200</v>
      </c>
      <c r="E23" s="17">
        <f>'Raw Data'!O21</f>
        <v>222</v>
      </c>
      <c r="F23" s="17">
        <f>'Raw Data'!P21</f>
        <v>290</v>
      </c>
      <c r="G23" s="17">
        <f>'Raw Data'!Q21</f>
        <v>712</v>
      </c>
      <c r="H23" s="18">
        <f>INDEX('Industry Stats'!$F$2:$F$49,MATCH($C23,'Industry Stats'!$A$2:$A$49,0))</f>
        <v>866.91071428571433</v>
      </c>
      <c r="I23" s="19">
        <f t="shared" si="0"/>
        <v>-154.91071428571433</v>
      </c>
      <c r="J23" s="20">
        <f t="shared" si="1"/>
        <v>-0.17869281315014321</v>
      </c>
      <c r="K23" s="18">
        <f>INDEX('Industry Stats'!$C$2:$C$49,MATCH($C23,'Industry Stats'!$A$2:$A$49,0))</f>
        <v>306.53571428571428</v>
      </c>
      <c r="L23" s="19">
        <f t="shared" si="2"/>
        <v>-106.53571428571428</v>
      </c>
      <c r="M23" s="18">
        <f>INDEX('Industry Stats'!$D$2:$D$49,MATCH($C23,'Industry Stats'!$A$2:$A$49,0))</f>
        <v>268.85714285714283</v>
      </c>
      <c r="N23" s="19">
        <f t="shared" si="3"/>
        <v>-46.857142857142833</v>
      </c>
      <c r="O23" s="18">
        <f>INDEX('Industry Stats'!$E$2:$E$49,MATCH($C23,'Industry Stats'!$A$2:$A$49,0))</f>
        <v>291.51785714285717</v>
      </c>
      <c r="P23" s="19">
        <f t="shared" si="4"/>
        <v>-1.5178571428571672</v>
      </c>
      <c r="R23">
        <f t="shared" si="5"/>
        <v>712.00099769999997</v>
      </c>
      <c r="S23">
        <f t="shared" si="6"/>
        <v>200.0009977</v>
      </c>
      <c r="T23">
        <f t="shared" si="7"/>
        <v>222.0009977</v>
      </c>
      <c r="U23">
        <f t="shared" si="8"/>
        <v>290.00099770000003</v>
      </c>
      <c r="V23">
        <f t="shared" si="9"/>
        <v>-154.90971658571434</v>
      </c>
      <c r="W23">
        <f t="shared" si="10"/>
        <v>154.91171198571433</v>
      </c>
    </row>
    <row r="24" spans="1:23" ht="15" customHeight="1" x14ac:dyDescent="0.35">
      <c r="A24" t="str">
        <f>'Raw Data'!B22</f>
        <v>ABIOMED Inc</v>
      </c>
      <c r="B24" t="str">
        <f>'Raw Data'!A22</f>
        <v>abmd</v>
      </c>
      <c r="C24" t="str">
        <f>IF('Raw Data'!E22="N/A","Unclassified",TRIM(SUBSTITUTE('Raw Data'!E22," and "," &amp; ")))</f>
        <v>Health Care</v>
      </c>
      <c r="D24" s="17">
        <f>'Raw Data'!N22</f>
        <v>500</v>
      </c>
      <c r="E24" s="17">
        <f>'Raw Data'!O22</f>
        <v>324</v>
      </c>
      <c r="F24" s="17">
        <f>'Raw Data'!P22</f>
        <v>305</v>
      </c>
      <c r="G24" s="17">
        <f>'Raw Data'!Q22</f>
        <v>1129</v>
      </c>
      <c r="H24" s="18">
        <f>INDEX('Industry Stats'!$F$2:$F$49,MATCH($C24,'Industry Stats'!$A$2:$A$49,0))</f>
        <v>938.76470588235293</v>
      </c>
      <c r="I24" s="19">
        <f t="shared" si="0"/>
        <v>190.23529411764707</v>
      </c>
      <c r="J24" s="20">
        <f t="shared" si="1"/>
        <v>0.20264427595714019</v>
      </c>
      <c r="K24" s="18">
        <f>INDEX('Industry Stats'!$C$2:$C$49,MATCH($C24,'Industry Stats'!$A$2:$A$49,0))</f>
        <v>374.52941176470586</v>
      </c>
      <c r="L24" s="19">
        <f t="shared" si="2"/>
        <v>125.47058823529414</v>
      </c>
      <c r="M24" s="18">
        <f>INDEX('Industry Stats'!$D$2:$D$49,MATCH($C24,'Industry Stats'!$A$2:$A$49,0))</f>
        <v>287.43137254901961</v>
      </c>
      <c r="N24" s="19">
        <f t="shared" si="3"/>
        <v>36.568627450980387</v>
      </c>
      <c r="O24" s="18">
        <f>INDEX('Industry Stats'!$E$2:$E$49,MATCH($C24,'Industry Stats'!$A$2:$A$49,0))</f>
        <v>276.80392156862746</v>
      </c>
      <c r="P24" s="19">
        <f t="shared" si="4"/>
        <v>28.196078431372541</v>
      </c>
      <c r="R24">
        <f t="shared" si="5"/>
        <v>1129.0009975999999</v>
      </c>
      <c r="S24">
        <f t="shared" si="6"/>
        <v>500.00099760000001</v>
      </c>
      <c r="T24">
        <f t="shared" si="7"/>
        <v>324.00099760000001</v>
      </c>
      <c r="U24">
        <f t="shared" si="8"/>
        <v>305.00099760000001</v>
      </c>
      <c r="V24">
        <f t="shared" si="9"/>
        <v>190.23629171764708</v>
      </c>
      <c r="W24">
        <f t="shared" si="10"/>
        <v>-190.23429651764707</v>
      </c>
    </row>
    <row r="25" spans="1:23" ht="15" customHeight="1" x14ac:dyDescent="0.35">
      <c r="A25" t="str">
        <f>'Raw Data'!B23</f>
        <v>Acumen Pharmaceuticals Inc</v>
      </c>
      <c r="B25" t="str">
        <f>'Raw Data'!A23</f>
        <v>abos</v>
      </c>
      <c r="C25" t="str">
        <f>IF('Raw Data'!E23="N/A","Unclassified",TRIM(SUBSTITUTE('Raw Data'!E23," and "," &amp; ")))</f>
        <v>Biotechnology</v>
      </c>
      <c r="D25" s="17">
        <f>'Raw Data'!N23</f>
        <v>205</v>
      </c>
      <c r="E25" s="17">
        <f>'Raw Data'!O23</f>
        <v>201</v>
      </c>
      <c r="F25" s="17">
        <f>'Raw Data'!P23</f>
        <v>200</v>
      </c>
      <c r="G25" s="17">
        <f>'Raw Data'!Q23</f>
        <v>606</v>
      </c>
      <c r="H25" s="18">
        <f>INDEX('Industry Stats'!$F$2:$F$49,MATCH($C25,'Industry Stats'!$A$2:$A$49,0))</f>
        <v>866.91071428571433</v>
      </c>
      <c r="I25" s="19">
        <f t="shared" si="0"/>
        <v>-260.91071428571433</v>
      </c>
      <c r="J25" s="20">
        <f t="shared" si="1"/>
        <v>-0.30096607411374549</v>
      </c>
      <c r="K25" s="18">
        <f>INDEX('Industry Stats'!$C$2:$C$49,MATCH($C25,'Industry Stats'!$A$2:$A$49,0))</f>
        <v>306.53571428571428</v>
      </c>
      <c r="L25" s="19">
        <f t="shared" si="2"/>
        <v>-101.53571428571428</v>
      </c>
      <c r="M25" s="18">
        <f>INDEX('Industry Stats'!$D$2:$D$49,MATCH($C25,'Industry Stats'!$A$2:$A$49,0))</f>
        <v>268.85714285714283</v>
      </c>
      <c r="N25" s="19">
        <f t="shared" si="3"/>
        <v>-67.857142857142833</v>
      </c>
      <c r="O25" s="18">
        <f>INDEX('Industry Stats'!$E$2:$E$49,MATCH($C25,'Industry Stats'!$A$2:$A$49,0))</f>
        <v>291.51785714285717</v>
      </c>
      <c r="P25" s="19">
        <f t="shared" si="4"/>
        <v>-91.517857142857167</v>
      </c>
      <c r="R25">
        <f t="shared" si="5"/>
        <v>606.00099750000004</v>
      </c>
      <c r="S25">
        <f t="shared" si="6"/>
        <v>205.00099750000001</v>
      </c>
      <c r="T25">
        <f t="shared" si="7"/>
        <v>201.00099750000001</v>
      </c>
      <c r="U25">
        <f t="shared" si="8"/>
        <v>200.00099750000001</v>
      </c>
      <c r="V25">
        <f t="shared" si="9"/>
        <v>-260.90971678571435</v>
      </c>
      <c r="W25">
        <f t="shared" si="10"/>
        <v>260.91171178571432</v>
      </c>
    </row>
    <row r="26" spans="1:23" ht="15" customHeight="1" x14ac:dyDescent="0.35">
      <c r="A26" t="str">
        <f>'Raw Data'!B24</f>
        <v>Absci Corp</v>
      </c>
      <c r="B26" t="str">
        <f>'Raw Data'!A24</f>
        <v>absi</v>
      </c>
      <c r="C26" t="str">
        <f>IF('Raw Data'!E24="N/A","Unclassified",TRIM(SUBSTITUTE('Raw Data'!E24," and "," &amp; ")))</f>
        <v>Life Sciences Tools &amp; Services</v>
      </c>
      <c r="D26" s="17">
        <f>'Raw Data'!N24</f>
        <v>205</v>
      </c>
      <c r="E26" s="17">
        <f>'Raw Data'!O24</f>
        <v>224</v>
      </c>
      <c r="F26" s="17">
        <f>'Raw Data'!P24</f>
        <v>230</v>
      </c>
      <c r="G26" s="17">
        <f>'Raw Data'!Q24</f>
        <v>659</v>
      </c>
      <c r="H26" s="18">
        <f>INDEX('Industry Stats'!$F$2:$F$49,MATCH($C26,'Industry Stats'!$A$2:$A$49,0))</f>
        <v>993.125</v>
      </c>
      <c r="I26" s="19">
        <f t="shared" si="0"/>
        <v>-334.125</v>
      </c>
      <c r="J26" s="20">
        <f t="shared" si="1"/>
        <v>-0.33643801132787915</v>
      </c>
      <c r="K26" s="18">
        <f>INDEX('Industry Stats'!$C$2:$C$49,MATCH($C26,'Industry Stats'!$A$2:$A$49,0))</f>
        <v>421.375</v>
      </c>
      <c r="L26" s="19">
        <f t="shared" si="2"/>
        <v>-216.375</v>
      </c>
      <c r="M26" s="18">
        <f>INDEX('Industry Stats'!$D$2:$D$49,MATCH($C26,'Industry Stats'!$A$2:$A$49,0))</f>
        <v>294.5</v>
      </c>
      <c r="N26" s="19">
        <f t="shared" si="3"/>
        <v>-70.5</v>
      </c>
      <c r="O26" s="18">
        <f>INDEX('Industry Stats'!$E$2:$E$49,MATCH($C26,'Industry Stats'!$A$2:$A$49,0))</f>
        <v>277.25</v>
      </c>
      <c r="P26" s="19">
        <f t="shared" si="4"/>
        <v>-47.25</v>
      </c>
      <c r="R26">
        <f t="shared" si="5"/>
        <v>659.00099739999996</v>
      </c>
      <c r="S26">
        <f t="shared" si="6"/>
        <v>205.00099739999999</v>
      </c>
      <c r="T26">
        <f t="shared" si="7"/>
        <v>224.00099739999999</v>
      </c>
      <c r="U26">
        <f t="shared" si="8"/>
        <v>230.00099739999999</v>
      </c>
      <c r="V26">
        <f t="shared" si="9"/>
        <v>-334.12400259999998</v>
      </c>
      <c r="W26">
        <f t="shared" si="10"/>
        <v>334.12599740000002</v>
      </c>
    </row>
    <row r="27" spans="1:23" ht="15" customHeight="1" x14ac:dyDescent="0.35">
      <c r="A27" t="str">
        <f>'Raw Data'!B25</f>
        <v>Allegiance Bancshares Inc</v>
      </c>
      <c r="B27" t="str">
        <f>'Raw Data'!A25</f>
        <v>abtx</v>
      </c>
      <c r="C27" t="str">
        <f>IF('Raw Data'!E25="N/A","Unclassified",TRIM(SUBSTITUTE('Raw Data'!E25," and "," &amp; ")))</f>
        <v>Banking</v>
      </c>
      <c r="D27" s="17">
        <f>'Raw Data'!N25</f>
        <v>298</v>
      </c>
      <c r="E27" s="17">
        <f>'Raw Data'!O25</f>
        <v>300</v>
      </c>
      <c r="F27" s="17">
        <f>'Raw Data'!P25</f>
        <v>300</v>
      </c>
      <c r="G27" s="17">
        <f>'Raw Data'!Q25</f>
        <v>898</v>
      </c>
      <c r="H27" s="18">
        <f>INDEX('Industry Stats'!$F$2:$F$49,MATCH($C27,'Industry Stats'!$A$2:$A$49,0))</f>
        <v>898.31034482758616</v>
      </c>
      <c r="I27" s="19">
        <f t="shared" si="0"/>
        <v>-0.31034482758616377</v>
      </c>
      <c r="J27" s="20">
        <f t="shared" si="1"/>
        <v>-3.45476181336561E-4</v>
      </c>
      <c r="K27" s="18">
        <f>INDEX('Industry Stats'!$C$2:$C$49,MATCH($C27,'Industry Stats'!$A$2:$A$49,0))</f>
        <v>341.48275862068965</v>
      </c>
      <c r="L27" s="19">
        <f t="shared" si="2"/>
        <v>-43.482758620689651</v>
      </c>
      <c r="M27" s="18">
        <f>INDEX('Industry Stats'!$D$2:$D$49,MATCH($C27,'Industry Stats'!$A$2:$A$49,0))</f>
        <v>292.34482758620692</v>
      </c>
      <c r="N27" s="19">
        <f t="shared" si="3"/>
        <v>7.6551724137930819</v>
      </c>
      <c r="O27" s="18">
        <f>INDEX('Industry Stats'!$E$2:$E$49,MATCH($C27,'Industry Stats'!$A$2:$A$49,0))</f>
        <v>264.48275862068965</v>
      </c>
      <c r="P27" s="19">
        <f t="shared" si="4"/>
        <v>35.517241379310349</v>
      </c>
      <c r="R27">
        <f t="shared" si="5"/>
        <v>898.00099729999999</v>
      </c>
      <c r="S27">
        <f t="shared" si="6"/>
        <v>298.00099729999999</v>
      </c>
      <c r="T27">
        <f t="shared" si="7"/>
        <v>300.00099729999999</v>
      </c>
      <c r="U27">
        <f t="shared" si="8"/>
        <v>300.00099729999999</v>
      </c>
      <c r="V27">
        <f t="shared" si="9"/>
        <v>-0.3093475275861638</v>
      </c>
      <c r="W27">
        <f t="shared" si="10"/>
        <v>0.31134212758616375</v>
      </c>
    </row>
    <row r="28" spans="1:23" ht="15" customHeight="1" x14ac:dyDescent="0.35">
      <c r="A28" t="str">
        <f>'Raw Data'!B26</f>
        <v>Arbutus Biopharma Corp</v>
      </c>
      <c r="B28" t="str">
        <f>'Raw Data'!A26</f>
        <v>abus</v>
      </c>
      <c r="C28" t="str">
        <f>IF('Raw Data'!E26="N/A","Unclassified",TRIM(SUBSTITUTE('Raw Data'!E26," and "," &amp; ")))</f>
        <v>Biotechnology</v>
      </c>
      <c r="D28" s="17">
        <f>'Raw Data'!N26</f>
        <v>203</v>
      </c>
      <c r="E28" s="17">
        <f>'Raw Data'!O26</f>
        <v>204</v>
      </c>
      <c r="F28" s="17">
        <f>'Raw Data'!P26</f>
        <v>338</v>
      </c>
      <c r="G28" s="17">
        <f>'Raw Data'!Q26</f>
        <v>745</v>
      </c>
      <c r="H28" s="18">
        <f>INDEX('Industry Stats'!$F$2:$F$49,MATCH($C28,'Industry Stats'!$A$2:$A$49,0))</f>
        <v>866.91071428571433</v>
      </c>
      <c r="I28" s="19">
        <f t="shared" si="0"/>
        <v>-121.91071428571433</v>
      </c>
      <c r="J28" s="20">
        <f t="shared" si="1"/>
        <v>-0.14062660926524817</v>
      </c>
      <c r="K28" s="18">
        <f>INDEX('Industry Stats'!$C$2:$C$49,MATCH($C28,'Industry Stats'!$A$2:$A$49,0))</f>
        <v>306.53571428571428</v>
      </c>
      <c r="L28" s="19">
        <f t="shared" si="2"/>
        <v>-103.53571428571428</v>
      </c>
      <c r="M28" s="18">
        <f>INDEX('Industry Stats'!$D$2:$D$49,MATCH($C28,'Industry Stats'!$A$2:$A$49,0))</f>
        <v>268.85714285714283</v>
      </c>
      <c r="N28" s="19">
        <f t="shared" si="3"/>
        <v>-64.857142857142833</v>
      </c>
      <c r="O28" s="18">
        <f>INDEX('Industry Stats'!$E$2:$E$49,MATCH($C28,'Industry Stats'!$A$2:$A$49,0))</f>
        <v>291.51785714285717</v>
      </c>
      <c r="P28" s="19">
        <f t="shared" si="4"/>
        <v>46.482142857142833</v>
      </c>
      <c r="R28">
        <f t="shared" si="5"/>
        <v>745.00099720000003</v>
      </c>
      <c r="S28">
        <f t="shared" si="6"/>
        <v>203.0009972</v>
      </c>
      <c r="T28">
        <f t="shared" si="7"/>
        <v>204.0009972</v>
      </c>
      <c r="U28">
        <f t="shared" si="8"/>
        <v>338.00099719999997</v>
      </c>
      <c r="V28">
        <f t="shared" si="9"/>
        <v>-121.90971708571433</v>
      </c>
      <c r="W28">
        <f t="shared" si="10"/>
        <v>121.91171148571433</v>
      </c>
    </row>
    <row r="29" spans="1:23" ht="15" customHeight="1" x14ac:dyDescent="0.35">
      <c r="A29" t="str">
        <f>'Raw Data'!B27</f>
        <v>ABVC Biopharma Inc</v>
      </c>
      <c r="B29" t="str">
        <f>'Raw Data'!A27</f>
        <v>abvc</v>
      </c>
      <c r="C29" t="str">
        <f>IF('Raw Data'!E27="N/A","Unclassified",TRIM(SUBSTITUTE('Raw Data'!E27," and "," &amp; ")))</f>
        <v>Biotechnology</v>
      </c>
      <c r="D29" s="17">
        <f>'Raw Data'!N27</f>
        <v>220</v>
      </c>
      <c r="E29" s="17">
        <f>'Raw Data'!O27</f>
        <v>212</v>
      </c>
      <c r="F29" s="17">
        <f>'Raw Data'!P27</f>
        <v>205</v>
      </c>
      <c r="G29" s="17">
        <f>'Raw Data'!Q27</f>
        <v>637</v>
      </c>
      <c r="H29" s="18">
        <f>INDEX('Industry Stats'!$F$2:$F$49,MATCH($C29,'Industry Stats'!$A$2:$A$49,0))</f>
        <v>866.91071428571433</v>
      </c>
      <c r="I29" s="19">
        <f t="shared" si="0"/>
        <v>-229.91071428571433</v>
      </c>
      <c r="J29" s="20">
        <f t="shared" si="1"/>
        <v>-0.26520691288854104</v>
      </c>
      <c r="K29" s="18">
        <f>INDEX('Industry Stats'!$C$2:$C$49,MATCH($C29,'Industry Stats'!$A$2:$A$49,0))</f>
        <v>306.53571428571428</v>
      </c>
      <c r="L29" s="19">
        <f t="shared" si="2"/>
        <v>-86.535714285714278</v>
      </c>
      <c r="M29" s="18">
        <f>INDEX('Industry Stats'!$D$2:$D$49,MATCH($C29,'Industry Stats'!$A$2:$A$49,0))</f>
        <v>268.85714285714283</v>
      </c>
      <c r="N29" s="19">
        <f t="shared" si="3"/>
        <v>-56.857142857142833</v>
      </c>
      <c r="O29" s="18">
        <f>INDEX('Industry Stats'!$E$2:$E$49,MATCH($C29,'Industry Stats'!$A$2:$A$49,0))</f>
        <v>291.51785714285717</v>
      </c>
      <c r="P29" s="19">
        <f t="shared" si="4"/>
        <v>-86.517857142857167</v>
      </c>
      <c r="R29">
        <f t="shared" si="5"/>
        <v>637.00099709999995</v>
      </c>
      <c r="S29">
        <f t="shared" si="6"/>
        <v>220.00099710000001</v>
      </c>
      <c r="T29">
        <f t="shared" si="7"/>
        <v>212.00099710000001</v>
      </c>
      <c r="U29">
        <f t="shared" si="8"/>
        <v>205.00099710000001</v>
      </c>
      <c r="V29">
        <f t="shared" si="9"/>
        <v>-229.90971718571433</v>
      </c>
      <c r="W29">
        <f t="shared" si="10"/>
        <v>229.91171138571434</v>
      </c>
    </row>
    <row r="30" spans="1:23" ht="15" customHeight="1" x14ac:dyDescent="0.35">
      <c r="A30" t="str">
        <f>'Raw Data'!B28</f>
        <v>ACADIA Pharmaceuticals Inc</v>
      </c>
      <c r="B30" t="str">
        <f>'Raw Data'!A28</f>
        <v>acad</v>
      </c>
      <c r="C30" t="str">
        <f>IF('Raw Data'!E28="N/A","Unclassified",TRIM(SUBSTITUTE('Raw Data'!E28," and "," &amp; ")))</f>
        <v>Biotechnology</v>
      </c>
      <c r="D30" s="17">
        <f>'Raw Data'!N28</f>
        <v>230</v>
      </c>
      <c r="E30" s="17">
        <f>'Raw Data'!O28</f>
        <v>230</v>
      </c>
      <c r="F30" s="17">
        <f>'Raw Data'!P28</f>
        <v>305</v>
      </c>
      <c r="G30" s="17">
        <f>'Raw Data'!Q28</f>
        <v>765</v>
      </c>
      <c r="H30" s="18">
        <f>INDEX('Industry Stats'!$F$2:$F$49,MATCH($C30,'Industry Stats'!$A$2:$A$49,0))</f>
        <v>866.91071428571433</v>
      </c>
      <c r="I30" s="19">
        <f t="shared" si="0"/>
        <v>-101.91071428571433</v>
      </c>
      <c r="J30" s="20">
        <f t="shared" si="1"/>
        <v>-0.11755618266834207</v>
      </c>
      <c r="K30" s="18">
        <f>INDEX('Industry Stats'!$C$2:$C$49,MATCH($C30,'Industry Stats'!$A$2:$A$49,0))</f>
        <v>306.53571428571428</v>
      </c>
      <c r="L30" s="19">
        <f t="shared" si="2"/>
        <v>-76.535714285714278</v>
      </c>
      <c r="M30" s="18">
        <f>INDEX('Industry Stats'!$D$2:$D$49,MATCH($C30,'Industry Stats'!$A$2:$A$49,0))</f>
        <v>268.85714285714283</v>
      </c>
      <c r="N30" s="19">
        <f t="shared" si="3"/>
        <v>-38.857142857142833</v>
      </c>
      <c r="O30" s="18">
        <f>INDEX('Industry Stats'!$E$2:$E$49,MATCH($C30,'Industry Stats'!$A$2:$A$49,0))</f>
        <v>291.51785714285717</v>
      </c>
      <c r="P30" s="19">
        <f t="shared" si="4"/>
        <v>13.482142857142833</v>
      </c>
      <c r="R30">
        <f t="shared" si="5"/>
        <v>765.00099699999998</v>
      </c>
      <c r="S30">
        <f t="shared" si="6"/>
        <v>230.00099700000001</v>
      </c>
      <c r="T30">
        <f t="shared" si="7"/>
        <v>230.00099700000001</v>
      </c>
      <c r="U30">
        <f t="shared" si="8"/>
        <v>305.00099699999998</v>
      </c>
      <c r="V30">
        <f t="shared" si="9"/>
        <v>-101.90971728571434</v>
      </c>
      <c r="W30">
        <f t="shared" si="10"/>
        <v>101.91171128571433</v>
      </c>
    </row>
    <row r="31" spans="1:23" ht="15" customHeight="1" x14ac:dyDescent="0.35">
      <c r="A31" t="str">
        <f>'Raw Data'!B29</f>
        <v>Acri Capital Acquisition Corp</v>
      </c>
      <c r="B31" t="str">
        <f>'Raw Data'!A29</f>
        <v>acac</v>
      </c>
      <c r="C31" t="str">
        <f>IF('Raw Data'!E29="N/A","Unclassified",TRIM(SUBSTITUTE('Raw Data'!E29," and "," &amp; ")))</f>
        <v>Unclassified</v>
      </c>
      <c r="D31" s="17">
        <f>'Raw Data'!N29</f>
        <v>200</v>
      </c>
      <c r="E31" s="17">
        <f>'Raw Data'!O29</f>
        <v>205</v>
      </c>
      <c r="F31" s="17">
        <f>'Raw Data'!P29</f>
        <v>300</v>
      </c>
      <c r="G31" s="17">
        <f>'Raw Data'!Q29</f>
        <v>705</v>
      </c>
      <c r="H31" s="18">
        <f>INDEX('Industry Stats'!$F$2:$F$49,MATCH($C31,'Industry Stats'!$A$2:$A$49,0))</f>
        <v>709.30769230769226</v>
      </c>
      <c r="I31" s="19">
        <f t="shared" si="0"/>
        <v>-4.307692307692264</v>
      </c>
      <c r="J31" s="20">
        <f t="shared" si="1"/>
        <v>-6.0730940245092109E-3</v>
      </c>
      <c r="K31" s="18">
        <f>INDEX('Industry Stats'!$C$2:$C$49,MATCH($C31,'Industry Stats'!$A$2:$A$49,0))</f>
        <v>215.38461538461539</v>
      </c>
      <c r="L31" s="19">
        <f t="shared" si="2"/>
        <v>-15.384615384615387</v>
      </c>
      <c r="M31" s="18">
        <f>INDEX('Industry Stats'!$D$2:$D$49,MATCH($C31,'Industry Stats'!$A$2:$A$49,0))</f>
        <v>231.15384615384616</v>
      </c>
      <c r="N31" s="19">
        <f t="shared" si="3"/>
        <v>-26.15384615384616</v>
      </c>
      <c r="O31" s="18">
        <f>INDEX('Industry Stats'!$E$2:$E$49,MATCH($C31,'Industry Stats'!$A$2:$A$49,0))</f>
        <v>262.76923076923077</v>
      </c>
      <c r="P31" s="19">
        <f t="shared" si="4"/>
        <v>37.230769230769226</v>
      </c>
      <c r="R31">
        <f t="shared" si="5"/>
        <v>705.00099690000002</v>
      </c>
      <c r="S31">
        <f t="shared" si="6"/>
        <v>200.00099689999999</v>
      </c>
      <c r="T31">
        <f t="shared" si="7"/>
        <v>205.00099689999999</v>
      </c>
      <c r="U31">
        <f t="shared" si="8"/>
        <v>300.00099690000002</v>
      </c>
      <c r="V31">
        <f t="shared" si="9"/>
        <v>-4.3066954076922643</v>
      </c>
      <c r="W31">
        <f t="shared" si="10"/>
        <v>4.3086892076922636</v>
      </c>
    </row>
    <row r="32" spans="1:23" ht="15" customHeight="1" x14ac:dyDescent="0.35">
      <c r="A32" t="str">
        <f>'Raw Data'!B30</f>
        <v>Accolade Inc</v>
      </c>
      <c r="B32" t="str">
        <f>'Raw Data'!A30</f>
        <v>accd</v>
      </c>
      <c r="C32" t="str">
        <f>IF('Raw Data'!E30="N/A","Unclassified",TRIM(SUBSTITUTE('Raw Data'!E30," and "," &amp; ")))</f>
        <v>Health Care</v>
      </c>
      <c r="D32" s="17">
        <f>'Raw Data'!N30</f>
        <v>255</v>
      </c>
      <c r="E32" s="17">
        <f>'Raw Data'!O30</f>
        <v>254</v>
      </c>
      <c r="F32" s="17">
        <f>'Raw Data'!P30</f>
        <v>235</v>
      </c>
      <c r="G32" s="17">
        <f>'Raw Data'!Q30</f>
        <v>744</v>
      </c>
      <c r="H32" s="18">
        <f>INDEX('Industry Stats'!$F$2:$F$49,MATCH($C32,'Industry Stats'!$A$2:$A$49,0))</f>
        <v>938.76470588235293</v>
      </c>
      <c r="I32" s="19">
        <f t="shared" si="0"/>
        <v>-194.76470588235293</v>
      </c>
      <c r="J32" s="20">
        <f t="shared" si="1"/>
        <v>-0.20746913967040539</v>
      </c>
      <c r="K32" s="18">
        <f>INDEX('Industry Stats'!$C$2:$C$49,MATCH($C32,'Industry Stats'!$A$2:$A$49,0))</f>
        <v>374.52941176470586</v>
      </c>
      <c r="L32" s="19">
        <f t="shared" si="2"/>
        <v>-119.52941176470586</v>
      </c>
      <c r="M32" s="18">
        <f>INDEX('Industry Stats'!$D$2:$D$49,MATCH($C32,'Industry Stats'!$A$2:$A$49,0))</f>
        <v>287.43137254901961</v>
      </c>
      <c r="N32" s="19">
        <f t="shared" si="3"/>
        <v>-33.431372549019613</v>
      </c>
      <c r="O32" s="18">
        <f>INDEX('Industry Stats'!$E$2:$E$49,MATCH($C32,'Industry Stats'!$A$2:$A$49,0))</f>
        <v>276.80392156862746</v>
      </c>
      <c r="P32" s="19">
        <f t="shared" si="4"/>
        <v>-41.803921568627459</v>
      </c>
      <c r="R32">
        <f t="shared" si="5"/>
        <v>744.00099680000005</v>
      </c>
      <c r="S32">
        <f t="shared" si="6"/>
        <v>255.0009968</v>
      </c>
      <c r="T32">
        <f t="shared" si="7"/>
        <v>254.0009968</v>
      </c>
      <c r="U32">
        <f t="shared" si="8"/>
        <v>235.0009968</v>
      </c>
      <c r="V32">
        <f t="shared" si="9"/>
        <v>-194.76370908235293</v>
      </c>
      <c r="W32">
        <f t="shared" si="10"/>
        <v>194.76570268235292</v>
      </c>
    </row>
    <row r="33" spans="1:23" ht="15" customHeight="1" x14ac:dyDescent="0.35">
      <c r="A33" t="str">
        <f>'Raw Data'!B31</f>
        <v>Adicet Bio Inc</v>
      </c>
      <c r="B33" t="str">
        <f>'Raw Data'!A31</f>
        <v>acet</v>
      </c>
      <c r="C33" t="str">
        <f>IF('Raw Data'!E31="N/A","Unclassified",TRIM(SUBSTITUTE('Raw Data'!E31," and "," &amp; ")))</f>
        <v>Biotechnology</v>
      </c>
      <c r="D33" s="17">
        <f>'Raw Data'!N31</f>
        <v>215</v>
      </c>
      <c r="E33" s="17">
        <f>'Raw Data'!O31</f>
        <v>211</v>
      </c>
      <c r="F33" s="17">
        <f>'Raw Data'!P31</f>
        <v>305</v>
      </c>
      <c r="G33" s="17">
        <f>'Raw Data'!Q31</f>
        <v>731</v>
      </c>
      <c r="H33" s="18">
        <f>INDEX('Industry Stats'!$F$2:$F$49,MATCH($C33,'Industry Stats'!$A$2:$A$49,0))</f>
        <v>866.91071428571433</v>
      </c>
      <c r="I33" s="19">
        <f t="shared" si="0"/>
        <v>-135.91071428571433</v>
      </c>
      <c r="J33" s="20">
        <f t="shared" si="1"/>
        <v>-0.15677590788308243</v>
      </c>
      <c r="K33" s="18">
        <f>INDEX('Industry Stats'!$C$2:$C$49,MATCH($C33,'Industry Stats'!$A$2:$A$49,0))</f>
        <v>306.53571428571428</v>
      </c>
      <c r="L33" s="19">
        <f t="shared" si="2"/>
        <v>-91.535714285714278</v>
      </c>
      <c r="M33" s="18">
        <f>INDEX('Industry Stats'!$D$2:$D$49,MATCH($C33,'Industry Stats'!$A$2:$A$49,0))</f>
        <v>268.85714285714283</v>
      </c>
      <c r="N33" s="19">
        <f t="shared" si="3"/>
        <v>-57.857142857142833</v>
      </c>
      <c r="O33" s="18">
        <f>INDEX('Industry Stats'!$E$2:$E$49,MATCH($C33,'Industry Stats'!$A$2:$A$49,0))</f>
        <v>291.51785714285717</v>
      </c>
      <c r="P33" s="19">
        <f t="shared" si="4"/>
        <v>13.482142857142833</v>
      </c>
      <c r="R33">
        <f t="shared" si="5"/>
        <v>731.00099669999997</v>
      </c>
      <c r="S33">
        <f t="shared" si="6"/>
        <v>215.0009967</v>
      </c>
      <c r="T33">
        <f t="shared" si="7"/>
        <v>211.0009967</v>
      </c>
      <c r="U33">
        <f t="shared" si="8"/>
        <v>305.00099669999997</v>
      </c>
      <c r="V33">
        <f t="shared" si="9"/>
        <v>-135.90971758571433</v>
      </c>
      <c r="W33">
        <f t="shared" si="10"/>
        <v>135.91171098571434</v>
      </c>
    </row>
    <row r="34" spans="1:23" ht="15" customHeight="1" x14ac:dyDescent="0.35">
      <c r="A34" t="str">
        <f>'Raw Data'!B32</f>
        <v>Abcellera Biologics Inc</v>
      </c>
      <c r="B34" t="str">
        <f>'Raw Data'!A32</f>
        <v>abcl</v>
      </c>
      <c r="C34" t="str">
        <f>IF('Raw Data'!E32="N/A","Unclassified",TRIM(SUBSTITUTE('Raw Data'!E32," and "," &amp; ")))</f>
        <v>Life Sciences Tools &amp; Services</v>
      </c>
      <c r="D34" s="17">
        <f>'Raw Data'!N32</f>
        <v>540</v>
      </c>
      <c r="E34" s="17">
        <f>'Raw Data'!O32</f>
        <v>354</v>
      </c>
      <c r="F34" s="17">
        <f>'Raw Data'!P32</f>
        <v>345</v>
      </c>
      <c r="G34" s="17">
        <f>'Raw Data'!Q32</f>
        <v>1239</v>
      </c>
      <c r="H34" s="18">
        <f>INDEX('Industry Stats'!$F$2:$F$49,MATCH($C34,'Industry Stats'!$A$2:$A$49,0))</f>
        <v>993.125</v>
      </c>
      <c r="I34" s="19">
        <f t="shared" si="0"/>
        <v>245.875</v>
      </c>
      <c r="J34" s="20">
        <f t="shared" si="1"/>
        <v>0.2475770925110132</v>
      </c>
      <c r="K34" s="18">
        <f>INDEX('Industry Stats'!$C$2:$C$49,MATCH($C34,'Industry Stats'!$A$2:$A$49,0))</f>
        <v>421.375</v>
      </c>
      <c r="L34" s="19">
        <f t="shared" si="2"/>
        <v>118.625</v>
      </c>
      <c r="M34" s="18">
        <f>INDEX('Industry Stats'!$D$2:$D$49,MATCH($C34,'Industry Stats'!$A$2:$A$49,0))</f>
        <v>294.5</v>
      </c>
      <c r="N34" s="19">
        <f t="shared" si="3"/>
        <v>59.5</v>
      </c>
      <c r="O34" s="18">
        <f>INDEX('Industry Stats'!$E$2:$E$49,MATCH($C34,'Industry Stats'!$A$2:$A$49,0))</f>
        <v>277.25</v>
      </c>
      <c r="P34" s="19">
        <f t="shared" si="4"/>
        <v>67.75</v>
      </c>
      <c r="R34">
        <f t="shared" si="5"/>
        <v>1239.0009966</v>
      </c>
      <c r="S34">
        <f t="shared" si="6"/>
        <v>540.00099660000001</v>
      </c>
      <c r="T34">
        <f t="shared" si="7"/>
        <v>354.00099660000001</v>
      </c>
      <c r="U34">
        <f t="shared" si="8"/>
        <v>345.00099660000001</v>
      </c>
      <c r="V34">
        <f t="shared" si="9"/>
        <v>245.87599660000001</v>
      </c>
      <c r="W34">
        <f t="shared" si="10"/>
        <v>-245.87400339999999</v>
      </c>
    </row>
    <row r="35" spans="1:23" ht="15" customHeight="1" x14ac:dyDescent="0.35">
      <c r="A35" t="str">
        <f>'Raw Data'!B33</f>
        <v>Ameris Bancorp</v>
      </c>
      <c r="B35" t="str">
        <f>'Raw Data'!A33</f>
        <v>abcb</v>
      </c>
      <c r="C35" t="str">
        <f>IF('Raw Data'!E33="N/A","Unclassified",TRIM(SUBSTITUTE('Raw Data'!E33," and "," &amp; ")))</f>
        <v>Banking</v>
      </c>
      <c r="D35" s="17">
        <f>'Raw Data'!N33</f>
        <v>290</v>
      </c>
      <c r="E35" s="17">
        <f>'Raw Data'!O33</f>
        <v>300</v>
      </c>
      <c r="F35" s="17">
        <f>'Raw Data'!P33</f>
        <v>250</v>
      </c>
      <c r="G35" s="17">
        <f>'Raw Data'!Q33</f>
        <v>840</v>
      </c>
      <c r="H35" s="18">
        <f>INDEX('Industry Stats'!$F$2:$F$49,MATCH($C35,'Industry Stats'!$A$2:$A$49,0))</f>
        <v>898.31034482758616</v>
      </c>
      <c r="I35" s="19">
        <f t="shared" si="0"/>
        <v>-58.310344827586164</v>
      </c>
      <c r="J35" s="20">
        <f t="shared" si="1"/>
        <v>-6.49111358489117E-2</v>
      </c>
      <c r="K35" s="18">
        <f>INDEX('Industry Stats'!$C$2:$C$49,MATCH($C35,'Industry Stats'!$A$2:$A$49,0))</f>
        <v>341.48275862068965</v>
      </c>
      <c r="L35" s="19">
        <f t="shared" si="2"/>
        <v>-51.482758620689651</v>
      </c>
      <c r="M35" s="18">
        <f>INDEX('Industry Stats'!$D$2:$D$49,MATCH($C35,'Industry Stats'!$A$2:$A$49,0))</f>
        <v>292.34482758620692</v>
      </c>
      <c r="N35" s="19">
        <f t="shared" si="3"/>
        <v>7.6551724137930819</v>
      </c>
      <c r="O35" s="18">
        <f>INDEX('Industry Stats'!$E$2:$E$49,MATCH($C35,'Industry Stats'!$A$2:$A$49,0))</f>
        <v>264.48275862068965</v>
      </c>
      <c r="P35" s="19">
        <f t="shared" si="4"/>
        <v>-14.482758620689651</v>
      </c>
      <c r="R35">
        <f t="shared" si="5"/>
        <v>840.00099650000004</v>
      </c>
      <c r="S35">
        <f t="shared" si="6"/>
        <v>290.00099649999999</v>
      </c>
      <c r="T35">
        <f t="shared" si="7"/>
        <v>300.00099649999999</v>
      </c>
      <c r="U35">
        <f t="shared" si="8"/>
        <v>250.00099650000001</v>
      </c>
      <c r="V35">
        <f t="shared" si="9"/>
        <v>-58.309348327586164</v>
      </c>
      <c r="W35">
        <f t="shared" si="10"/>
        <v>58.311341327586163</v>
      </c>
    </row>
    <row r="36" spans="1:23" ht="15" customHeight="1" x14ac:dyDescent="0.35">
      <c r="A36" t="str">
        <f>'Raw Data'!B34</f>
        <v>ACE Convergence Acquisition Corp</v>
      </c>
      <c r="B36" t="str">
        <f>'Raw Data'!A34</f>
        <v>acev</v>
      </c>
      <c r="C36" t="str">
        <f>IF('Raw Data'!E34="N/A","Unclassified",TRIM(SUBSTITUTE('Raw Data'!E34," and "," &amp; ")))</f>
        <v>Unclassified</v>
      </c>
      <c r="D36" s="17">
        <f>'Raw Data'!N34</f>
        <v>225</v>
      </c>
      <c r="E36" s="17">
        <f>'Raw Data'!O34</f>
        <v>211</v>
      </c>
      <c r="F36" s="17">
        <f>'Raw Data'!P34</f>
        <v>215</v>
      </c>
      <c r="G36" s="17">
        <f>'Raw Data'!Q34</f>
        <v>651</v>
      </c>
      <c r="H36" s="18">
        <f>INDEX('Industry Stats'!$F$2:$F$49,MATCH($C36,'Industry Stats'!$A$2:$A$49,0))</f>
        <v>709.30769230769226</v>
      </c>
      <c r="I36" s="19">
        <f t="shared" si="0"/>
        <v>-58.307692307692264</v>
      </c>
      <c r="J36" s="20">
        <f t="shared" si="1"/>
        <v>-8.220366554603617E-2</v>
      </c>
      <c r="K36" s="18">
        <f>INDEX('Industry Stats'!$C$2:$C$49,MATCH($C36,'Industry Stats'!$A$2:$A$49,0))</f>
        <v>215.38461538461539</v>
      </c>
      <c r="L36" s="19">
        <f t="shared" si="2"/>
        <v>9.6153846153846132</v>
      </c>
      <c r="M36" s="18">
        <f>INDEX('Industry Stats'!$D$2:$D$49,MATCH($C36,'Industry Stats'!$A$2:$A$49,0))</f>
        <v>231.15384615384616</v>
      </c>
      <c r="N36" s="19">
        <f t="shared" si="3"/>
        <v>-20.15384615384616</v>
      </c>
      <c r="O36" s="18">
        <f>INDEX('Industry Stats'!$E$2:$E$49,MATCH($C36,'Industry Stats'!$A$2:$A$49,0))</f>
        <v>262.76923076923077</v>
      </c>
      <c r="P36" s="19">
        <f t="shared" si="4"/>
        <v>-47.769230769230774</v>
      </c>
      <c r="R36">
        <f t="shared" si="5"/>
        <v>651.00099639999996</v>
      </c>
      <c r="S36">
        <f t="shared" si="6"/>
        <v>225.00099639999999</v>
      </c>
      <c r="T36">
        <f t="shared" si="7"/>
        <v>211.00099639999999</v>
      </c>
      <c r="U36">
        <f t="shared" si="8"/>
        <v>215.00099639999999</v>
      </c>
      <c r="V36">
        <f t="shared" si="9"/>
        <v>-58.306695907692266</v>
      </c>
      <c r="W36">
        <f t="shared" si="10"/>
        <v>58.308688707692262</v>
      </c>
    </row>
    <row r="37" spans="1:23" ht="15" customHeight="1" x14ac:dyDescent="0.35">
      <c r="A37" t="str">
        <f>'Raw Data'!B35</f>
        <v>Achilles Therapeutics PLC</v>
      </c>
      <c r="B37" t="str">
        <f>'Raw Data'!A35</f>
        <v>achl</v>
      </c>
      <c r="C37" t="str">
        <f>IF('Raw Data'!E35="N/A","Unclassified",TRIM(SUBSTITUTE('Raw Data'!E35," and "," &amp; ")))</f>
        <v>Biotechnology</v>
      </c>
      <c r="D37" s="17">
        <f>'Raw Data'!N35</f>
        <v>230</v>
      </c>
      <c r="E37" s="17">
        <f>'Raw Data'!O35</f>
        <v>288</v>
      </c>
      <c r="F37" s="17">
        <f>'Raw Data'!P35</f>
        <v>285</v>
      </c>
      <c r="G37" s="17">
        <f>'Raw Data'!Q35</f>
        <v>803</v>
      </c>
      <c r="H37" s="18">
        <f>INDEX('Industry Stats'!$F$2:$F$49,MATCH($C37,'Industry Stats'!$A$2:$A$49,0))</f>
        <v>866.91071428571433</v>
      </c>
      <c r="I37" s="19">
        <f t="shared" si="0"/>
        <v>-63.910714285714334</v>
      </c>
      <c r="J37" s="20">
        <f t="shared" si="1"/>
        <v>-7.3722372134220504E-2</v>
      </c>
      <c r="K37" s="18">
        <f>INDEX('Industry Stats'!$C$2:$C$49,MATCH($C37,'Industry Stats'!$A$2:$A$49,0))</f>
        <v>306.53571428571428</v>
      </c>
      <c r="L37" s="19">
        <f t="shared" si="2"/>
        <v>-76.535714285714278</v>
      </c>
      <c r="M37" s="18">
        <f>INDEX('Industry Stats'!$D$2:$D$49,MATCH($C37,'Industry Stats'!$A$2:$A$49,0))</f>
        <v>268.85714285714283</v>
      </c>
      <c r="N37" s="19">
        <f t="shared" si="3"/>
        <v>19.142857142857167</v>
      </c>
      <c r="O37" s="18">
        <f>INDEX('Industry Stats'!$E$2:$E$49,MATCH($C37,'Industry Stats'!$A$2:$A$49,0))</f>
        <v>291.51785714285717</v>
      </c>
      <c r="P37" s="19">
        <f t="shared" si="4"/>
        <v>-6.5178571428571672</v>
      </c>
      <c r="R37">
        <f t="shared" si="5"/>
        <v>803.0009963</v>
      </c>
      <c r="S37">
        <f t="shared" si="6"/>
        <v>230.0009963</v>
      </c>
      <c r="T37">
        <f t="shared" si="7"/>
        <v>288.0009963</v>
      </c>
      <c r="U37">
        <f t="shared" si="8"/>
        <v>285.0009963</v>
      </c>
      <c r="V37">
        <f t="shared" si="9"/>
        <v>-63.909717985714337</v>
      </c>
      <c r="W37">
        <f t="shared" si="10"/>
        <v>63.911710585714332</v>
      </c>
    </row>
    <row r="38" spans="1:23" ht="15" customHeight="1" x14ac:dyDescent="0.35">
      <c r="A38" t="str">
        <f>'Raw Data'!B36</f>
        <v>Acadia Healthcare Company Inc</v>
      </c>
      <c r="B38" t="str">
        <f>'Raw Data'!A36</f>
        <v>achc</v>
      </c>
      <c r="C38" t="str">
        <f>IF('Raw Data'!E36="N/A","Unclassified",TRIM(SUBSTITUTE('Raw Data'!E36," and "," &amp; ")))</f>
        <v>Health Care</v>
      </c>
      <c r="D38" s="17">
        <f>'Raw Data'!N36</f>
        <v>330</v>
      </c>
      <c r="E38" s="17">
        <f>'Raw Data'!O36</f>
        <v>231</v>
      </c>
      <c r="F38" s="17">
        <f>'Raw Data'!P36</f>
        <v>220</v>
      </c>
      <c r="G38" s="17">
        <f>'Raw Data'!Q36</f>
        <v>781</v>
      </c>
      <c r="H38" s="18">
        <f>INDEX('Industry Stats'!$F$2:$F$49,MATCH($C38,'Industry Stats'!$A$2:$A$49,0))</f>
        <v>938.76470588235293</v>
      </c>
      <c r="I38" s="19">
        <f t="shared" si="0"/>
        <v>-157.76470588235293</v>
      </c>
      <c r="J38" s="20">
        <f t="shared" si="1"/>
        <v>-0.16805564258412181</v>
      </c>
      <c r="K38" s="18">
        <f>INDEX('Industry Stats'!$C$2:$C$49,MATCH($C38,'Industry Stats'!$A$2:$A$49,0))</f>
        <v>374.52941176470586</v>
      </c>
      <c r="L38" s="19">
        <f t="shared" si="2"/>
        <v>-44.529411764705856</v>
      </c>
      <c r="M38" s="18">
        <f>INDEX('Industry Stats'!$D$2:$D$49,MATCH($C38,'Industry Stats'!$A$2:$A$49,0))</f>
        <v>287.43137254901961</v>
      </c>
      <c r="N38" s="19">
        <f t="shared" si="3"/>
        <v>-56.431372549019613</v>
      </c>
      <c r="O38" s="18">
        <f>INDEX('Industry Stats'!$E$2:$E$49,MATCH($C38,'Industry Stats'!$A$2:$A$49,0))</f>
        <v>276.80392156862746</v>
      </c>
      <c r="P38" s="19">
        <f t="shared" si="4"/>
        <v>-56.803921568627459</v>
      </c>
      <c r="R38">
        <f t="shared" si="5"/>
        <v>781.00099620000003</v>
      </c>
      <c r="S38">
        <f t="shared" si="6"/>
        <v>330.00099619999997</v>
      </c>
      <c r="T38">
        <f t="shared" si="7"/>
        <v>231.0009962</v>
      </c>
      <c r="U38">
        <f t="shared" si="8"/>
        <v>220.0009962</v>
      </c>
      <c r="V38">
        <f t="shared" si="9"/>
        <v>-157.76370968235292</v>
      </c>
      <c r="W38">
        <f t="shared" si="10"/>
        <v>157.76570208235293</v>
      </c>
    </row>
    <row r="39" spans="1:23" ht="15" customHeight="1" x14ac:dyDescent="0.35">
      <c r="A39" t="str">
        <f>'Raw Data'!B37</f>
        <v>ACI Worldwide Inc</v>
      </c>
      <c r="B39" t="str">
        <f>'Raw Data'!A37</f>
        <v>aciw</v>
      </c>
      <c r="C39" t="str">
        <f>IF('Raw Data'!E37="N/A","Unclassified",TRIM(SUBSTITUTE('Raw Data'!E37," and "," &amp; ")))</f>
        <v>Technology</v>
      </c>
      <c r="D39" s="17">
        <f>'Raw Data'!N37</f>
        <v>500</v>
      </c>
      <c r="E39" s="17">
        <f>'Raw Data'!O37</f>
        <v>327</v>
      </c>
      <c r="F39" s="17">
        <f>'Raw Data'!P37</f>
        <v>300</v>
      </c>
      <c r="G39" s="17">
        <f>'Raw Data'!Q37</f>
        <v>1127</v>
      </c>
      <c r="H39" s="18">
        <f>INDEX('Industry Stats'!$F$2:$F$49,MATCH($C39,'Industry Stats'!$A$2:$A$49,0))</f>
        <v>1031.3174603174602</v>
      </c>
      <c r="I39" s="19">
        <f t="shared" si="0"/>
        <v>95.682539682539755</v>
      </c>
      <c r="J39" s="20">
        <f t="shared" si="1"/>
        <v>9.2776999676788902E-2</v>
      </c>
      <c r="K39" s="18">
        <f>INDEX('Industry Stats'!$C$2:$C$49,MATCH($C39,'Industry Stats'!$A$2:$A$49,0))</f>
        <v>438.11111111111109</v>
      </c>
      <c r="L39" s="19">
        <f t="shared" si="2"/>
        <v>61.888888888888914</v>
      </c>
      <c r="M39" s="18">
        <f>INDEX('Industry Stats'!$D$2:$D$49,MATCH($C39,'Industry Stats'!$A$2:$A$49,0))</f>
        <v>307.90476190476193</v>
      </c>
      <c r="N39" s="19">
        <f t="shared" si="3"/>
        <v>19.095238095238074</v>
      </c>
      <c r="O39" s="18">
        <f>INDEX('Industry Stats'!$E$2:$E$49,MATCH($C39,'Industry Stats'!$A$2:$A$49,0))</f>
        <v>285.30158730158729</v>
      </c>
      <c r="P39" s="19">
        <f t="shared" si="4"/>
        <v>14.69841269841271</v>
      </c>
      <c r="R39">
        <f t="shared" si="5"/>
        <v>1127.0009961000001</v>
      </c>
      <c r="S39">
        <f t="shared" si="6"/>
        <v>500.00099610000001</v>
      </c>
      <c r="T39">
        <f t="shared" si="7"/>
        <v>327.00099610000001</v>
      </c>
      <c r="U39">
        <f t="shared" si="8"/>
        <v>300.00099610000001</v>
      </c>
      <c r="V39">
        <f t="shared" si="9"/>
        <v>95.683535782539749</v>
      </c>
      <c r="W39">
        <f t="shared" si="10"/>
        <v>-95.68154358253976</v>
      </c>
    </row>
    <row r="40" spans="1:23" ht="15" customHeight="1" x14ac:dyDescent="0.35">
      <c r="A40" t="str">
        <f>'Raw Data'!B38</f>
        <v>Axcelis Technologies Inc</v>
      </c>
      <c r="B40" t="str">
        <f>'Raw Data'!A38</f>
        <v>acls</v>
      </c>
      <c r="C40" t="str">
        <f>IF('Raw Data'!E38="N/A","Unclassified",TRIM(SUBSTITUTE('Raw Data'!E38," and "," &amp; ")))</f>
        <v>Semiconductors</v>
      </c>
      <c r="D40" s="17">
        <f>'Raw Data'!N38</f>
        <v>515</v>
      </c>
      <c r="E40" s="17">
        <f>'Raw Data'!O38</f>
        <v>306</v>
      </c>
      <c r="F40" s="17">
        <f>'Raw Data'!P38</f>
        <v>260</v>
      </c>
      <c r="G40" s="17">
        <f>'Raw Data'!Q38</f>
        <v>1081</v>
      </c>
      <c r="H40" s="18">
        <f>INDEX('Industry Stats'!$F$2:$F$49,MATCH($C40,'Industry Stats'!$A$2:$A$49,0))</f>
        <v>1030.5833333333333</v>
      </c>
      <c r="I40" s="19">
        <f t="shared" si="0"/>
        <v>50.416666666666742</v>
      </c>
      <c r="J40" s="20">
        <f t="shared" si="1"/>
        <v>4.8920514271852587E-2</v>
      </c>
      <c r="K40" s="18">
        <f>INDEX('Industry Stats'!$C$2:$C$49,MATCH($C40,'Industry Stats'!$A$2:$A$49,0))</f>
        <v>448.45833333333331</v>
      </c>
      <c r="L40" s="19">
        <f t="shared" si="2"/>
        <v>66.541666666666686</v>
      </c>
      <c r="M40" s="18">
        <f>INDEX('Industry Stats'!$D$2:$D$49,MATCH($C40,'Industry Stats'!$A$2:$A$49,0))</f>
        <v>296.70833333333331</v>
      </c>
      <c r="N40" s="19">
        <f t="shared" si="3"/>
        <v>9.2916666666666856</v>
      </c>
      <c r="O40" s="18">
        <f>INDEX('Industry Stats'!$E$2:$E$49,MATCH($C40,'Industry Stats'!$A$2:$A$49,0))</f>
        <v>285.41666666666669</v>
      </c>
      <c r="P40" s="19">
        <f t="shared" si="4"/>
        <v>-25.416666666666686</v>
      </c>
      <c r="R40">
        <f t="shared" si="5"/>
        <v>1081.000996</v>
      </c>
      <c r="S40">
        <f t="shared" si="6"/>
        <v>515.00099599999999</v>
      </c>
      <c r="T40">
        <f t="shared" si="7"/>
        <v>306.00099599999999</v>
      </c>
      <c r="U40">
        <f t="shared" si="8"/>
        <v>260.00099599999999</v>
      </c>
      <c r="V40">
        <f t="shared" si="9"/>
        <v>50.417662666666743</v>
      </c>
      <c r="W40">
        <f t="shared" si="10"/>
        <v>-50.415670666666742</v>
      </c>
    </row>
    <row r="41" spans="1:23" ht="15" customHeight="1" x14ac:dyDescent="0.35">
      <c r="A41" t="str">
        <f>'Raw Data'!B39</f>
        <v>AC Immune SA</v>
      </c>
      <c r="B41" t="str">
        <f>'Raw Data'!A39</f>
        <v>aciu</v>
      </c>
      <c r="C41" t="str">
        <f>IF('Raw Data'!E39="N/A","Unclassified",TRIM(SUBSTITUTE('Raw Data'!E39," and "," &amp; ")))</f>
        <v>Biotechnology</v>
      </c>
      <c r="D41" s="17">
        <f>'Raw Data'!N39</f>
        <v>250</v>
      </c>
      <c r="E41" s="17">
        <f>'Raw Data'!O39</f>
        <v>296</v>
      </c>
      <c r="F41" s="17">
        <f>'Raw Data'!P39</f>
        <v>305</v>
      </c>
      <c r="G41" s="17">
        <f>'Raw Data'!Q39</f>
        <v>851</v>
      </c>
      <c r="H41" s="18">
        <f>INDEX('Industry Stats'!$F$2:$F$49,MATCH($C41,'Industry Stats'!$A$2:$A$49,0))</f>
        <v>866.91071428571433</v>
      </c>
      <c r="I41" s="19">
        <f t="shared" si="0"/>
        <v>-15.910714285714334</v>
      </c>
      <c r="J41" s="20">
        <f t="shared" si="1"/>
        <v>-1.8353348301645884E-2</v>
      </c>
      <c r="K41" s="18">
        <f>INDEX('Industry Stats'!$C$2:$C$49,MATCH($C41,'Industry Stats'!$A$2:$A$49,0))</f>
        <v>306.53571428571428</v>
      </c>
      <c r="L41" s="19">
        <f t="shared" si="2"/>
        <v>-56.535714285714278</v>
      </c>
      <c r="M41" s="18">
        <f>INDEX('Industry Stats'!$D$2:$D$49,MATCH($C41,'Industry Stats'!$A$2:$A$49,0))</f>
        <v>268.85714285714283</v>
      </c>
      <c r="N41" s="19">
        <f t="shared" si="3"/>
        <v>27.142857142857167</v>
      </c>
      <c r="O41" s="18">
        <f>INDEX('Industry Stats'!$E$2:$E$49,MATCH($C41,'Industry Stats'!$A$2:$A$49,0))</f>
        <v>291.51785714285717</v>
      </c>
      <c r="P41" s="19">
        <f t="shared" si="4"/>
        <v>13.482142857142833</v>
      </c>
      <c r="R41">
        <f t="shared" si="5"/>
        <v>851.00099590000002</v>
      </c>
      <c r="S41">
        <f t="shared" si="6"/>
        <v>250.00099589999999</v>
      </c>
      <c r="T41">
        <f t="shared" si="7"/>
        <v>296.00099590000002</v>
      </c>
      <c r="U41">
        <f t="shared" si="8"/>
        <v>305.00099590000002</v>
      </c>
      <c r="V41">
        <f t="shared" si="9"/>
        <v>-15.909718385714335</v>
      </c>
      <c r="W41">
        <f t="shared" si="10"/>
        <v>15.911710185714334</v>
      </c>
    </row>
    <row r="42" spans="1:23" ht="15" customHeight="1" x14ac:dyDescent="0.35">
      <c r="A42" t="str">
        <f>'Raw Data'!B40</f>
        <v>Achieve Life Sciences Inc</v>
      </c>
      <c r="B42" t="str">
        <f>'Raw Data'!A40</f>
        <v>achv</v>
      </c>
      <c r="C42" t="str">
        <f>IF('Raw Data'!E40="N/A","Unclassified",TRIM(SUBSTITUTE('Raw Data'!E40," and "," &amp; ")))</f>
        <v>Biotechnology</v>
      </c>
      <c r="D42" s="17">
        <f>'Raw Data'!N40</f>
        <v>215</v>
      </c>
      <c r="E42" s="17">
        <f>'Raw Data'!O40</f>
        <v>222</v>
      </c>
      <c r="F42" s="17">
        <f>'Raw Data'!P40</f>
        <v>305</v>
      </c>
      <c r="G42" s="17">
        <f>'Raw Data'!Q40</f>
        <v>742</v>
      </c>
      <c r="H42" s="18">
        <f>INDEX('Industry Stats'!$F$2:$F$49,MATCH($C42,'Industry Stats'!$A$2:$A$49,0))</f>
        <v>866.91071428571433</v>
      </c>
      <c r="I42" s="19">
        <f t="shared" si="0"/>
        <v>-124.91071428571433</v>
      </c>
      <c r="J42" s="20">
        <f t="shared" si="1"/>
        <v>-0.14408717325478407</v>
      </c>
      <c r="K42" s="18">
        <f>INDEX('Industry Stats'!$C$2:$C$49,MATCH($C42,'Industry Stats'!$A$2:$A$49,0))</f>
        <v>306.53571428571428</v>
      </c>
      <c r="L42" s="19">
        <f t="shared" si="2"/>
        <v>-91.535714285714278</v>
      </c>
      <c r="M42" s="18">
        <f>INDEX('Industry Stats'!$D$2:$D$49,MATCH($C42,'Industry Stats'!$A$2:$A$49,0))</f>
        <v>268.85714285714283</v>
      </c>
      <c r="N42" s="19">
        <f t="shared" si="3"/>
        <v>-46.857142857142833</v>
      </c>
      <c r="O42" s="18">
        <f>INDEX('Industry Stats'!$E$2:$E$49,MATCH($C42,'Industry Stats'!$A$2:$A$49,0))</f>
        <v>291.51785714285717</v>
      </c>
      <c r="P42" s="19">
        <f t="shared" si="4"/>
        <v>13.482142857142833</v>
      </c>
      <c r="R42">
        <f t="shared" si="5"/>
        <v>742.00099580000006</v>
      </c>
      <c r="S42">
        <f t="shared" si="6"/>
        <v>215.0009958</v>
      </c>
      <c r="T42">
        <f t="shared" si="7"/>
        <v>222.0009958</v>
      </c>
      <c r="U42">
        <f t="shared" si="8"/>
        <v>305.0009958</v>
      </c>
      <c r="V42">
        <f t="shared" si="9"/>
        <v>-124.90971848571434</v>
      </c>
      <c r="W42">
        <f t="shared" si="10"/>
        <v>124.91171008571433</v>
      </c>
    </row>
    <row r="43" spans="1:23" ht="15" customHeight="1" x14ac:dyDescent="0.35">
      <c r="A43" t="str">
        <f>'Raw Data'!B41</f>
        <v>ACM Research Inc</v>
      </c>
      <c r="B43" t="str">
        <f>'Raw Data'!A41</f>
        <v>acmr</v>
      </c>
      <c r="C43" t="str">
        <f>IF('Raw Data'!E41="N/A","Unclassified",TRIM(SUBSTITUTE('Raw Data'!E41," and "," &amp; ")))</f>
        <v>Semiconductors</v>
      </c>
      <c r="D43" s="17">
        <f>'Raw Data'!N41</f>
        <v>410</v>
      </c>
      <c r="E43" s="17">
        <f>'Raw Data'!O41</f>
        <v>232</v>
      </c>
      <c r="F43" s="17">
        <f>'Raw Data'!P41</f>
        <v>325</v>
      </c>
      <c r="G43" s="17">
        <f>'Raw Data'!Q41</f>
        <v>967</v>
      </c>
      <c r="H43" s="18">
        <f>INDEX('Industry Stats'!$F$2:$F$49,MATCH($C43,'Industry Stats'!$A$2:$A$49,0))</f>
        <v>1030.5833333333333</v>
      </c>
      <c r="I43" s="19">
        <f t="shared" si="0"/>
        <v>-63.583333333333258</v>
      </c>
      <c r="J43" s="20">
        <f t="shared" si="1"/>
        <v>-6.1696450230451942E-2</v>
      </c>
      <c r="K43" s="18">
        <f>INDEX('Industry Stats'!$C$2:$C$49,MATCH($C43,'Industry Stats'!$A$2:$A$49,0))</f>
        <v>448.45833333333331</v>
      </c>
      <c r="L43" s="19">
        <f t="shared" si="2"/>
        <v>-38.458333333333314</v>
      </c>
      <c r="M43" s="18">
        <f>INDEX('Industry Stats'!$D$2:$D$49,MATCH($C43,'Industry Stats'!$A$2:$A$49,0))</f>
        <v>296.70833333333331</v>
      </c>
      <c r="N43" s="19">
        <f t="shared" si="3"/>
        <v>-64.708333333333314</v>
      </c>
      <c r="O43" s="18">
        <f>INDEX('Industry Stats'!$E$2:$E$49,MATCH($C43,'Industry Stats'!$A$2:$A$49,0))</f>
        <v>285.41666666666669</v>
      </c>
      <c r="P43" s="19">
        <f t="shared" si="4"/>
        <v>39.583333333333314</v>
      </c>
      <c r="R43">
        <f t="shared" si="5"/>
        <v>967.00099569999998</v>
      </c>
      <c r="S43">
        <f t="shared" si="6"/>
        <v>410.00099569999998</v>
      </c>
      <c r="T43">
        <f t="shared" si="7"/>
        <v>232.0009957</v>
      </c>
      <c r="U43">
        <f t="shared" si="8"/>
        <v>325.00099569999998</v>
      </c>
      <c r="V43">
        <f t="shared" si="9"/>
        <v>-63.58233763333326</v>
      </c>
      <c r="W43">
        <f t="shared" si="10"/>
        <v>63.584329033333255</v>
      </c>
    </row>
    <row r="44" spans="1:23" ht="15" customHeight="1" x14ac:dyDescent="0.35">
      <c r="A44" t="str">
        <f>'Raw Data'!B42</f>
        <v>Acorda Therapeutics Inc</v>
      </c>
      <c r="B44" t="str">
        <f>'Raw Data'!A42</f>
        <v>acor</v>
      </c>
      <c r="C44" t="str">
        <f>IF('Raw Data'!E42="N/A","Unclassified",TRIM(SUBSTITUTE('Raw Data'!E42," and "," &amp; ")))</f>
        <v>Biotechnology</v>
      </c>
      <c r="D44" s="17">
        <f>'Raw Data'!N42</f>
        <v>230</v>
      </c>
      <c r="E44" s="17">
        <f>'Raw Data'!O42</f>
        <v>307</v>
      </c>
      <c r="F44" s="17">
        <f>'Raw Data'!P42</f>
        <v>310</v>
      </c>
      <c r="G44" s="17">
        <f>'Raw Data'!Q42</f>
        <v>847</v>
      </c>
      <c r="H44" s="18">
        <f>INDEX('Industry Stats'!$F$2:$F$49,MATCH($C44,'Industry Stats'!$A$2:$A$49,0))</f>
        <v>866.91071428571433</v>
      </c>
      <c r="I44" s="19">
        <f t="shared" si="0"/>
        <v>-19.910714285714334</v>
      </c>
      <c r="J44" s="20">
        <f t="shared" si="1"/>
        <v>-2.29674336210271E-2</v>
      </c>
      <c r="K44" s="18">
        <f>INDEX('Industry Stats'!$C$2:$C$49,MATCH($C44,'Industry Stats'!$A$2:$A$49,0))</f>
        <v>306.53571428571428</v>
      </c>
      <c r="L44" s="19">
        <f t="shared" si="2"/>
        <v>-76.535714285714278</v>
      </c>
      <c r="M44" s="18">
        <f>INDEX('Industry Stats'!$D$2:$D$49,MATCH($C44,'Industry Stats'!$A$2:$A$49,0))</f>
        <v>268.85714285714283</v>
      </c>
      <c r="N44" s="19">
        <f t="shared" si="3"/>
        <v>38.142857142857167</v>
      </c>
      <c r="O44" s="18">
        <f>INDEX('Industry Stats'!$E$2:$E$49,MATCH($C44,'Industry Stats'!$A$2:$A$49,0))</f>
        <v>291.51785714285717</v>
      </c>
      <c r="P44" s="19">
        <f t="shared" si="4"/>
        <v>18.482142857142833</v>
      </c>
      <c r="R44">
        <f t="shared" si="5"/>
        <v>847.00099560000001</v>
      </c>
      <c r="S44">
        <f t="shared" si="6"/>
        <v>230.00099560000001</v>
      </c>
      <c r="T44">
        <f t="shared" si="7"/>
        <v>307.00099560000001</v>
      </c>
      <c r="U44">
        <f t="shared" si="8"/>
        <v>310.00099560000001</v>
      </c>
      <c r="V44">
        <f t="shared" si="9"/>
        <v>-19.909718685714335</v>
      </c>
      <c r="W44">
        <f t="shared" si="10"/>
        <v>19.911709885714334</v>
      </c>
    </row>
    <row r="45" spans="1:23" ht="15" customHeight="1" x14ac:dyDescent="0.35">
      <c r="A45" t="str">
        <f>'Raw Data'!B43</f>
        <v>ACNB Corp</v>
      </c>
      <c r="B45" t="str">
        <f>'Raw Data'!A43</f>
        <v>acnb</v>
      </c>
      <c r="C45" t="str">
        <f>IF('Raw Data'!E43="N/A","Unclassified",TRIM(SUBSTITUTE('Raw Data'!E43," and "," &amp; ")))</f>
        <v>Banking</v>
      </c>
      <c r="D45" s="17">
        <f>'Raw Data'!N43</f>
        <v>220</v>
      </c>
      <c r="E45" s="17">
        <f>'Raw Data'!O43</f>
        <v>219</v>
      </c>
      <c r="F45" s="17">
        <f>'Raw Data'!P43</f>
        <v>215</v>
      </c>
      <c r="G45" s="17">
        <f>'Raw Data'!Q43</f>
        <v>654</v>
      </c>
      <c r="H45" s="18">
        <f>INDEX('Industry Stats'!$F$2:$F$49,MATCH($C45,'Industry Stats'!$A$2:$A$49,0))</f>
        <v>898.31034482758616</v>
      </c>
      <c r="I45" s="19">
        <f t="shared" si="0"/>
        <v>-244.31034482758616</v>
      </c>
      <c r="J45" s="20">
        <f t="shared" si="1"/>
        <v>-0.27196652719665271</v>
      </c>
      <c r="K45" s="18">
        <f>INDEX('Industry Stats'!$C$2:$C$49,MATCH($C45,'Industry Stats'!$A$2:$A$49,0))</f>
        <v>341.48275862068965</v>
      </c>
      <c r="L45" s="19">
        <f t="shared" si="2"/>
        <v>-121.48275862068965</v>
      </c>
      <c r="M45" s="18">
        <f>INDEX('Industry Stats'!$D$2:$D$49,MATCH($C45,'Industry Stats'!$A$2:$A$49,0))</f>
        <v>292.34482758620692</v>
      </c>
      <c r="N45" s="19">
        <f t="shared" si="3"/>
        <v>-73.344827586206918</v>
      </c>
      <c r="O45" s="18">
        <f>INDEX('Industry Stats'!$E$2:$E$49,MATCH($C45,'Industry Stats'!$A$2:$A$49,0))</f>
        <v>264.48275862068965</v>
      </c>
      <c r="P45" s="19">
        <f t="shared" si="4"/>
        <v>-49.482758620689651</v>
      </c>
      <c r="R45">
        <f t="shared" si="5"/>
        <v>654.00099550000004</v>
      </c>
      <c r="S45">
        <f t="shared" si="6"/>
        <v>220.00099549999999</v>
      </c>
      <c r="T45">
        <f t="shared" si="7"/>
        <v>219.00099549999999</v>
      </c>
      <c r="U45">
        <f t="shared" si="8"/>
        <v>215.00099549999999</v>
      </c>
      <c r="V45">
        <f t="shared" si="9"/>
        <v>-244.30934932758618</v>
      </c>
      <c r="W45">
        <f t="shared" si="10"/>
        <v>244.31134032758615</v>
      </c>
    </row>
    <row r="46" spans="1:23" ht="15" customHeight="1" x14ac:dyDescent="0.35">
      <c r="A46" t="str">
        <f>'Raw Data'!B44</f>
        <v>Aclaris Therapeutics Inc</v>
      </c>
      <c r="B46" t="str">
        <f>'Raw Data'!A44</f>
        <v>acrs</v>
      </c>
      <c r="C46" t="str">
        <f>IF('Raw Data'!E44="N/A","Unclassified",TRIM(SUBSTITUTE('Raw Data'!E44," and "," &amp; ")))</f>
        <v>Pharmaceuticals</v>
      </c>
      <c r="D46" s="17">
        <f>'Raw Data'!N44</f>
        <v>230</v>
      </c>
      <c r="E46" s="17">
        <f>'Raw Data'!O44</f>
        <v>207</v>
      </c>
      <c r="F46" s="17">
        <f>'Raw Data'!P44</f>
        <v>220</v>
      </c>
      <c r="G46" s="17">
        <f>'Raw Data'!Q44</f>
        <v>657</v>
      </c>
      <c r="H46" s="18">
        <f>INDEX('Industry Stats'!$F$2:$F$49,MATCH($C46,'Industry Stats'!$A$2:$A$49,0))</f>
        <v>903.66666666666663</v>
      </c>
      <c r="I46" s="19">
        <f t="shared" si="0"/>
        <v>-246.66666666666663</v>
      </c>
      <c r="J46" s="20">
        <f t="shared" si="1"/>
        <v>-0.27296200663961634</v>
      </c>
      <c r="K46" s="18">
        <f>INDEX('Industry Stats'!$C$2:$C$49,MATCH($C46,'Industry Stats'!$A$2:$A$49,0))</f>
        <v>360.04761904761904</v>
      </c>
      <c r="L46" s="19">
        <f t="shared" si="2"/>
        <v>-130.04761904761904</v>
      </c>
      <c r="M46" s="18">
        <f>INDEX('Industry Stats'!$D$2:$D$49,MATCH($C46,'Industry Stats'!$A$2:$A$49,0))</f>
        <v>269.66666666666669</v>
      </c>
      <c r="N46" s="19">
        <f t="shared" si="3"/>
        <v>-62.666666666666686</v>
      </c>
      <c r="O46" s="18">
        <f>INDEX('Industry Stats'!$E$2:$E$49,MATCH($C46,'Industry Stats'!$A$2:$A$49,0))</f>
        <v>273.95238095238096</v>
      </c>
      <c r="P46" s="19">
        <f t="shared" si="4"/>
        <v>-53.952380952380963</v>
      </c>
      <c r="R46">
        <f t="shared" si="5"/>
        <v>657.00099539999997</v>
      </c>
      <c r="S46">
        <f t="shared" si="6"/>
        <v>230.00099539999999</v>
      </c>
      <c r="T46">
        <f t="shared" si="7"/>
        <v>207.00099539999999</v>
      </c>
      <c r="U46">
        <f t="shared" si="8"/>
        <v>220.00099539999999</v>
      </c>
      <c r="V46">
        <f t="shared" si="9"/>
        <v>-246.66567126666664</v>
      </c>
      <c r="W46">
        <f t="shared" si="10"/>
        <v>246.66766206666662</v>
      </c>
    </row>
    <row r="47" spans="1:23" ht="15" customHeight="1" x14ac:dyDescent="0.35">
      <c r="A47" t="str">
        <f>'Raw Data'!B45</f>
        <v>AcelRx Pharmaceuticals Inc</v>
      </c>
      <c r="B47" t="str">
        <f>'Raw Data'!A45</f>
        <v>acrx</v>
      </c>
      <c r="C47" t="str">
        <f>IF('Raw Data'!E45="N/A","Unclassified",TRIM(SUBSTITUTE('Raw Data'!E45," and "," &amp; ")))</f>
        <v>Pharmaceuticals</v>
      </c>
      <c r="D47" s="17">
        <f>'Raw Data'!N45</f>
        <v>200</v>
      </c>
      <c r="E47" s="17">
        <f>'Raw Data'!O45</f>
        <v>237</v>
      </c>
      <c r="F47" s="17">
        <f>'Raw Data'!P45</f>
        <v>300</v>
      </c>
      <c r="G47" s="17">
        <f>'Raw Data'!Q45</f>
        <v>737</v>
      </c>
      <c r="H47" s="18">
        <f>INDEX('Industry Stats'!$F$2:$F$49,MATCH($C47,'Industry Stats'!$A$2:$A$49,0))</f>
        <v>903.66666666666663</v>
      </c>
      <c r="I47" s="19">
        <f t="shared" si="0"/>
        <v>-166.66666666666663</v>
      </c>
      <c r="J47" s="20">
        <f t="shared" si="1"/>
        <v>-0.18443378827001103</v>
      </c>
      <c r="K47" s="18">
        <f>INDEX('Industry Stats'!$C$2:$C$49,MATCH($C47,'Industry Stats'!$A$2:$A$49,0))</f>
        <v>360.04761904761904</v>
      </c>
      <c r="L47" s="19">
        <f t="shared" si="2"/>
        <v>-160.04761904761904</v>
      </c>
      <c r="M47" s="18">
        <f>INDEX('Industry Stats'!$D$2:$D$49,MATCH($C47,'Industry Stats'!$A$2:$A$49,0))</f>
        <v>269.66666666666669</v>
      </c>
      <c r="N47" s="19">
        <f t="shared" si="3"/>
        <v>-32.666666666666686</v>
      </c>
      <c r="O47" s="18">
        <f>INDEX('Industry Stats'!$E$2:$E$49,MATCH($C47,'Industry Stats'!$A$2:$A$49,0))</f>
        <v>273.95238095238096</v>
      </c>
      <c r="P47" s="19">
        <f t="shared" si="4"/>
        <v>26.047619047619037</v>
      </c>
      <c r="R47">
        <f t="shared" si="5"/>
        <v>737.0009953</v>
      </c>
      <c r="S47">
        <f t="shared" si="6"/>
        <v>200.0009953</v>
      </c>
      <c r="T47">
        <f t="shared" si="7"/>
        <v>237.0009953</v>
      </c>
      <c r="U47">
        <f t="shared" si="8"/>
        <v>300.0009953</v>
      </c>
      <c r="V47">
        <f t="shared" si="9"/>
        <v>-166.66567136666663</v>
      </c>
      <c r="W47">
        <f t="shared" si="10"/>
        <v>166.66766196666663</v>
      </c>
    </row>
    <row r="48" spans="1:23" ht="15" customHeight="1" x14ac:dyDescent="0.35">
      <c r="A48" t="str">
        <f>'Raw Data'!B46</f>
        <v>Enact Holdings Inc</v>
      </c>
      <c r="B48" t="str">
        <f>'Raw Data'!A46</f>
        <v>act</v>
      </c>
      <c r="C48" t="str">
        <f>IF('Raw Data'!E46="N/A","Unclassified",TRIM(SUBSTITUTE('Raw Data'!E46," and "," &amp; ")))</f>
        <v>Financial Services</v>
      </c>
      <c r="D48" s="17">
        <f>'Raw Data'!N46</f>
        <v>540</v>
      </c>
      <c r="E48" s="17">
        <f>'Raw Data'!O46</f>
        <v>328</v>
      </c>
      <c r="F48" s="17">
        <f>'Raw Data'!P46</f>
        <v>315</v>
      </c>
      <c r="G48" s="17">
        <f>'Raw Data'!Q46</f>
        <v>1183</v>
      </c>
      <c r="H48" s="18">
        <f>INDEX('Industry Stats'!$F$2:$F$49,MATCH($C48,'Industry Stats'!$A$2:$A$49,0))</f>
        <v>909.33333333333337</v>
      </c>
      <c r="I48" s="19">
        <f t="shared" si="0"/>
        <v>273.66666666666663</v>
      </c>
      <c r="J48" s="20">
        <f t="shared" si="1"/>
        <v>0.30095307917888559</v>
      </c>
      <c r="K48" s="18">
        <f>INDEX('Industry Stats'!$C$2:$C$49,MATCH($C48,'Industry Stats'!$A$2:$A$49,0))</f>
        <v>367.63636363636363</v>
      </c>
      <c r="L48" s="19">
        <f t="shared" si="2"/>
        <v>172.36363636363637</v>
      </c>
      <c r="M48" s="18">
        <f>INDEX('Industry Stats'!$D$2:$D$49,MATCH($C48,'Industry Stats'!$A$2:$A$49,0))</f>
        <v>276.45454545454544</v>
      </c>
      <c r="N48" s="19">
        <f t="shared" si="3"/>
        <v>51.545454545454561</v>
      </c>
      <c r="O48" s="18">
        <f>INDEX('Industry Stats'!$E$2:$E$49,MATCH($C48,'Industry Stats'!$A$2:$A$49,0))</f>
        <v>265.24242424242425</v>
      </c>
      <c r="P48" s="19">
        <f t="shared" si="4"/>
        <v>49.757575757575751</v>
      </c>
      <c r="R48">
        <f t="shared" si="5"/>
        <v>1183.0009952</v>
      </c>
      <c r="S48">
        <f t="shared" si="6"/>
        <v>540.00099520000003</v>
      </c>
      <c r="T48">
        <f t="shared" si="7"/>
        <v>328.00099519999998</v>
      </c>
      <c r="U48">
        <f t="shared" si="8"/>
        <v>315.00099519999998</v>
      </c>
      <c r="V48">
        <f t="shared" si="9"/>
        <v>273.66766186666661</v>
      </c>
      <c r="W48">
        <f t="shared" si="10"/>
        <v>-273.66567146666665</v>
      </c>
    </row>
    <row r="49" spans="1:23" ht="15" customHeight="1" x14ac:dyDescent="0.35">
      <c r="A49" t="str">
        <f>'Raw Data'!B47</f>
        <v>Acacia Research Corp</v>
      </c>
      <c r="B49" t="str">
        <f>'Raw Data'!A47</f>
        <v>actg</v>
      </c>
      <c r="C49" t="str">
        <f>IF('Raw Data'!E47="N/A","Unclassified",TRIM(SUBSTITUTE('Raw Data'!E47," and "," &amp; ")))</f>
        <v>Financial Services</v>
      </c>
      <c r="D49" s="17">
        <f>'Raw Data'!N47</f>
        <v>200</v>
      </c>
      <c r="E49" s="17">
        <f>'Raw Data'!O47</f>
        <v>200</v>
      </c>
      <c r="F49" s="17">
        <f>'Raw Data'!P47</f>
        <v>275</v>
      </c>
      <c r="G49" s="17">
        <f>'Raw Data'!Q47</f>
        <v>675</v>
      </c>
      <c r="H49" s="18">
        <f>INDEX('Industry Stats'!$F$2:$F$49,MATCH($C49,'Industry Stats'!$A$2:$A$49,0))</f>
        <v>909.33333333333337</v>
      </c>
      <c r="I49" s="19">
        <f t="shared" si="0"/>
        <v>-234.33333333333337</v>
      </c>
      <c r="J49" s="20">
        <f t="shared" si="1"/>
        <v>-0.2576979472140763</v>
      </c>
      <c r="K49" s="18">
        <f>INDEX('Industry Stats'!$C$2:$C$49,MATCH($C49,'Industry Stats'!$A$2:$A$49,0))</f>
        <v>367.63636363636363</v>
      </c>
      <c r="L49" s="19">
        <f t="shared" si="2"/>
        <v>-167.63636363636363</v>
      </c>
      <c r="M49" s="18">
        <f>INDEX('Industry Stats'!$D$2:$D$49,MATCH($C49,'Industry Stats'!$A$2:$A$49,0))</f>
        <v>276.45454545454544</v>
      </c>
      <c r="N49" s="19">
        <f t="shared" si="3"/>
        <v>-76.454545454545439</v>
      </c>
      <c r="O49" s="18">
        <f>INDEX('Industry Stats'!$E$2:$E$49,MATCH($C49,'Industry Stats'!$A$2:$A$49,0))</f>
        <v>265.24242424242425</v>
      </c>
      <c r="P49" s="19">
        <f t="shared" si="4"/>
        <v>9.7575757575757507</v>
      </c>
      <c r="R49">
        <f t="shared" si="5"/>
        <v>675.00099509999995</v>
      </c>
      <c r="S49">
        <f t="shared" si="6"/>
        <v>200.00099510000001</v>
      </c>
      <c r="T49">
        <f t="shared" si="7"/>
        <v>200.00099510000001</v>
      </c>
      <c r="U49">
        <f t="shared" si="8"/>
        <v>275.00099510000001</v>
      </c>
      <c r="V49">
        <f t="shared" si="9"/>
        <v>-234.33233823333336</v>
      </c>
      <c r="W49">
        <f t="shared" si="10"/>
        <v>234.33432843333338</v>
      </c>
    </row>
    <row r="50" spans="1:23" ht="15" customHeight="1" x14ac:dyDescent="0.35">
      <c r="A50" t="str">
        <f>'Raw Data'!B48</f>
        <v>ACV Auctions Inc</v>
      </c>
      <c r="B50" t="str">
        <f>'Raw Data'!A48</f>
        <v>acva</v>
      </c>
      <c r="C50" t="str">
        <f>IF('Raw Data'!E48="N/A","Unclassified",TRIM(SUBSTITUTE('Raw Data'!E48," and "," &amp; ")))</f>
        <v>Commercial Services &amp; Supplies</v>
      </c>
      <c r="D50" s="17">
        <f>'Raw Data'!N48</f>
        <v>235</v>
      </c>
      <c r="E50" s="17">
        <f>'Raw Data'!O48</f>
        <v>262</v>
      </c>
      <c r="F50" s="17">
        <f>'Raw Data'!P48</f>
        <v>315</v>
      </c>
      <c r="G50" s="17">
        <f>'Raw Data'!Q48</f>
        <v>812</v>
      </c>
      <c r="H50" s="18">
        <f>INDEX('Industry Stats'!$F$2:$F$49,MATCH($C50,'Industry Stats'!$A$2:$A$49,0))</f>
        <v>995.85714285714289</v>
      </c>
      <c r="I50" s="19">
        <f t="shared" si="0"/>
        <v>-183.85714285714289</v>
      </c>
      <c r="J50" s="20">
        <f t="shared" si="1"/>
        <v>-0.18462200545115481</v>
      </c>
      <c r="K50" s="18">
        <f>INDEX('Industry Stats'!$C$2:$C$49,MATCH($C50,'Industry Stats'!$A$2:$A$49,0))</f>
        <v>419.42857142857144</v>
      </c>
      <c r="L50" s="19">
        <f t="shared" si="2"/>
        <v>-184.42857142857144</v>
      </c>
      <c r="M50" s="18">
        <f>INDEX('Industry Stats'!$D$2:$D$49,MATCH($C50,'Industry Stats'!$A$2:$A$49,0))</f>
        <v>301.28571428571428</v>
      </c>
      <c r="N50" s="19">
        <f t="shared" si="3"/>
        <v>-39.285714285714278</v>
      </c>
      <c r="O50" s="18">
        <f>INDEX('Industry Stats'!$E$2:$E$49,MATCH($C50,'Industry Stats'!$A$2:$A$49,0))</f>
        <v>275.14285714285717</v>
      </c>
      <c r="P50" s="19">
        <f t="shared" si="4"/>
        <v>39.857142857142833</v>
      </c>
      <c r="R50">
        <f t="shared" si="5"/>
        <v>812.00099499999999</v>
      </c>
      <c r="S50">
        <f t="shared" si="6"/>
        <v>235.00099499999999</v>
      </c>
      <c r="T50">
        <f t="shared" si="7"/>
        <v>262.00099499999999</v>
      </c>
      <c r="U50">
        <f t="shared" si="8"/>
        <v>315.00099499999999</v>
      </c>
      <c r="V50">
        <f t="shared" si="9"/>
        <v>-183.8561478571429</v>
      </c>
      <c r="W50">
        <f t="shared" si="10"/>
        <v>183.85813785714288</v>
      </c>
    </row>
    <row r="51" spans="1:23" ht="15" customHeight="1" x14ac:dyDescent="0.35">
      <c r="A51" t="str">
        <f>'Raw Data'!B49</f>
        <v>Adagene Inc</v>
      </c>
      <c r="B51" t="str">
        <f>'Raw Data'!A49</f>
        <v>adag</v>
      </c>
      <c r="C51" t="str">
        <f>IF('Raw Data'!E49="N/A","Unclassified",TRIM(SUBSTITUTE('Raw Data'!E49," and "," &amp; ")))</f>
        <v>Biotechnology</v>
      </c>
      <c r="D51" s="17">
        <f>'Raw Data'!N49</f>
        <v>295</v>
      </c>
      <c r="E51" s="17">
        <f>'Raw Data'!O49</f>
        <v>301</v>
      </c>
      <c r="F51" s="17">
        <f>'Raw Data'!P49</f>
        <v>305</v>
      </c>
      <c r="G51" s="17">
        <f>'Raw Data'!Q49</f>
        <v>901</v>
      </c>
      <c r="H51" s="18">
        <f>INDEX('Industry Stats'!$F$2:$F$49,MATCH($C51,'Industry Stats'!$A$2:$A$49,0))</f>
        <v>866.91071428571433</v>
      </c>
      <c r="I51" s="19">
        <f t="shared" si="0"/>
        <v>34.089285714285666</v>
      </c>
      <c r="J51" s="20">
        <f t="shared" si="1"/>
        <v>3.9322718190619339E-2</v>
      </c>
      <c r="K51" s="18">
        <f>INDEX('Industry Stats'!$C$2:$C$49,MATCH($C51,'Industry Stats'!$A$2:$A$49,0))</f>
        <v>306.53571428571428</v>
      </c>
      <c r="L51" s="19">
        <f t="shared" si="2"/>
        <v>-11.535714285714278</v>
      </c>
      <c r="M51" s="18">
        <f>INDEX('Industry Stats'!$D$2:$D$49,MATCH($C51,'Industry Stats'!$A$2:$A$49,0))</f>
        <v>268.85714285714283</v>
      </c>
      <c r="N51" s="19">
        <f t="shared" si="3"/>
        <v>32.142857142857167</v>
      </c>
      <c r="O51" s="18">
        <f>INDEX('Industry Stats'!$E$2:$E$49,MATCH($C51,'Industry Stats'!$A$2:$A$49,0))</f>
        <v>291.51785714285717</v>
      </c>
      <c r="P51" s="19">
        <f t="shared" si="4"/>
        <v>13.482142857142833</v>
      </c>
      <c r="R51">
        <f t="shared" si="5"/>
        <v>901.00099490000002</v>
      </c>
      <c r="S51">
        <f t="shared" si="6"/>
        <v>295.00099490000002</v>
      </c>
      <c r="T51">
        <f t="shared" si="7"/>
        <v>301.00099490000002</v>
      </c>
      <c r="U51">
        <f t="shared" si="8"/>
        <v>305.00099490000002</v>
      </c>
      <c r="V51">
        <f t="shared" si="9"/>
        <v>34.090280614285668</v>
      </c>
      <c r="W51">
        <f t="shared" si="10"/>
        <v>-34.088290814285664</v>
      </c>
    </row>
    <row r="52" spans="1:23" ht="15" customHeight="1" x14ac:dyDescent="0.35">
      <c r="A52" t="str">
        <f>'Raw Data'!B50</f>
        <v>Acurx Pharmaceuticals Inc</v>
      </c>
      <c r="B52" t="str">
        <f>'Raw Data'!A50</f>
        <v>acxp</v>
      </c>
      <c r="C52" t="str">
        <f>IF('Raw Data'!E50="N/A","Unclassified",TRIM(SUBSTITUTE('Raw Data'!E50," and "," &amp; ")))</f>
        <v>Biotechnology</v>
      </c>
      <c r="D52" s="17">
        <f>'Raw Data'!N50</f>
        <v>235</v>
      </c>
      <c r="E52" s="17">
        <f>'Raw Data'!O50</f>
        <v>301</v>
      </c>
      <c r="F52" s="17">
        <f>'Raw Data'!P50</f>
        <v>305</v>
      </c>
      <c r="G52" s="17">
        <f>'Raw Data'!Q50</f>
        <v>841</v>
      </c>
      <c r="H52" s="18">
        <f>INDEX('Industry Stats'!$F$2:$F$49,MATCH($C52,'Industry Stats'!$A$2:$A$49,0))</f>
        <v>866.91071428571433</v>
      </c>
      <c r="I52" s="19">
        <f t="shared" si="0"/>
        <v>-25.910714285714334</v>
      </c>
      <c r="J52" s="20">
        <f t="shared" si="1"/>
        <v>-2.9888561600098926E-2</v>
      </c>
      <c r="K52" s="18">
        <f>INDEX('Industry Stats'!$C$2:$C$49,MATCH($C52,'Industry Stats'!$A$2:$A$49,0))</f>
        <v>306.53571428571428</v>
      </c>
      <c r="L52" s="19">
        <f t="shared" si="2"/>
        <v>-71.535714285714278</v>
      </c>
      <c r="M52" s="18">
        <f>INDEX('Industry Stats'!$D$2:$D$49,MATCH($C52,'Industry Stats'!$A$2:$A$49,0))</f>
        <v>268.85714285714283</v>
      </c>
      <c r="N52" s="19">
        <f t="shared" si="3"/>
        <v>32.142857142857167</v>
      </c>
      <c r="O52" s="18">
        <f>INDEX('Industry Stats'!$E$2:$E$49,MATCH($C52,'Industry Stats'!$A$2:$A$49,0))</f>
        <v>291.51785714285717</v>
      </c>
      <c r="P52" s="19">
        <f t="shared" si="4"/>
        <v>13.482142857142833</v>
      </c>
      <c r="R52">
        <f t="shared" si="5"/>
        <v>841.00099479999994</v>
      </c>
      <c r="S52">
        <f t="shared" si="6"/>
        <v>235.0009948</v>
      </c>
      <c r="T52">
        <f t="shared" si="7"/>
        <v>301.0009948</v>
      </c>
      <c r="U52">
        <f t="shared" si="8"/>
        <v>305.0009948</v>
      </c>
      <c r="V52">
        <f t="shared" si="9"/>
        <v>-25.909719485714334</v>
      </c>
      <c r="W52">
        <f t="shared" si="10"/>
        <v>25.911709085714335</v>
      </c>
    </row>
    <row r="53" spans="1:23" ht="15" customHeight="1" x14ac:dyDescent="0.35">
      <c r="A53" t="str">
        <f>'Raw Data'!B51</f>
        <v>Adobe Inc</v>
      </c>
      <c r="B53" t="str">
        <f>'Raw Data'!A51</f>
        <v>adbe</v>
      </c>
      <c r="C53" t="str">
        <f>IF('Raw Data'!E51="N/A","Unclassified",TRIM(SUBSTITUTE('Raw Data'!E51," and "," &amp; ")))</f>
        <v>Technology</v>
      </c>
      <c r="D53" s="17">
        <f>'Raw Data'!N51</f>
        <v>200</v>
      </c>
      <c r="E53" s="17">
        <f>'Raw Data'!O51</f>
        <v>221</v>
      </c>
      <c r="F53" s="17">
        <f>'Raw Data'!P51</f>
        <v>200</v>
      </c>
      <c r="G53" s="17">
        <f>'Raw Data'!Q51</f>
        <v>621</v>
      </c>
      <c r="H53" s="18">
        <f>INDEX('Industry Stats'!$F$2:$F$49,MATCH($C53,'Industry Stats'!$A$2:$A$49,0))</f>
        <v>1031.3174603174602</v>
      </c>
      <c r="I53" s="19">
        <f t="shared" si="0"/>
        <v>-410.31746031746025</v>
      </c>
      <c r="J53" s="20">
        <f t="shared" si="1"/>
        <v>-0.39785757160666735</v>
      </c>
      <c r="K53" s="18">
        <f>INDEX('Industry Stats'!$C$2:$C$49,MATCH($C53,'Industry Stats'!$A$2:$A$49,0))</f>
        <v>438.11111111111109</v>
      </c>
      <c r="L53" s="19">
        <f t="shared" si="2"/>
        <v>-238.11111111111109</v>
      </c>
      <c r="M53" s="18">
        <f>INDEX('Industry Stats'!$D$2:$D$49,MATCH($C53,'Industry Stats'!$A$2:$A$49,0))</f>
        <v>307.90476190476193</v>
      </c>
      <c r="N53" s="19">
        <f t="shared" si="3"/>
        <v>-86.904761904761926</v>
      </c>
      <c r="O53" s="18">
        <f>INDEX('Industry Stats'!$E$2:$E$49,MATCH($C53,'Industry Stats'!$A$2:$A$49,0))</f>
        <v>285.30158730158729</v>
      </c>
      <c r="P53" s="19">
        <f t="shared" si="4"/>
        <v>-85.30158730158729</v>
      </c>
      <c r="R53">
        <f t="shared" si="5"/>
        <v>621.00099469999998</v>
      </c>
      <c r="S53">
        <f t="shared" si="6"/>
        <v>200.00099470000001</v>
      </c>
      <c r="T53">
        <f t="shared" si="7"/>
        <v>221.00099470000001</v>
      </c>
      <c r="U53">
        <f t="shared" si="8"/>
        <v>200.00099470000001</v>
      </c>
      <c r="V53">
        <f t="shared" si="9"/>
        <v>-410.31646561746027</v>
      </c>
      <c r="W53">
        <f t="shared" si="10"/>
        <v>410.31845501746022</v>
      </c>
    </row>
    <row r="54" spans="1:23" ht="15" customHeight="1" x14ac:dyDescent="0.35">
      <c r="A54" t="str">
        <f>'Raw Data'!B52</f>
        <v>Adaptimmune Therapeutics PLC</v>
      </c>
      <c r="B54" t="str">
        <f>'Raw Data'!A52</f>
        <v>adap</v>
      </c>
      <c r="C54" t="str">
        <f>IF('Raw Data'!E52="N/A","Unclassified",TRIM(SUBSTITUTE('Raw Data'!E52," and "," &amp; ")))</f>
        <v>Biotechnology</v>
      </c>
      <c r="D54" s="17">
        <f>'Raw Data'!N52</f>
        <v>365</v>
      </c>
      <c r="E54" s="17">
        <f>'Raw Data'!O52</f>
        <v>283</v>
      </c>
      <c r="F54" s="17">
        <f>'Raw Data'!P52</f>
        <v>305</v>
      </c>
      <c r="G54" s="17">
        <f>'Raw Data'!Q52</f>
        <v>953</v>
      </c>
      <c r="H54" s="18">
        <f>INDEX('Industry Stats'!$F$2:$F$49,MATCH($C54,'Industry Stats'!$A$2:$A$49,0))</f>
        <v>866.91071428571433</v>
      </c>
      <c r="I54" s="19">
        <f t="shared" si="0"/>
        <v>86.089285714285666</v>
      </c>
      <c r="J54" s="20">
        <f t="shared" si="1"/>
        <v>9.9305827342575176E-2</v>
      </c>
      <c r="K54" s="18">
        <f>INDEX('Industry Stats'!$C$2:$C$49,MATCH($C54,'Industry Stats'!$A$2:$A$49,0))</f>
        <v>306.53571428571428</v>
      </c>
      <c r="L54" s="19">
        <f t="shared" si="2"/>
        <v>58.464285714285722</v>
      </c>
      <c r="M54" s="18">
        <f>INDEX('Industry Stats'!$D$2:$D$49,MATCH($C54,'Industry Stats'!$A$2:$A$49,0))</f>
        <v>268.85714285714283</v>
      </c>
      <c r="N54" s="19">
        <f t="shared" si="3"/>
        <v>14.142857142857167</v>
      </c>
      <c r="O54" s="18">
        <f>INDEX('Industry Stats'!$E$2:$E$49,MATCH($C54,'Industry Stats'!$A$2:$A$49,0))</f>
        <v>291.51785714285717</v>
      </c>
      <c r="P54" s="19">
        <f t="shared" si="4"/>
        <v>13.482142857142833</v>
      </c>
      <c r="R54">
        <f t="shared" si="5"/>
        <v>953.00099460000001</v>
      </c>
      <c r="S54">
        <f t="shared" si="6"/>
        <v>365.00099460000001</v>
      </c>
      <c r="T54">
        <f t="shared" si="7"/>
        <v>283.00099460000001</v>
      </c>
      <c r="U54">
        <f t="shared" si="8"/>
        <v>305.00099460000001</v>
      </c>
      <c r="V54">
        <f t="shared" si="9"/>
        <v>86.090280314285664</v>
      </c>
      <c r="W54">
        <f t="shared" si="10"/>
        <v>-86.088291114285667</v>
      </c>
    </row>
    <row r="55" spans="1:23" ht="15" customHeight="1" x14ac:dyDescent="0.35">
      <c r="A55" t="str">
        <f>'Raw Data'!B53</f>
        <v>ADMA Biologics Inc</v>
      </c>
      <c r="B55" t="str">
        <f>'Raw Data'!A53</f>
        <v>adma</v>
      </c>
      <c r="C55" t="str">
        <f>IF('Raw Data'!E53="N/A","Unclassified",TRIM(SUBSTITUTE('Raw Data'!E53," and "," &amp; ")))</f>
        <v>Biotechnology</v>
      </c>
      <c r="D55" s="17">
        <f>'Raw Data'!N53</f>
        <v>240</v>
      </c>
      <c r="E55" s="17">
        <f>'Raw Data'!O53</f>
        <v>264</v>
      </c>
      <c r="F55" s="17">
        <f>'Raw Data'!P53</f>
        <v>320</v>
      </c>
      <c r="G55" s="17">
        <f>'Raw Data'!Q53</f>
        <v>824</v>
      </c>
      <c r="H55" s="18">
        <f>INDEX('Industry Stats'!$F$2:$F$49,MATCH($C55,'Industry Stats'!$A$2:$A$49,0))</f>
        <v>866.91071428571433</v>
      </c>
      <c r="I55" s="19">
        <f t="shared" si="0"/>
        <v>-42.910714285714334</v>
      </c>
      <c r="J55" s="20">
        <f t="shared" si="1"/>
        <v>-4.9498424207469104E-2</v>
      </c>
      <c r="K55" s="18">
        <f>INDEX('Industry Stats'!$C$2:$C$49,MATCH($C55,'Industry Stats'!$A$2:$A$49,0))</f>
        <v>306.53571428571428</v>
      </c>
      <c r="L55" s="19">
        <f t="shared" si="2"/>
        <v>-66.535714285714278</v>
      </c>
      <c r="M55" s="18">
        <f>INDEX('Industry Stats'!$D$2:$D$49,MATCH($C55,'Industry Stats'!$A$2:$A$49,0))</f>
        <v>268.85714285714283</v>
      </c>
      <c r="N55" s="19">
        <f t="shared" si="3"/>
        <v>-4.8571428571428328</v>
      </c>
      <c r="O55" s="18">
        <f>INDEX('Industry Stats'!$E$2:$E$49,MATCH($C55,'Industry Stats'!$A$2:$A$49,0))</f>
        <v>291.51785714285717</v>
      </c>
      <c r="P55" s="19">
        <f t="shared" si="4"/>
        <v>28.482142857142833</v>
      </c>
      <c r="R55">
        <f t="shared" si="5"/>
        <v>824.00099450000005</v>
      </c>
      <c r="S55">
        <f t="shared" si="6"/>
        <v>240.00099449999999</v>
      </c>
      <c r="T55">
        <f t="shared" si="7"/>
        <v>264.00099449999999</v>
      </c>
      <c r="U55">
        <f t="shared" si="8"/>
        <v>320.00099449999999</v>
      </c>
      <c r="V55">
        <f t="shared" si="9"/>
        <v>-42.909719785714337</v>
      </c>
      <c r="W55">
        <f t="shared" si="10"/>
        <v>42.911708785714332</v>
      </c>
    </row>
    <row r="56" spans="1:23" ht="15" customHeight="1" x14ac:dyDescent="0.35">
      <c r="A56" t="str">
        <f>'Raw Data'!B54</f>
        <v>Advanced Emissions Solutions Inc</v>
      </c>
      <c r="B56" t="str">
        <f>'Raw Data'!A54</f>
        <v>ades</v>
      </c>
      <c r="C56" t="str">
        <f>IF('Raw Data'!E54="N/A","Unclassified",TRIM(SUBSTITUTE('Raw Data'!E54," and "," &amp; ")))</f>
        <v>Chemicals</v>
      </c>
      <c r="D56" s="17">
        <f>'Raw Data'!N54</f>
        <v>205</v>
      </c>
      <c r="E56" s="17">
        <f>'Raw Data'!O54</f>
        <v>201</v>
      </c>
      <c r="F56" s="17">
        <f>'Raw Data'!P54</f>
        <v>300</v>
      </c>
      <c r="G56" s="17">
        <f>'Raw Data'!Q54</f>
        <v>706</v>
      </c>
      <c r="H56" s="18">
        <f>INDEX('Industry Stats'!$F$2:$F$49,MATCH($C56,'Industry Stats'!$A$2:$A$49,0))</f>
        <v>1058.8947368421052</v>
      </c>
      <c r="I56" s="19">
        <f t="shared" si="0"/>
        <v>-352.8947368421052</v>
      </c>
      <c r="J56" s="20">
        <f t="shared" si="1"/>
        <v>-0.33326706098712655</v>
      </c>
      <c r="K56" s="18">
        <f>INDEX('Industry Stats'!$C$2:$C$49,MATCH($C56,'Industry Stats'!$A$2:$A$49,0))</f>
        <v>463.73684210526318</v>
      </c>
      <c r="L56" s="19">
        <f t="shared" si="2"/>
        <v>-258.73684210526318</v>
      </c>
      <c r="M56" s="18">
        <f>INDEX('Industry Stats'!$D$2:$D$49,MATCH($C56,'Industry Stats'!$A$2:$A$49,0))</f>
        <v>304.36842105263156</v>
      </c>
      <c r="N56" s="19">
        <f t="shared" si="3"/>
        <v>-103.36842105263156</v>
      </c>
      <c r="O56" s="18">
        <f>INDEX('Industry Stats'!$E$2:$E$49,MATCH($C56,'Industry Stats'!$A$2:$A$49,0))</f>
        <v>290.78947368421052</v>
      </c>
      <c r="P56" s="19">
        <f t="shared" si="4"/>
        <v>9.2105263157894797</v>
      </c>
      <c r="R56">
        <f t="shared" si="5"/>
        <v>706.00099439999997</v>
      </c>
      <c r="S56">
        <f t="shared" si="6"/>
        <v>205.0009944</v>
      </c>
      <c r="T56">
        <f t="shared" si="7"/>
        <v>201.0009944</v>
      </c>
      <c r="U56">
        <f t="shared" si="8"/>
        <v>300.00099440000002</v>
      </c>
      <c r="V56">
        <f t="shared" si="9"/>
        <v>-352.89374244210518</v>
      </c>
      <c r="W56">
        <f t="shared" si="10"/>
        <v>352.89573124210523</v>
      </c>
    </row>
    <row r="57" spans="1:23" ht="15" customHeight="1" x14ac:dyDescent="0.35">
      <c r="A57" t="str">
        <f>'Raw Data'!B55</f>
        <v>Analog Devices Inc</v>
      </c>
      <c r="B57" t="str">
        <f>'Raw Data'!A55</f>
        <v>adi</v>
      </c>
      <c r="C57" t="str">
        <f>IF('Raw Data'!E55="N/A","Unclassified",TRIM(SUBSTITUTE('Raw Data'!E55," and "," &amp; ")))</f>
        <v>Semiconductors</v>
      </c>
      <c r="D57" s="17">
        <f>'Raw Data'!N55</f>
        <v>350</v>
      </c>
      <c r="E57" s="17">
        <f>'Raw Data'!O55</f>
        <v>318</v>
      </c>
      <c r="F57" s="17">
        <f>'Raw Data'!P55</f>
        <v>300</v>
      </c>
      <c r="G57" s="17">
        <f>'Raw Data'!Q55</f>
        <v>968</v>
      </c>
      <c r="H57" s="18">
        <f>INDEX('Industry Stats'!$F$2:$F$49,MATCH($C57,'Industry Stats'!$A$2:$A$49,0))</f>
        <v>1030.5833333333333</v>
      </c>
      <c r="I57" s="19">
        <f t="shared" si="0"/>
        <v>-62.583333333333258</v>
      </c>
      <c r="J57" s="20">
        <f t="shared" si="1"/>
        <v>-6.0726125980431728E-2</v>
      </c>
      <c r="K57" s="18">
        <f>INDEX('Industry Stats'!$C$2:$C$49,MATCH($C57,'Industry Stats'!$A$2:$A$49,0))</f>
        <v>448.45833333333331</v>
      </c>
      <c r="L57" s="19">
        <f t="shared" si="2"/>
        <v>-98.458333333333314</v>
      </c>
      <c r="M57" s="18">
        <f>INDEX('Industry Stats'!$D$2:$D$49,MATCH($C57,'Industry Stats'!$A$2:$A$49,0))</f>
        <v>296.70833333333331</v>
      </c>
      <c r="N57" s="19">
        <f t="shared" si="3"/>
        <v>21.291666666666686</v>
      </c>
      <c r="O57" s="18">
        <f>INDEX('Industry Stats'!$E$2:$E$49,MATCH($C57,'Industry Stats'!$A$2:$A$49,0))</f>
        <v>285.41666666666669</v>
      </c>
      <c r="P57" s="19">
        <f t="shared" si="4"/>
        <v>14.583333333333314</v>
      </c>
      <c r="R57">
        <f t="shared" si="5"/>
        <v>968.0009943</v>
      </c>
      <c r="S57">
        <f t="shared" si="6"/>
        <v>350.0009943</v>
      </c>
      <c r="T57">
        <f t="shared" si="7"/>
        <v>318.0009943</v>
      </c>
      <c r="U57">
        <f t="shared" si="8"/>
        <v>300.0009943</v>
      </c>
      <c r="V57">
        <f t="shared" si="9"/>
        <v>-62.582339033333255</v>
      </c>
      <c r="W57">
        <f t="shared" si="10"/>
        <v>62.58432763333326</v>
      </c>
    </row>
    <row r="58" spans="1:23" ht="15" customHeight="1" x14ac:dyDescent="0.35">
      <c r="A58" t="str">
        <f>'Raw Data'!B56</f>
        <v>Adial Pharmaceuticals Inc</v>
      </c>
      <c r="B58" t="str">
        <f>'Raw Data'!A56</f>
        <v>adil</v>
      </c>
      <c r="C58" t="str">
        <f>IF('Raw Data'!E56="N/A","Unclassified",TRIM(SUBSTITUTE('Raw Data'!E56," and "," &amp; ")))</f>
        <v>Pharmaceuticals</v>
      </c>
      <c r="D58" s="17">
        <f>'Raw Data'!N56</f>
        <v>200</v>
      </c>
      <c r="E58" s="17">
        <f>'Raw Data'!O56</f>
        <v>203</v>
      </c>
      <c r="F58" s="17">
        <f>'Raw Data'!P56</f>
        <v>300</v>
      </c>
      <c r="G58" s="17">
        <f>'Raw Data'!Q56</f>
        <v>703</v>
      </c>
      <c r="H58" s="18">
        <f>INDEX('Industry Stats'!$F$2:$F$49,MATCH($C58,'Industry Stats'!$A$2:$A$49,0))</f>
        <v>903.66666666666663</v>
      </c>
      <c r="I58" s="19">
        <f t="shared" si="0"/>
        <v>-200.66666666666663</v>
      </c>
      <c r="J58" s="20">
        <f t="shared" si="1"/>
        <v>-0.2220582810770933</v>
      </c>
      <c r="K58" s="18">
        <f>INDEX('Industry Stats'!$C$2:$C$49,MATCH($C58,'Industry Stats'!$A$2:$A$49,0))</f>
        <v>360.04761904761904</v>
      </c>
      <c r="L58" s="19">
        <f t="shared" si="2"/>
        <v>-160.04761904761904</v>
      </c>
      <c r="M58" s="18">
        <f>INDEX('Industry Stats'!$D$2:$D$49,MATCH($C58,'Industry Stats'!$A$2:$A$49,0))</f>
        <v>269.66666666666669</v>
      </c>
      <c r="N58" s="19">
        <f t="shared" si="3"/>
        <v>-66.666666666666686</v>
      </c>
      <c r="O58" s="18">
        <f>INDEX('Industry Stats'!$E$2:$E$49,MATCH($C58,'Industry Stats'!$A$2:$A$49,0))</f>
        <v>273.95238095238096</v>
      </c>
      <c r="P58" s="19">
        <f t="shared" si="4"/>
        <v>26.047619047619037</v>
      </c>
      <c r="R58">
        <f t="shared" si="5"/>
        <v>703.00099420000004</v>
      </c>
      <c r="S58">
        <f t="shared" si="6"/>
        <v>200.00099420000001</v>
      </c>
      <c r="T58">
        <f t="shared" si="7"/>
        <v>203.00099420000001</v>
      </c>
      <c r="U58">
        <f t="shared" si="8"/>
        <v>300.00099419999998</v>
      </c>
      <c r="V58">
        <f t="shared" si="9"/>
        <v>-200.66567246666662</v>
      </c>
      <c r="W58">
        <f t="shared" si="10"/>
        <v>200.66766086666664</v>
      </c>
    </row>
    <row r="59" spans="1:23" ht="15" customHeight="1" x14ac:dyDescent="0.35">
      <c r="A59" t="str">
        <f>'Raw Data'!B57</f>
        <v>Adamis Pharmaceuticals Corp</v>
      </c>
      <c r="B59" t="str">
        <f>'Raw Data'!A57</f>
        <v>admp</v>
      </c>
      <c r="C59" t="str">
        <f>IF('Raw Data'!E57="N/A","Unclassified",TRIM(SUBSTITUTE('Raw Data'!E57," and "," &amp; ")))</f>
        <v>Pharmaceuticals</v>
      </c>
      <c r="D59" s="17">
        <f>'Raw Data'!N57</f>
        <v>285</v>
      </c>
      <c r="E59" s="17">
        <f>'Raw Data'!O57</f>
        <v>204</v>
      </c>
      <c r="F59" s="17">
        <f>'Raw Data'!P57</f>
        <v>215</v>
      </c>
      <c r="G59" s="17">
        <f>'Raw Data'!Q57</f>
        <v>704</v>
      </c>
      <c r="H59" s="18">
        <f>INDEX('Industry Stats'!$F$2:$F$49,MATCH($C59,'Industry Stats'!$A$2:$A$49,0))</f>
        <v>903.66666666666663</v>
      </c>
      <c r="I59" s="19">
        <f t="shared" si="0"/>
        <v>-199.66666666666663</v>
      </c>
      <c r="J59" s="20">
        <f t="shared" si="1"/>
        <v>-0.22095167834747323</v>
      </c>
      <c r="K59" s="18">
        <f>INDEX('Industry Stats'!$C$2:$C$49,MATCH($C59,'Industry Stats'!$A$2:$A$49,0))</f>
        <v>360.04761904761904</v>
      </c>
      <c r="L59" s="19">
        <f t="shared" si="2"/>
        <v>-75.047619047619037</v>
      </c>
      <c r="M59" s="18">
        <f>INDEX('Industry Stats'!$D$2:$D$49,MATCH($C59,'Industry Stats'!$A$2:$A$49,0))</f>
        <v>269.66666666666669</v>
      </c>
      <c r="N59" s="19">
        <f t="shared" si="3"/>
        <v>-65.666666666666686</v>
      </c>
      <c r="O59" s="18">
        <f>INDEX('Industry Stats'!$E$2:$E$49,MATCH($C59,'Industry Stats'!$A$2:$A$49,0))</f>
        <v>273.95238095238096</v>
      </c>
      <c r="P59" s="19">
        <f t="shared" si="4"/>
        <v>-58.952380952380963</v>
      </c>
      <c r="R59">
        <f t="shared" si="5"/>
        <v>704.00099409999996</v>
      </c>
      <c r="S59">
        <f t="shared" si="6"/>
        <v>285.00099410000001</v>
      </c>
      <c r="T59">
        <f t="shared" si="7"/>
        <v>204.00099410000001</v>
      </c>
      <c r="U59">
        <f t="shared" si="8"/>
        <v>215.00099410000001</v>
      </c>
      <c r="V59">
        <f t="shared" si="9"/>
        <v>-199.66567256666661</v>
      </c>
      <c r="W59">
        <f t="shared" si="10"/>
        <v>199.66766076666664</v>
      </c>
    </row>
    <row r="60" spans="1:23" ht="15" customHeight="1" x14ac:dyDescent="0.35">
      <c r="A60" t="str">
        <f>'Raw Data'!B58</f>
        <v>Acer Therapeutics Inc</v>
      </c>
      <c r="B60" t="str">
        <f>'Raw Data'!A58</f>
        <v>acer</v>
      </c>
      <c r="C60" t="str">
        <f>IF('Raw Data'!E58="N/A","Unclassified",TRIM(SUBSTITUTE('Raw Data'!E58," and "," &amp; ")))</f>
        <v>Pharmaceuticals</v>
      </c>
      <c r="D60" s="17">
        <f>'Raw Data'!N58</f>
        <v>223</v>
      </c>
      <c r="E60" s="17">
        <f>'Raw Data'!O58</f>
        <v>291</v>
      </c>
      <c r="F60" s="17">
        <f>'Raw Data'!P58</f>
        <v>310</v>
      </c>
      <c r="G60" s="17">
        <f>'Raw Data'!Q58</f>
        <v>824</v>
      </c>
      <c r="H60" s="18">
        <f>INDEX('Industry Stats'!$F$2:$F$49,MATCH($C60,'Industry Stats'!$A$2:$A$49,0))</f>
        <v>903.66666666666663</v>
      </c>
      <c r="I60" s="19">
        <f t="shared" si="0"/>
        <v>-79.666666666666629</v>
      </c>
      <c r="J60" s="20">
        <f t="shared" si="1"/>
        <v>-8.815935079306525E-2</v>
      </c>
      <c r="K60" s="18">
        <f>INDEX('Industry Stats'!$C$2:$C$49,MATCH($C60,'Industry Stats'!$A$2:$A$49,0))</f>
        <v>360.04761904761904</v>
      </c>
      <c r="L60" s="19">
        <f t="shared" si="2"/>
        <v>-137.04761904761904</v>
      </c>
      <c r="M60" s="18">
        <f>INDEX('Industry Stats'!$D$2:$D$49,MATCH($C60,'Industry Stats'!$A$2:$A$49,0))</f>
        <v>269.66666666666669</v>
      </c>
      <c r="N60" s="19">
        <f t="shared" si="3"/>
        <v>21.333333333333314</v>
      </c>
      <c r="O60" s="18">
        <f>INDEX('Industry Stats'!$E$2:$E$49,MATCH($C60,'Industry Stats'!$A$2:$A$49,0))</f>
        <v>273.95238095238096</v>
      </c>
      <c r="P60" s="19">
        <f t="shared" si="4"/>
        <v>36.047619047619037</v>
      </c>
      <c r="R60">
        <f t="shared" si="5"/>
        <v>824.00099399999999</v>
      </c>
      <c r="S60">
        <f t="shared" si="6"/>
        <v>223.00099399999999</v>
      </c>
      <c r="T60">
        <f t="shared" si="7"/>
        <v>291.00099399999999</v>
      </c>
      <c r="U60">
        <f t="shared" si="8"/>
        <v>310.00099399999999</v>
      </c>
      <c r="V60">
        <f t="shared" si="9"/>
        <v>-79.665672666666623</v>
      </c>
      <c r="W60">
        <f t="shared" si="10"/>
        <v>79.667660666666634</v>
      </c>
    </row>
    <row r="61" spans="1:23" ht="15" customHeight="1" x14ac:dyDescent="0.35">
      <c r="A61" t="str">
        <f>'Raw Data'!B59</f>
        <v>Edoc Acquisition Corp</v>
      </c>
      <c r="B61" t="str">
        <f>'Raw Data'!A59</f>
        <v>adoc</v>
      </c>
      <c r="C61" t="str">
        <f>IF('Raw Data'!E59="N/A","Unclassified",TRIM(SUBSTITUTE('Raw Data'!E59," and "," &amp; ")))</f>
        <v>Unclassified</v>
      </c>
      <c r="D61" s="17">
        <f>'Raw Data'!N59</f>
        <v>215</v>
      </c>
      <c r="E61" s="17">
        <f>'Raw Data'!O59</f>
        <v>301</v>
      </c>
      <c r="F61" s="17">
        <f>'Raw Data'!P59</f>
        <v>300</v>
      </c>
      <c r="G61" s="17">
        <f>'Raw Data'!Q59</f>
        <v>816</v>
      </c>
      <c r="H61" s="18">
        <f>INDEX('Industry Stats'!$F$2:$F$49,MATCH($C61,'Industry Stats'!$A$2:$A$49,0))</f>
        <v>709.30769230769226</v>
      </c>
      <c r="I61" s="19">
        <f t="shared" si="0"/>
        <v>106.69230769230774</v>
      </c>
      <c r="J61" s="20">
        <f t="shared" si="1"/>
        <v>0.15041752521418508</v>
      </c>
      <c r="K61" s="18">
        <f>INDEX('Industry Stats'!$C$2:$C$49,MATCH($C61,'Industry Stats'!$A$2:$A$49,0))</f>
        <v>215.38461538461539</v>
      </c>
      <c r="L61" s="19">
        <f t="shared" si="2"/>
        <v>-0.3846153846153868</v>
      </c>
      <c r="M61" s="18">
        <f>INDEX('Industry Stats'!$D$2:$D$49,MATCH($C61,'Industry Stats'!$A$2:$A$49,0))</f>
        <v>231.15384615384616</v>
      </c>
      <c r="N61" s="19">
        <f t="shared" si="3"/>
        <v>69.84615384615384</v>
      </c>
      <c r="O61" s="18">
        <f>INDEX('Industry Stats'!$E$2:$E$49,MATCH($C61,'Industry Stats'!$A$2:$A$49,0))</f>
        <v>262.76923076923077</v>
      </c>
      <c r="P61" s="19">
        <f t="shared" si="4"/>
        <v>37.230769230769226</v>
      </c>
      <c r="R61">
        <f t="shared" si="5"/>
        <v>816.00099390000003</v>
      </c>
      <c r="S61">
        <f t="shared" si="6"/>
        <v>215.0009939</v>
      </c>
      <c r="T61">
        <f t="shared" si="7"/>
        <v>301.00099390000003</v>
      </c>
      <c r="U61">
        <f t="shared" si="8"/>
        <v>300.00099390000003</v>
      </c>
      <c r="V61">
        <f t="shared" si="9"/>
        <v>106.69330159230773</v>
      </c>
      <c r="W61">
        <f t="shared" si="10"/>
        <v>-106.69131379230774</v>
      </c>
    </row>
    <row r="62" spans="1:23" ht="15" customHeight="1" x14ac:dyDescent="0.35">
      <c r="A62" t="str">
        <f>'Raw Data'!B60</f>
        <v>Addus Homecare Corp</v>
      </c>
      <c r="B62" t="str">
        <f>'Raw Data'!A60</f>
        <v>adus</v>
      </c>
      <c r="C62" t="str">
        <f>IF('Raw Data'!E60="N/A","Unclassified",TRIM(SUBSTITUTE('Raw Data'!E60," and "," &amp; ")))</f>
        <v>Health Care</v>
      </c>
      <c r="D62" s="17">
        <f>'Raw Data'!N60</f>
        <v>210</v>
      </c>
      <c r="E62" s="17">
        <f>'Raw Data'!O60</f>
        <v>215</v>
      </c>
      <c r="F62" s="17">
        <f>'Raw Data'!P60</f>
        <v>218</v>
      </c>
      <c r="G62" s="17">
        <f>'Raw Data'!Q60</f>
        <v>643</v>
      </c>
      <c r="H62" s="18">
        <f>INDEX('Industry Stats'!$F$2:$F$49,MATCH($C62,'Industry Stats'!$A$2:$A$49,0))</f>
        <v>938.76470588235293</v>
      </c>
      <c r="I62" s="19">
        <f t="shared" si="0"/>
        <v>-295.76470588235293</v>
      </c>
      <c r="J62" s="20">
        <f t="shared" si="1"/>
        <v>-0.31505733441944983</v>
      </c>
      <c r="K62" s="18">
        <f>INDEX('Industry Stats'!$C$2:$C$49,MATCH($C62,'Industry Stats'!$A$2:$A$49,0))</f>
        <v>374.52941176470586</v>
      </c>
      <c r="L62" s="19">
        <f t="shared" si="2"/>
        <v>-164.52941176470586</v>
      </c>
      <c r="M62" s="18">
        <f>INDEX('Industry Stats'!$D$2:$D$49,MATCH($C62,'Industry Stats'!$A$2:$A$49,0))</f>
        <v>287.43137254901961</v>
      </c>
      <c r="N62" s="19">
        <f t="shared" si="3"/>
        <v>-72.431372549019613</v>
      </c>
      <c r="O62" s="18">
        <f>INDEX('Industry Stats'!$E$2:$E$49,MATCH($C62,'Industry Stats'!$A$2:$A$49,0))</f>
        <v>276.80392156862746</v>
      </c>
      <c r="P62" s="19">
        <f t="shared" si="4"/>
        <v>-58.803921568627459</v>
      </c>
      <c r="R62">
        <f t="shared" si="5"/>
        <v>643.00099379999995</v>
      </c>
      <c r="S62">
        <f t="shared" si="6"/>
        <v>210.0009938</v>
      </c>
      <c r="T62">
        <f t="shared" si="7"/>
        <v>215.0009938</v>
      </c>
      <c r="U62">
        <f t="shared" si="8"/>
        <v>218.0009938</v>
      </c>
      <c r="V62">
        <f t="shared" si="9"/>
        <v>-295.76371208235292</v>
      </c>
      <c r="W62">
        <f t="shared" si="10"/>
        <v>295.76569968235293</v>
      </c>
    </row>
    <row r="63" spans="1:23" ht="15" customHeight="1" x14ac:dyDescent="0.35">
      <c r="A63" t="str">
        <f>'Raw Data'!B61</f>
        <v>Arch Capital Group Ltd</v>
      </c>
      <c r="B63" t="str">
        <f>'Raw Data'!A61</f>
        <v>acgl</v>
      </c>
      <c r="C63" t="str">
        <f>IF('Raw Data'!E61="N/A","Unclassified",TRIM(SUBSTITUTE('Raw Data'!E61," and "," &amp; ")))</f>
        <v>Insurance</v>
      </c>
      <c r="D63" s="17">
        <f>'Raw Data'!N61</f>
        <v>500</v>
      </c>
      <c r="E63" s="17">
        <f>'Raw Data'!O61</f>
        <v>300</v>
      </c>
      <c r="F63" s="17">
        <f>'Raw Data'!P61</f>
        <v>300</v>
      </c>
      <c r="G63" s="17">
        <f>'Raw Data'!Q61</f>
        <v>1100</v>
      </c>
      <c r="H63" s="18">
        <f>INDEX('Industry Stats'!$F$2:$F$49,MATCH($C63,'Industry Stats'!$A$2:$A$49,0))</f>
        <v>1012.3703703703703</v>
      </c>
      <c r="I63" s="19">
        <f t="shared" si="0"/>
        <v>87.629629629629676</v>
      </c>
      <c r="J63" s="20">
        <f t="shared" si="1"/>
        <v>8.655886441794107E-2</v>
      </c>
      <c r="K63" s="18">
        <f>INDEX('Industry Stats'!$C$2:$C$49,MATCH($C63,'Industry Stats'!$A$2:$A$49,0))</f>
        <v>425.25925925925924</v>
      </c>
      <c r="L63" s="19">
        <f t="shared" si="2"/>
        <v>74.740740740740762</v>
      </c>
      <c r="M63" s="18">
        <f>INDEX('Industry Stats'!$D$2:$D$49,MATCH($C63,'Industry Stats'!$A$2:$A$49,0))</f>
        <v>295.66666666666669</v>
      </c>
      <c r="N63" s="19">
        <f t="shared" si="3"/>
        <v>4.3333333333333144</v>
      </c>
      <c r="O63" s="18">
        <f>INDEX('Industry Stats'!$E$2:$E$49,MATCH($C63,'Industry Stats'!$A$2:$A$49,0))</f>
        <v>291.44444444444446</v>
      </c>
      <c r="P63" s="19">
        <f t="shared" si="4"/>
        <v>8.5555555555555429</v>
      </c>
      <c r="R63">
        <f t="shared" si="5"/>
        <v>1100.0009937</v>
      </c>
      <c r="S63">
        <f t="shared" si="6"/>
        <v>500.00099369999998</v>
      </c>
      <c r="T63">
        <f t="shared" si="7"/>
        <v>300.00099369999998</v>
      </c>
      <c r="U63">
        <f t="shared" si="8"/>
        <v>300.00099369999998</v>
      </c>
      <c r="V63">
        <f t="shared" si="9"/>
        <v>87.630623329629671</v>
      </c>
      <c r="W63">
        <f t="shared" si="10"/>
        <v>-87.628635929629681</v>
      </c>
    </row>
    <row r="64" spans="1:23" ht="15" customHeight="1" x14ac:dyDescent="0.35">
      <c r="A64" t="str">
        <f>'Raw Data'!B62</f>
        <v>Adaptive Biotechnologies Corp</v>
      </c>
      <c r="B64" t="str">
        <f>'Raw Data'!A62</f>
        <v>adpt</v>
      </c>
      <c r="C64" t="str">
        <f>IF('Raw Data'!E62="N/A","Unclassified",TRIM(SUBSTITUTE('Raw Data'!E62," and "," &amp; ")))</f>
        <v>Life Sciences Tools &amp; Services</v>
      </c>
      <c r="D64" s="17">
        <f>'Raw Data'!N62</f>
        <v>260</v>
      </c>
      <c r="E64" s="17">
        <f>'Raw Data'!O62</f>
        <v>348</v>
      </c>
      <c r="F64" s="17">
        <f>'Raw Data'!P62</f>
        <v>260</v>
      </c>
      <c r="G64" s="17">
        <f>'Raw Data'!Q62</f>
        <v>868</v>
      </c>
      <c r="H64" s="18">
        <f>INDEX('Industry Stats'!$F$2:$F$49,MATCH($C64,'Industry Stats'!$A$2:$A$49,0))</f>
        <v>993.125</v>
      </c>
      <c r="I64" s="19">
        <f t="shared" si="0"/>
        <v>-125.125</v>
      </c>
      <c r="J64" s="20">
        <f t="shared" si="1"/>
        <v>-0.12599118942731277</v>
      </c>
      <c r="K64" s="18">
        <f>INDEX('Industry Stats'!$C$2:$C$49,MATCH($C64,'Industry Stats'!$A$2:$A$49,0))</f>
        <v>421.375</v>
      </c>
      <c r="L64" s="19">
        <f t="shared" si="2"/>
        <v>-161.375</v>
      </c>
      <c r="M64" s="18">
        <f>INDEX('Industry Stats'!$D$2:$D$49,MATCH($C64,'Industry Stats'!$A$2:$A$49,0))</f>
        <v>294.5</v>
      </c>
      <c r="N64" s="19">
        <f t="shared" si="3"/>
        <v>53.5</v>
      </c>
      <c r="O64" s="18">
        <f>INDEX('Industry Stats'!$E$2:$E$49,MATCH($C64,'Industry Stats'!$A$2:$A$49,0))</f>
        <v>277.25</v>
      </c>
      <c r="P64" s="19">
        <f t="shared" si="4"/>
        <v>-17.25</v>
      </c>
      <c r="R64">
        <f t="shared" si="5"/>
        <v>868.00099360000002</v>
      </c>
      <c r="S64">
        <f t="shared" si="6"/>
        <v>260.00099360000002</v>
      </c>
      <c r="T64">
        <f t="shared" si="7"/>
        <v>348.00099360000002</v>
      </c>
      <c r="U64">
        <f t="shared" si="8"/>
        <v>260.00099360000002</v>
      </c>
      <c r="V64">
        <f t="shared" si="9"/>
        <v>-125.1240064</v>
      </c>
      <c r="W64">
        <f t="shared" si="10"/>
        <v>125.1259936</v>
      </c>
    </row>
    <row r="65" spans="1:23" ht="15" customHeight="1" x14ac:dyDescent="0.35">
      <c r="A65" t="str">
        <f>'Raw Data'!B63</f>
        <v>Autodesk Inc</v>
      </c>
      <c r="B65" t="str">
        <f>'Raw Data'!A63</f>
        <v>adsk</v>
      </c>
      <c r="C65" t="str">
        <f>IF('Raw Data'!E63="N/A","Unclassified",TRIM(SUBSTITUTE('Raw Data'!E63," and "," &amp; ")))</f>
        <v>Technology</v>
      </c>
      <c r="D65" s="17">
        <f>'Raw Data'!N63</f>
        <v>555</v>
      </c>
      <c r="E65" s="17">
        <f>'Raw Data'!O63</f>
        <v>304</v>
      </c>
      <c r="F65" s="17">
        <f>'Raw Data'!P63</f>
        <v>310</v>
      </c>
      <c r="G65" s="17">
        <f>'Raw Data'!Q63</f>
        <v>1169</v>
      </c>
      <c r="H65" s="18">
        <f>INDEX('Industry Stats'!$F$2:$F$49,MATCH($C65,'Industry Stats'!$A$2:$A$49,0))</f>
        <v>1031.3174603174602</v>
      </c>
      <c r="I65" s="19">
        <f t="shared" si="0"/>
        <v>137.68253968253975</v>
      </c>
      <c r="J65" s="20">
        <f t="shared" si="1"/>
        <v>0.13350160836039593</v>
      </c>
      <c r="K65" s="18">
        <f>INDEX('Industry Stats'!$C$2:$C$49,MATCH($C65,'Industry Stats'!$A$2:$A$49,0))</f>
        <v>438.11111111111109</v>
      </c>
      <c r="L65" s="19">
        <f t="shared" si="2"/>
        <v>116.88888888888891</v>
      </c>
      <c r="M65" s="18">
        <f>INDEX('Industry Stats'!$D$2:$D$49,MATCH($C65,'Industry Stats'!$A$2:$A$49,0))</f>
        <v>307.90476190476193</v>
      </c>
      <c r="N65" s="19">
        <f t="shared" si="3"/>
        <v>-3.9047619047619264</v>
      </c>
      <c r="O65" s="18">
        <f>INDEX('Industry Stats'!$E$2:$E$49,MATCH($C65,'Industry Stats'!$A$2:$A$49,0))</f>
        <v>285.30158730158729</v>
      </c>
      <c r="P65" s="19">
        <f t="shared" si="4"/>
        <v>24.69841269841271</v>
      </c>
      <c r="R65">
        <f t="shared" si="5"/>
        <v>1169.0009935</v>
      </c>
      <c r="S65">
        <f t="shared" si="6"/>
        <v>555.00099350000005</v>
      </c>
      <c r="T65">
        <f t="shared" si="7"/>
        <v>304.00099349999999</v>
      </c>
      <c r="U65">
        <f t="shared" si="8"/>
        <v>310.00099349999999</v>
      </c>
      <c r="V65">
        <f t="shared" si="9"/>
        <v>137.68353318253975</v>
      </c>
      <c r="W65">
        <f t="shared" si="10"/>
        <v>-137.68154618253976</v>
      </c>
    </row>
    <row r="66" spans="1:23" ht="15" customHeight="1" x14ac:dyDescent="0.35">
      <c r="A66" t="str">
        <f>'Raw Data'!B64</f>
        <v>Automatic Data Processing Inc</v>
      </c>
      <c r="B66" t="str">
        <f>'Raw Data'!A64</f>
        <v>adp</v>
      </c>
      <c r="C66" t="str">
        <f>IF('Raw Data'!E64="N/A","Unclassified",TRIM(SUBSTITUTE('Raw Data'!E64," and "," &amp; ")))</f>
        <v>Technology</v>
      </c>
      <c r="D66" s="17">
        <f>'Raw Data'!N64</f>
        <v>500</v>
      </c>
      <c r="E66" s="17">
        <f>'Raw Data'!O64</f>
        <v>300</v>
      </c>
      <c r="F66" s="17">
        <f>'Raw Data'!P64</f>
        <v>200</v>
      </c>
      <c r="G66" s="17">
        <f>'Raw Data'!Q64</f>
        <v>1000</v>
      </c>
      <c r="H66" s="18">
        <f>INDEX('Industry Stats'!$F$2:$F$49,MATCH($C66,'Industry Stats'!$A$2:$A$49,0))</f>
        <v>1031.3174603174602</v>
      </c>
      <c r="I66" s="19">
        <f t="shared" si="0"/>
        <v>-31.317460317460245</v>
      </c>
      <c r="J66" s="20">
        <f t="shared" si="1"/>
        <v>-3.0366459914118106E-2</v>
      </c>
      <c r="K66" s="18">
        <f>INDEX('Industry Stats'!$C$2:$C$49,MATCH($C66,'Industry Stats'!$A$2:$A$49,0))</f>
        <v>438.11111111111109</v>
      </c>
      <c r="L66" s="19">
        <f t="shared" si="2"/>
        <v>61.888888888888914</v>
      </c>
      <c r="M66" s="18">
        <f>INDEX('Industry Stats'!$D$2:$D$49,MATCH($C66,'Industry Stats'!$A$2:$A$49,0))</f>
        <v>307.90476190476193</v>
      </c>
      <c r="N66" s="19">
        <f t="shared" si="3"/>
        <v>-7.9047619047619264</v>
      </c>
      <c r="O66" s="18">
        <f>INDEX('Industry Stats'!$E$2:$E$49,MATCH($C66,'Industry Stats'!$A$2:$A$49,0))</f>
        <v>285.30158730158729</v>
      </c>
      <c r="P66" s="19">
        <f t="shared" si="4"/>
        <v>-85.30158730158729</v>
      </c>
      <c r="R66">
        <f t="shared" si="5"/>
        <v>1000.0009934</v>
      </c>
      <c r="S66">
        <f t="shared" si="6"/>
        <v>500.00099340000003</v>
      </c>
      <c r="T66">
        <f t="shared" si="7"/>
        <v>300.00099340000003</v>
      </c>
      <c r="U66">
        <f t="shared" si="8"/>
        <v>200.0009934</v>
      </c>
      <c r="V66">
        <f t="shared" si="9"/>
        <v>-31.316466917460247</v>
      </c>
      <c r="W66">
        <f t="shared" si="10"/>
        <v>31.318453717460244</v>
      </c>
    </row>
    <row r="67" spans="1:23" ht="15" customHeight="1" x14ac:dyDescent="0.35">
      <c r="A67" t="str">
        <f>'Raw Data'!B65</f>
        <v>Aditxt Inc</v>
      </c>
      <c r="B67" t="str">
        <f>'Raw Data'!A65</f>
        <v>adtx</v>
      </c>
      <c r="C67" t="str">
        <f>IF('Raw Data'!E65="N/A","Unclassified",TRIM(SUBSTITUTE('Raw Data'!E65," and "," &amp; ")))</f>
        <v>Biotechnology</v>
      </c>
      <c r="D67" s="17">
        <f>'Raw Data'!N65</f>
        <v>210</v>
      </c>
      <c r="E67" s="17">
        <f>'Raw Data'!O65</f>
        <v>224</v>
      </c>
      <c r="F67" s="17">
        <f>'Raw Data'!P65</f>
        <v>305</v>
      </c>
      <c r="G67" s="17">
        <f>'Raw Data'!Q65</f>
        <v>739</v>
      </c>
      <c r="H67" s="18">
        <f>INDEX('Industry Stats'!$F$2:$F$49,MATCH($C67,'Industry Stats'!$A$2:$A$49,0))</f>
        <v>866.91071428571433</v>
      </c>
      <c r="I67" s="19">
        <f t="shared" si="0"/>
        <v>-127.91071428571433</v>
      </c>
      <c r="J67" s="20">
        <f t="shared" si="1"/>
        <v>-0.14754773724431999</v>
      </c>
      <c r="K67" s="18">
        <f>INDEX('Industry Stats'!$C$2:$C$49,MATCH($C67,'Industry Stats'!$A$2:$A$49,0))</f>
        <v>306.53571428571428</v>
      </c>
      <c r="L67" s="19">
        <f t="shared" si="2"/>
        <v>-96.535714285714278</v>
      </c>
      <c r="M67" s="18">
        <f>INDEX('Industry Stats'!$D$2:$D$49,MATCH($C67,'Industry Stats'!$A$2:$A$49,0))</f>
        <v>268.85714285714283</v>
      </c>
      <c r="N67" s="19">
        <f t="shared" si="3"/>
        <v>-44.857142857142833</v>
      </c>
      <c r="O67" s="18">
        <f>INDEX('Industry Stats'!$E$2:$E$49,MATCH($C67,'Industry Stats'!$A$2:$A$49,0))</f>
        <v>291.51785714285717</v>
      </c>
      <c r="P67" s="19">
        <f t="shared" si="4"/>
        <v>13.482142857142833</v>
      </c>
      <c r="R67">
        <f t="shared" si="5"/>
        <v>739.0009933</v>
      </c>
      <c r="S67">
        <f t="shared" si="6"/>
        <v>210.0009933</v>
      </c>
      <c r="T67">
        <f t="shared" si="7"/>
        <v>224.0009933</v>
      </c>
      <c r="U67">
        <f t="shared" si="8"/>
        <v>305.0009933</v>
      </c>
      <c r="V67">
        <f t="shared" si="9"/>
        <v>-127.90972098571433</v>
      </c>
      <c r="W67">
        <f t="shared" si="10"/>
        <v>127.91170758571434</v>
      </c>
    </row>
    <row r="68" spans="1:23" ht="15" customHeight="1" x14ac:dyDescent="0.35">
      <c r="A68" t="str">
        <f>'Raw Data'!B66</f>
        <v>Advantage Solutions Inc</v>
      </c>
      <c r="B68" t="str">
        <f>'Raw Data'!A66</f>
        <v>adv</v>
      </c>
      <c r="C68" t="str">
        <f>IF('Raw Data'!E66="N/A","Unclassified",TRIM(SUBSTITUTE('Raw Data'!E66," and "," &amp; ")))</f>
        <v>Media</v>
      </c>
      <c r="D68" s="17">
        <f>'Raw Data'!N66</f>
        <v>515</v>
      </c>
      <c r="E68" s="17">
        <f>'Raw Data'!O66</f>
        <v>269</v>
      </c>
      <c r="F68" s="17">
        <f>'Raw Data'!P66</f>
        <v>328</v>
      </c>
      <c r="G68" s="17">
        <f>'Raw Data'!Q66</f>
        <v>1112</v>
      </c>
      <c r="H68" s="18">
        <f>INDEX('Industry Stats'!$F$2:$F$49,MATCH($C68,'Industry Stats'!$A$2:$A$49,0))</f>
        <v>935.26086956521738</v>
      </c>
      <c r="I68" s="19">
        <f t="shared" ref="I68:I131" si="11">G68-H68</f>
        <v>176.73913043478262</v>
      </c>
      <c r="J68" s="20">
        <f t="shared" ref="J68:J131" si="12">I68/H68</f>
        <v>0.18897308353865466</v>
      </c>
      <c r="K68" s="18">
        <f>INDEX('Industry Stats'!$C$2:$C$49,MATCH($C68,'Industry Stats'!$A$2:$A$49,0))</f>
        <v>346.91304347826087</v>
      </c>
      <c r="L68" s="19">
        <f t="shared" ref="L68:L131" si="13">D68-K68</f>
        <v>168.08695652173913</v>
      </c>
      <c r="M68" s="18">
        <f>INDEX('Industry Stats'!$D$2:$D$49,MATCH($C68,'Industry Stats'!$A$2:$A$49,0))</f>
        <v>313</v>
      </c>
      <c r="N68" s="19">
        <f t="shared" ref="N68:N131" si="14">E68-M68</f>
        <v>-44</v>
      </c>
      <c r="O68" s="18">
        <f>INDEX('Industry Stats'!$E$2:$E$49,MATCH($C68,'Industry Stats'!$A$2:$A$49,0))</f>
        <v>275.3478260869565</v>
      </c>
      <c r="P68" s="19">
        <f t="shared" ref="P68:P131" si="15">F68-O68</f>
        <v>52.652173913043498</v>
      </c>
      <c r="R68">
        <f t="shared" ref="R68:R131" si="16">G68+(10000-ROW())/10000000</f>
        <v>1112.0009932</v>
      </c>
      <c r="S68">
        <f t="shared" ref="S68:S131" si="17">D68+(10000-ROW())/10000000</f>
        <v>515.00099320000004</v>
      </c>
      <c r="T68">
        <f t="shared" ref="T68:T131" si="18">E68+(10000-ROW())/10000000</f>
        <v>269.00099319999998</v>
      </c>
      <c r="U68">
        <f t="shared" ref="U68:U131" si="19">F68+(10000-ROW())/10000000</f>
        <v>328.00099319999998</v>
      </c>
      <c r="V68">
        <f t="shared" ref="V68:V131" si="20">I68+(10000-ROW())/10000000</f>
        <v>176.74012363478263</v>
      </c>
      <c r="W68">
        <f t="shared" ref="W68:W131" si="21">-I68+(10000-ROW())/10000000</f>
        <v>-176.73813723478261</v>
      </c>
    </row>
    <row r="69" spans="1:23" ht="15" customHeight="1" x14ac:dyDescent="0.35">
      <c r="A69" t="str">
        <f>'Raw Data'!B67</f>
        <v>Adverum Biotechnologies Inc</v>
      </c>
      <c r="B69" t="str">
        <f>'Raw Data'!A67</f>
        <v>advm</v>
      </c>
      <c r="C69" t="str">
        <f>IF('Raw Data'!E67="N/A","Unclassified",TRIM(SUBSTITUTE('Raw Data'!E67," and "," &amp; ")))</f>
        <v>Biotechnology</v>
      </c>
      <c r="D69" s="17">
        <f>'Raw Data'!N67</f>
        <v>262</v>
      </c>
      <c r="E69" s="17">
        <f>'Raw Data'!O67</f>
        <v>321</v>
      </c>
      <c r="F69" s="17">
        <f>'Raw Data'!P67</f>
        <v>235</v>
      </c>
      <c r="G69" s="17">
        <f>'Raw Data'!Q67</f>
        <v>818</v>
      </c>
      <c r="H69" s="18">
        <f>INDEX('Industry Stats'!$F$2:$F$49,MATCH($C69,'Industry Stats'!$A$2:$A$49,0))</f>
        <v>866.91071428571433</v>
      </c>
      <c r="I69" s="19">
        <f t="shared" si="11"/>
        <v>-48.910714285714334</v>
      </c>
      <c r="J69" s="20">
        <f t="shared" si="12"/>
        <v>-5.6419552186540933E-2</v>
      </c>
      <c r="K69" s="18">
        <f>INDEX('Industry Stats'!$C$2:$C$49,MATCH($C69,'Industry Stats'!$A$2:$A$49,0))</f>
        <v>306.53571428571428</v>
      </c>
      <c r="L69" s="19">
        <f t="shared" si="13"/>
        <v>-44.535714285714278</v>
      </c>
      <c r="M69" s="18">
        <f>INDEX('Industry Stats'!$D$2:$D$49,MATCH($C69,'Industry Stats'!$A$2:$A$49,0))</f>
        <v>268.85714285714283</v>
      </c>
      <c r="N69" s="19">
        <f t="shared" si="14"/>
        <v>52.142857142857167</v>
      </c>
      <c r="O69" s="18">
        <f>INDEX('Industry Stats'!$E$2:$E$49,MATCH($C69,'Industry Stats'!$A$2:$A$49,0))</f>
        <v>291.51785714285717</v>
      </c>
      <c r="P69" s="19">
        <f t="shared" si="15"/>
        <v>-56.517857142857167</v>
      </c>
      <c r="R69">
        <f t="shared" si="16"/>
        <v>818.00099309999996</v>
      </c>
      <c r="S69">
        <f t="shared" si="17"/>
        <v>262.00099310000002</v>
      </c>
      <c r="T69">
        <f t="shared" si="18"/>
        <v>321.00099310000002</v>
      </c>
      <c r="U69">
        <f t="shared" si="19"/>
        <v>235.00099309999999</v>
      </c>
      <c r="V69">
        <f t="shared" si="20"/>
        <v>-48.909721185714332</v>
      </c>
      <c r="W69">
        <f t="shared" si="21"/>
        <v>48.911707385714337</v>
      </c>
    </row>
    <row r="70" spans="1:23" ht="15" customHeight="1" x14ac:dyDescent="0.35">
      <c r="A70" t="str">
        <f>'Raw Data'!B68</f>
        <v>Aehr Test Systems</v>
      </c>
      <c r="B70" t="str">
        <f>'Raw Data'!A68</f>
        <v>aehr</v>
      </c>
      <c r="C70" t="str">
        <f>IF('Raw Data'!E68="N/A","Unclassified",TRIM(SUBSTITUTE('Raw Data'!E68," and "," &amp; ")))</f>
        <v>Semiconductors</v>
      </c>
      <c r="D70" s="17">
        <f>'Raw Data'!N68</f>
        <v>290</v>
      </c>
      <c r="E70" s="17">
        <f>'Raw Data'!O68</f>
        <v>262</v>
      </c>
      <c r="F70" s="17">
        <f>'Raw Data'!P68</f>
        <v>300</v>
      </c>
      <c r="G70" s="17">
        <f>'Raw Data'!Q68</f>
        <v>852</v>
      </c>
      <c r="H70" s="18">
        <f>INDEX('Industry Stats'!$F$2:$F$49,MATCH($C70,'Industry Stats'!$A$2:$A$49,0))</f>
        <v>1030.5833333333333</v>
      </c>
      <c r="I70" s="19">
        <f t="shared" si="11"/>
        <v>-178.58333333333326</v>
      </c>
      <c r="J70" s="20">
        <f t="shared" si="12"/>
        <v>-0.17328373898277669</v>
      </c>
      <c r="K70" s="18">
        <f>INDEX('Industry Stats'!$C$2:$C$49,MATCH($C70,'Industry Stats'!$A$2:$A$49,0))</f>
        <v>448.45833333333331</v>
      </c>
      <c r="L70" s="19">
        <f t="shared" si="13"/>
        <v>-158.45833333333331</v>
      </c>
      <c r="M70" s="18">
        <f>INDEX('Industry Stats'!$D$2:$D$49,MATCH($C70,'Industry Stats'!$A$2:$A$49,0))</f>
        <v>296.70833333333331</v>
      </c>
      <c r="N70" s="19">
        <f t="shared" si="14"/>
        <v>-34.708333333333314</v>
      </c>
      <c r="O70" s="18">
        <f>INDEX('Industry Stats'!$E$2:$E$49,MATCH($C70,'Industry Stats'!$A$2:$A$49,0))</f>
        <v>285.41666666666669</v>
      </c>
      <c r="P70" s="19">
        <f t="shared" si="15"/>
        <v>14.583333333333314</v>
      </c>
      <c r="R70">
        <f t="shared" si="16"/>
        <v>852.00099299999999</v>
      </c>
      <c r="S70">
        <f t="shared" si="17"/>
        <v>290.00099299999999</v>
      </c>
      <c r="T70">
        <f t="shared" si="18"/>
        <v>262.00099299999999</v>
      </c>
      <c r="U70">
        <f t="shared" si="19"/>
        <v>300.00099299999999</v>
      </c>
      <c r="V70">
        <f t="shared" si="20"/>
        <v>-178.58234033333326</v>
      </c>
      <c r="W70">
        <f t="shared" si="21"/>
        <v>178.58432633333325</v>
      </c>
    </row>
    <row r="71" spans="1:23" ht="15" customHeight="1" x14ac:dyDescent="0.35">
      <c r="A71" t="str">
        <f>'Raw Data'!B69</f>
        <v>Antelope Enterprise Holdings Ltd</v>
      </c>
      <c r="B71" t="str">
        <f>'Raw Data'!A69</f>
        <v>aehl</v>
      </c>
      <c r="C71" t="str">
        <f>IF('Raw Data'!E69="N/A","Unclassified",TRIM(SUBSTITUTE('Raw Data'!E69," and "," &amp; ")))</f>
        <v>Building</v>
      </c>
      <c r="D71" s="17">
        <f>'Raw Data'!N69</f>
        <v>238</v>
      </c>
      <c r="E71" s="17">
        <f>'Raw Data'!O69</f>
        <v>237</v>
      </c>
      <c r="F71" s="17">
        <f>'Raw Data'!P69</f>
        <v>325</v>
      </c>
      <c r="G71" s="17">
        <f>'Raw Data'!Q69</f>
        <v>800</v>
      </c>
      <c r="H71" s="18">
        <f>INDEX('Industry Stats'!$F$2:$F$49,MATCH($C71,'Industry Stats'!$A$2:$A$49,0))</f>
        <v>1074.2</v>
      </c>
      <c r="I71" s="19">
        <f t="shared" si="11"/>
        <v>-274.20000000000005</v>
      </c>
      <c r="J71" s="20">
        <f t="shared" si="12"/>
        <v>-0.2552597281698008</v>
      </c>
      <c r="K71" s="18">
        <f>INDEX('Industry Stats'!$C$2:$C$49,MATCH($C71,'Industry Stats'!$A$2:$A$49,0))</f>
        <v>476.7</v>
      </c>
      <c r="L71" s="19">
        <f t="shared" si="13"/>
        <v>-238.7</v>
      </c>
      <c r="M71" s="18">
        <f>INDEX('Industry Stats'!$D$2:$D$49,MATCH($C71,'Industry Stats'!$A$2:$A$49,0))</f>
        <v>305.10000000000002</v>
      </c>
      <c r="N71" s="19">
        <f t="shared" si="14"/>
        <v>-68.100000000000023</v>
      </c>
      <c r="O71" s="18">
        <f>INDEX('Industry Stats'!$E$2:$E$49,MATCH($C71,'Industry Stats'!$A$2:$A$49,0))</f>
        <v>292.39999999999998</v>
      </c>
      <c r="P71" s="19">
        <f t="shared" si="15"/>
        <v>32.600000000000023</v>
      </c>
      <c r="R71">
        <f t="shared" si="16"/>
        <v>800.00099290000003</v>
      </c>
      <c r="S71">
        <f t="shared" si="17"/>
        <v>238.0009929</v>
      </c>
      <c r="T71">
        <f t="shared" si="18"/>
        <v>237.0009929</v>
      </c>
      <c r="U71">
        <f t="shared" si="19"/>
        <v>325.00099290000003</v>
      </c>
      <c r="V71">
        <f t="shared" si="20"/>
        <v>-274.19900710000002</v>
      </c>
      <c r="W71">
        <f t="shared" si="21"/>
        <v>274.20099290000007</v>
      </c>
    </row>
    <row r="72" spans="1:23" ht="15" customHeight="1" x14ac:dyDescent="0.35">
      <c r="A72" t="str">
        <f>'Raw Data'!B70</f>
        <v>Alset Ehome International Inc</v>
      </c>
      <c r="B72" t="str">
        <f>'Raw Data'!A70</f>
        <v>aei</v>
      </c>
      <c r="C72" t="str">
        <f>IF('Raw Data'!E70="N/A","Unclassified",TRIM(SUBSTITUTE('Raw Data'!E70," and "," &amp; ")))</f>
        <v>Real Estate</v>
      </c>
      <c r="D72" s="17">
        <f>'Raw Data'!N70</f>
        <v>520</v>
      </c>
      <c r="E72" s="17">
        <f>'Raw Data'!O70</f>
        <v>207</v>
      </c>
      <c r="F72" s="17">
        <f>'Raw Data'!P70</f>
        <v>210</v>
      </c>
      <c r="G72" s="17">
        <f>'Raw Data'!Q70</f>
        <v>937</v>
      </c>
      <c r="H72" s="18">
        <f>INDEX('Industry Stats'!$F$2:$F$49,MATCH($C72,'Industry Stats'!$A$2:$A$49,0))</f>
        <v>995.94444444444446</v>
      </c>
      <c r="I72" s="19">
        <f t="shared" si="11"/>
        <v>-58.944444444444457</v>
      </c>
      <c r="J72" s="20">
        <f t="shared" si="12"/>
        <v>-5.9184470351983057E-2</v>
      </c>
      <c r="K72" s="18">
        <f>INDEX('Industry Stats'!$C$2:$C$49,MATCH($C72,'Industry Stats'!$A$2:$A$49,0))</f>
        <v>431.38888888888891</v>
      </c>
      <c r="L72" s="19">
        <f t="shared" si="13"/>
        <v>88.611111111111086</v>
      </c>
      <c r="M72" s="18">
        <f>INDEX('Industry Stats'!$D$2:$D$49,MATCH($C72,'Industry Stats'!$A$2:$A$49,0))</f>
        <v>290.91666666666669</v>
      </c>
      <c r="N72" s="19">
        <f t="shared" si="14"/>
        <v>-83.916666666666686</v>
      </c>
      <c r="O72" s="18">
        <f>INDEX('Industry Stats'!$E$2:$E$49,MATCH($C72,'Industry Stats'!$A$2:$A$49,0))</f>
        <v>273.63888888888891</v>
      </c>
      <c r="P72" s="19">
        <f t="shared" si="15"/>
        <v>-63.638888888888914</v>
      </c>
      <c r="R72">
        <f t="shared" si="16"/>
        <v>937.00099279999995</v>
      </c>
      <c r="S72">
        <f t="shared" si="17"/>
        <v>520.00099279999995</v>
      </c>
      <c r="T72">
        <f t="shared" si="18"/>
        <v>207.00099280000001</v>
      </c>
      <c r="U72">
        <f t="shared" si="19"/>
        <v>210.00099280000001</v>
      </c>
      <c r="V72">
        <f t="shared" si="20"/>
        <v>-58.943451644444458</v>
      </c>
      <c r="W72">
        <f t="shared" si="21"/>
        <v>58.945437244444456</v>
      </c>
    </row>
    <row r="73" spans="1:23" ht="15" customHeight="1" x14ac:dyDescent="0.35">
      <c r="A73" t="str">
        <f>'Raw Data'!B71</f>
        <v>Advanced Energy Industries Inc</v>
      </c>
      <c r="B73" t="str">
        <f>'Raw Data'!A71</f>
        <v>aeis</v>
      </c>
      <c r="C73" t="str">
        <f>IF('Raw Data'!E71="N/A","Unclassified",TRIM(SUBSTITUTE('Raw Data'!E71," and "," &amp; ")))</f>
        <v>Electrical Equipment</v>
      </c>
      <c r="D73" s="17">
        <f>'Raw Data'!N71</f>
        <v>500</v>
      </c>
      <c r="E73" s="17">
        <f>'Raw Data'!O71</f>
        <v>300</v>
      </c>
      <c r="F73" s="17">
        <f>'Raw Data'!P71</f>
        <v>300</v>
      </c>
      <c r="G73" s="17">
        <f>'Raw Data'!Q71</f>
        <v>1100</v>
      </c>
      <c r="H73" s="18">
        <f>INDEX('Industry Stats'!$F$2:$F$49,MATCH($C73,'Industry Stats'!$A$2:$A$49,0))</f>
        <v>933</v>
      </c>
      <c r="I73" s="19">
        <f t="shared" si="11"/>
        <v>167</v>
      </c>
      <c r="J73" s="20">
        <f t="shared" si="12"/>
        <v>0.17899249732047159</v>
      </c>
      <c r="K73" s="18">
        <f>INDEX('Industry Stats'!$C$2:$C$49,MATCH($C73,'Industry Stats'!$A$2:$A$49,0))</f>
        <v>381.7037037037037</v>
      </c>
      <c r="L73" s="19">
        <f t="shared" si="13"/>
        <v>118.2962962962963</v>
      </c>
      <c r="M73" s="18">
        <f>INDEX('Industry Stats'!$D$2:$D$49,MATCH($C73,'Industry Stats'!$A$2:$A$49,0))</f>
        <v>272.11111111111109</v>
      </c>
      <c r="N73" s="19">
        <f t="shared" si="14"/>
        <v>27.888888888888914</v>
      </c>
      <c r="O73" s="18">
        <f>INDEX('Industry Stats'!$E$2:$E$49,MATCH($C73,'Industry Stats'!$A$2:$A$49,0))</f>
        <v>279.18518518518516</v>
      </c>
      <c r="P73" s="19">
        <f t="shared" si="15"/>
        <v>20.814814814814838</v>
      </c>
      <c r="R73">
        <f t="shared" si="16"/>
        <v>1100.0009927000001</v>
      </c>
      <c r="S73">
        <f t="shared" si="17"/>
        <v>500.00099269999998</v>
      </c>
      <c r="T73">
        <f t="shared" si="18"/>
        <v>300.00099269999998</v>
      </c>
      <c r="U73">
        <f t="shared" si="19"/>
        <v>300.00099269999998</v>
      </c>
      <c r="V73">
        <f t="shared" si="20"/>
        <v>167.00099270000001</v>
      </c>
      <c r="W73">
        <f t="shared" si="21"/>
        <v>-166.99900729999999</v>
      </c>
    </row>
    <row r="74" spans="1:23" ht="15" customHeight="1" x14ac:dyDescent="0.35">
      <c r="A74" t="str">
        <f>'Raw Data'!B72</f>
        <v>American Electric Power Company Inc</v>
      </c>
      <c r="B74" t="str">
        <f>'Raw Data'!A72</f>
        <v>aep</v>
      </c>
      <c r="C74" t="str">
        <f>IF('Raw Data'!E72="N/A","Unclassified",TRIM(SUBSTITUTE('Raw Data'!E72," and "," &amp; ")))</f>
        <v>Utilities</v>
      </c>
      <c r="D74" s="17">
        <f>'Raw Data'!N72</f>
        <v>500</v>
      </c>
      <c r="E74" s="17">
        <f>'Raw Data'!O72</f>
        <v>300</v>
      </c>
      <c r="F74" s="17">
        <f>'Raw Data'!P72</f>
        <v>300</v>
      </c>
      <c r="G74" s="17">
        <f>'Raw Data'!Q72</f>
        <v>1100</v>
      </c>
      <c r="H74" s="18">
        <f>INDEX('Industry Stats'!$F$2:$F$49,MATCH($C74,'Industry Stats'!$A$2:$A$49,0))</f>
        <v>1190.6333333333334</v>
      </c>
      <c r="I74" s="19">
        <f t="shared" si="11"/>
        <v>-90.633333333333439</v>
      </c>
      <c r="J74" s="20">
        <f t="shared" si="12"/>
        <v>-7.6121951902348967E-2</v>
      </c>
      <c r="K74" s="18">
        <f>INDEX('Industry Stats'!$C$2:$C$49,MATCH($C74,'Industry Stats'!$A$2:$A$49,0))</f>
        <v>550.9666666666667</v>
      </c>
      <c r="L74" s="19">
        <f t="shared" si="13"/>
        <v>-50.966666666666697</v>
      </c>
      <c r="M74" s="18">
        <f>INDEX('Industry Stats'!$D$2:$D$49,MATCH($C74,'Industry Stats'!$A$2:$A$49,0))</f>
        <v>357.4</v>
      </c>
      <c r="N74" s="19">
        <f t="shared" si="14"/>
        <v>-57.399999999999977</v>
      </c>
      <c r="O74" s="18">
        <f>INDEX('Industry Stats'!$E$2:$E$49,MATCH($C74,'Industry Stats'!$A$2:$A$49,0))</f>
        <v>282.26666666666665</v>
      </c>
      <c r="P74" s="19">
        <f t="shared" si="15"/>
        <v>17.733333333333348</v>
      </c>
      <c r="R74">
        <f t="shared" si="16"/>
        <v>1100.0009926</v>
      </c>
      <c r="S74">
        <f t="shared" si="17"/>
        <v>500.00099260000002</v>
      </c>
      <c r="T74">
        <f t="shared" si="18"/>
        <v>300.00099260000002</v>
      </c>
      <c r="U74">
        <f t="shared" si="19"/>
        <v>300.00099260000002</v>
      </c>
      <c r="V74">
        <f t="shared" si="20"/>
        <v>-90.632340733333436</v>
      </c>
      <c r="W74">
        <f t="shared" si="21"/>
        <v>90.634325933333443</v>
      </c>
    </row>
    <row r="75" spans="1:23" ht="15" customHeight="1" x14ac:dyDescent="0.35">
      <c r="A75" t="str">
        <f>'Raw Data'!B73</f>
        <v>Aethlon Medical Inc</v>
      </c>
      <c r="B75" t="str">
        <f>'Raw Data'!A73</f>
        <v>aemd</v>
      </c>
      <c r="C75" t="str">
        <f>IF('Raw Data'!E73="N/A","Unclassified",TRIM(SUBSTITUTE('Raw Data'!E73," and "," &amp; ")))</f>
        <v>Health Care</v>
      </c>
      <c r="D75" s="17">
        <f>'Raw Data'!N73</f>
        <v>200</v>
      </c>
      <c r="E75" s="17">
        <f>'Raw Data'!O73</f>
        <v>262</v>
      </c>
      <c r="F75" s="17">
        <f>'Raw Data'!P73</f>
        <v>315</v>
      </c>
      <c r="G75" s="17">
        <f>'Raw Data'!Q73</f>
        <v>777</v>
      </c>
      <c r="H75" s="18">
        <f>INDEX('Industry Stats'!$F$2:$F$49,MATCH($C75,'Industry Stats'!$A$2:$A$49,0))</f>
        <v>938.76470588235293</v>
      </c>
      <c r="I75" s="19">
        <f t="shared" si="11"/>
        <v>-161.76470588235293</v>
      </c>
      <c r="J75" s="20">
        <f t="shared" si="12"/>
        <v>-0.17231656118804436</v>
      </c>
      <c r="K75" s="18">
        <f>INDEX('Industry Stats'!$C$2:$C$49,MATCH($C75,'Industry Stats'!$A$2:$A$49,0))</f>
        <v>374.52941176470586</v>
      </c>
      <c r="L75" s="19">
        <f t="shared" si="13"/>
        <v>-174.52941176470586</v>
      </c>
      <c r="M75" s="18">
        <f>INDEX('Industry Stats'!$D$2:$D$49,MATCH($C75,'Industry Stats'!$A$2:$A$49,0))</f>
        <v>287.43137254901961</v>
      </c>
      <c r="N75" s="19">
        <f t="shared" si="14"/>
        <v>-25.431372549019613</v>
      </c>
      <c r="O75" s="18">
        <f>INDEX('Industry Stats'!$E$2:$E$49,MATCH($C75,'Industry Stats'!$A$2:$A$49,0))</f>
        <v>276.80392156862746</v>
      </c>
      <c r="P75" s="19">
        <f t="shared" si="15"/>
        <v>38.196078431372541</v>
      </c>
      <c r="R75">
        <f t="shared" si="16"/>
        <v>777.00099250000005</v>
      </c>
      <c r="S75">
        <f t="shared" si="17"/>
        <v>200.0009925</v>
      </c>
      <c r="T75">
        <f t="shared" si="18"/>
        <v>262.0009925</v>
      </c>
      <c r="U75">
        <f t="shared" si="19"/>
        <v>315.0009925</v>
      </c>
      <c r="V75">
        <f t="shared" si="20"/>
        <v>-161.76371338235293</v>
      </c>
      <c r="W75">
        <f t="shared" si="21"/>
        <v>161.76569838235292</v>
      </c>
    </row>
    <row r="76" spans="1:23" ht="15" customHeight="1" x14ac:dyDescent="0.35">
      <c r="A76" t="str">
        <f>'Raw Data'!B74</f>
        <v>Allied Esports Entertainment Inc</v>
      </c>
      <c r="B76" t="str">
        <f>'Raw Data'!A74</f>
        <v>aese</v>
      </c>
      <c r="C76" t="str">
        <f>IF('Raw Data'!E74="N/A","Unclassified",TRIM(SUBSTITUTE('Raw Data'!E74," and "," &amp; ")))</f>
        <v>Hotels Restaurants &amp; Leisure</v>
      </c>
      <c r="D76" s="17">
        <f>'Raw Data'!N74</f>
        <v>200</v>
      </c>
      <c r="E76" s="17">
        <f>'Raw Data'!O74</f>
        <v>200</v>
      </c>
      <c r="F76" s="17">
        <f>'Raw Data'!P74</f>
        <v>200</v>
      </c>
      <c r="G76" s="17">
        <f>'Raw Data'!Q74</f>
        <v>600</v>
      </c>
      <c r="H76" s="18">
        <f>INDEX('Industry Stats'!$F$2:$F$49,MATCH($C76,'Industry Stats'!$A$2:$A$49,0))</f>
        <v>918.86363636363637</v>
      </c>
      <c r="I76" s="19">
        <f t="shared" si="11"/>
        <v>-318.86363636363637</v>
      </c>
      <c r="J76" s="20">
        <f t="shared" si="12"/>
        <v>-0.34701953994558499</v>
      </c>
      <c r="K76" s="18">
        <f>INDEX('Industry Stats'!$C$2:$C$49,MATCH($C76,'Industry Stats'!$A$2:$A$49,0))</f>
        <v>374.63636363636363</v>
      </c>
      <c r="L76" s="19">
        <f t="shared" si="13"/>
        <v>-174.63636363636363</v>
      </c>
      <c r="M76" s="18">
        <f>INDEX('Industry Stats'!$D$2:$D$49,MATCH($C76,'Industry Stats'!$A$2:$A$49,0))</f>
        <v>283.04545454545456</v>
      </c>
      <c r="N76" s="19">
        <f t="shared" si="14"/>
        <v>-83.045454545454561</v>
      </c>
      <c r="O76" s="18">
        <f>INDEX('Industry Stats'!$E$2:$E$49,MATCH($C76,'Industry Stats'!$A$2:$A$49,0))</f>
        <v>261.18181818181819</v>
      </c>
      <c r="P76" s="19">
        <f t="shared" si="15"/>
        <v>-61.181818181818187</v>
      </c>
      <c r="R76">
        <f t="shared" si="16"/>
        <v>600.00099239999997</v>
      </c>
      <c r="S76">
        <f t="shared" si="17"/>
        <v>200.0009924</v>
      </c>
      <c r="T76">
        <f t="shared" si="18"/>
        <v>200.0009924</v>
      </c>
      <c r="U76">
        <f t="shared" si="19"/>
        <v>200.0009924</v>
      </c>
      <c r="V76">
        <f t="shared" si="20"/>
        <v>-318.8626439636364</v>
      </c>
      <c r="W76">
        <f t="shared" si="21"/>
        <v>318.86462876363635</v>
      </c>
    </row>
    <row r="77" spans="1:23" ht="15" customHeight="1" x14ac:dyDescent="0.35">
      <c r="A77" t="str">
        <f>'Raw Data'!B75</f>
        <v>AudioEye Inc</v>
      </c>
      <c r="B77" t="str">
        <f>'Raw Data'!A75</f>
        <v>aeye</v>
      </c>
      <c r="C77" t="str">
        <f>IF('Raw Data'!E75="N/A","Unclassified",TRIM(SUBSTITUTE('Raw Data'!E75," and "," &amp; ")))</f>
        <v>Technology</v>
      </c>
      <c r="D77" s="17">
        <f>'Raw Data'!N75</f>
        <v>235</v>
      </c>
      <c r="E77" s="17">
        <f>'Raw Data'!O75</f>
        <v>301</v>
      </c>
      <c r="F77" s="17">
        <f>'Raw Data'!P75</f>
        <v>308</v>
      </c>
      <c r="G77" s="17">
        <f>'Raw Data'!Q75</f>
        <v>844</v>
      </c>
      <c r="H77" s="18">
        <f>INDEX('Industry Stats'!$F$2:$F$49,MATCH($C77,'Industry Stats'!$A$2:$A$49,0))</f>
        <v>1031.3174603174602</v>
      </c>
      <c r="I77" s="19">
        <f t="shared" si="11"/>
        <v>-187.31746031746025</v>
      </c>
      <c r="J77" s="20">
        <f t="shared" si="12"/>
        <v>-0.18162929216751569</v>
      </c>
      <c r="K77" s="18">
        <f>INDEX('Industry Stats'!$C$2:$C$49,MATCH($C77,'Industry Stats'!$A$2:$A$49,0))</f>
        <v>438.11111111111109</v>
      </c>
      <c r="L77" s="19">
        <f t="shared" si="13"/>
        <v>-203.11111111111109</v>
      </c>
      <c r="M77" s="18">
        <f>INDEX('Industry Stats'!$D$2:$D$49,MATCH($C77,'Industry Stats'!$A$2:$A$49,0))</f>
        <v>307.90476190476193</v>
      </c>
      <c r="N77" s="19">
        <f t="shared" si="14"/>
        <v>-6.9047619047619264</v>
      </c>
      <c r="O77" s="18">
        <f>INDEX('Industry Stats'!$E$2:$E$49,MATCH($C77,'Industry Stats'!$A$2:$A$49,0))</f>
        <v>285.30158730158729</v>
      </c>
      <c r="P77" s="19">
        <f t="shared" si="15"/>
        <v>22.69841269841271</v>
      </c>
      <c r="R77">
        <f t="shared" si="16"/>
        <v>844.00099230000001</v>
      </c>
      <c r="S77">
        <f t="shared" si="17"/>
        <v>235.00099230000001</v>
      </c>
      <c r="T77">
        <f t="shared" si="18"/>
        <v>301.00099230000001</v>
      </c>
      <c r="U77">
        <f t="shared" si="19"/>
        <v>308.00099230000001</v>
      </c>
      <c r="V77">
        <f t="shared" si="20"/>
        <v>-187.31646801746024</v>
      </c>
      <c r="W77">
        <f t="shared" si="21"/>
        <v>187.31845261746025</v>
      </c>
    </row>
    <row r="78" spans="1:23" ht="15" customHeight="1" x14ac:dyDescent="0.35">
      <c r="A78" t="str">
        <f>'Raw Data'!B76</f>
        <v>Aerie Pharmaceuticals Inc</v>
      </c>
      <c r="B78" t="str">
        <f>'Raw Data'!A76</f>
        <v>aeri</v>
      </c>
      <c r="C78" t="str">
        <f>IF('Raw Data'!E76="N/A","Unclassified",TRIM(SUBSTITUTE('Raw Data'!E76," and "," &amp; ")))</f>
        <v>Pharmaceuticals</v>
      </c>
      <c r="D78" s="17">
        <f>'Raw Data'!N76</f>
        <v>500</v>
      </c>
      <c r="E78" s="17">
        <f>'Raw Data'!O76</f>
        <v>264</v>
      </c>
      <c r="F78" s="17">
        <f>'Raw Data'!P76</f>
        <v>310</v>
      </c>
      <c r="G78" s="17">
        <f>'Raw Data'!Q76</f>
        <v>1074</v>
      </c>
      <c r="H78" s="18">
        <f>INDEX('Industry Stats'!$F$2:$F$49,MATCH($C78,'Industry Stats'!$A$2:$A$49,0))</f>
        <v>903.66666666666663</v>
      </c>
      <c r="I78" s="19">
        <f t="shared" si="11"/>
        <v>170.33333333333337</v>
      </c>
      <c r="J78" s="20">
        <f t="shared" si="12"/>
        <v>0.18849133161195136</v>
      </c>
      <c r="K78" s="18">
        <f>INDEX('Industry Stats'!$C$2:$C$49,MATCH($C78,'Industry Stats'!$A$2:$A$49,0))</f>
        <v>360.04761904761904</v>
      </c>
      <c r="L78" s="19">
        <f t="shared" si="13"/>
        <v>139.95238095238096</v>
      </c>
      <c r="M78" s="18">
        <f>INDEX('Industry Stats'!$D$2:$D$49,MATCH($C78,'Industry Stats'!$A$2:$A$49,0))</f>
        <v>269.66666666666669</v>
      </c>
      <c r="N78" s="19">
        <f t="shared" si="14"/>
        <v>-5.6666666666666856</v>
      </c>
      <c r="O78" s="18">
        <f>INDEX('Industry Stats'!$E$2:$E$49,MATCH($C78,'Industry Stats'!$A$2:$A$49,0))</f>
        <v>273.95238095238096</v>
      </c>
      <c r="P78" s="19">
        <f t="shared" si="15"/>
        <v>36.047619047619037</v>
      </c>
      <c r="R78">
        <f t="shared" si="16"/>
        <v>1074.0009921999999</v>
      </c>
      <c r="S78">
        <f t="shared" si="17"/>
        <v>500.00099219999998</v>
      </c>
      <c r="T78">
        <f t="shared" si="18"/>
        <v>264.00099219999998</v>
      </c>
      <c r="U78">
        <f t="shared" si="19"/>
        <v>310.00099219999998</v>
      </c>
      <c r="V78">
        <f t="shared" si="20"/>
        <v>170.33432553333338</v>
      </c>
      <c r="W78">
        <f t="shared" si="21"/>
        <v>-170.33234113333336</v>
      </c>
    </row>
    <row r="79" spans="1:23" ht="15" customHeight="1" x14ac:dyDescent="0.35">
      <c r="A79" t="str">
        <f>'Raw Data'!B77</f>
        <v>ADDvantage Technologies Group Inc</v>
      </c>
      <c r="B79" t="str">
        <f>'Raw Data'!A77</f>
        <v>aey</v>
      </c>
      <c r="C79" t="str">
        <f>IF('Raw Data'!E77="N/A","Unclassified",TRIM(SUBSTITUTE('Raw Data'!E77," and "," &amp; ")))</f>
        <v>Electrical Equipment</v>
      </c>
      <c r="D79" s="17">
        <f>'Raw Data'!N77</f>
        <v>235</v>
      </c>
      <c r="E79" s="17">
        <f>'Raw Data'!O77</f>
        <v>234</v>
      </c>
      <c r="F79" s="17">
        <f>'Raw Data'!P77</f>
        <v>300</v>
      </c>
      <c r="G79" s="17">
        <f>'Raw Data'!Q77</f>
        <v>769</v>
      </c>
      <c r="H79" s="18">
        <f>INDEX('Industry Stats'!$F$2:$F$49,MATCH($C79,'Industry Stats'!$A$2:$A$49,0))</f>
        <v>933</v>
      </c>
      <c r="I79" s="19">
        <f t="shared" si="11"/>
        <v>-164</v>
      </c>
      <c r="J79" s="20">
        <f t="shared" si="12"/>
        <v>-0.17577706323687031</v>
      </c>
      <c r="K79" s="18">
        <f>INDEX('Industry Stats'!$C$2:$C$49,MATCH($C79,'Industry Stats'!$A$2:$A$49,0))</f>
        <v>381.7037037037037</v>
      </c>
      <c r="L79" s="19">
        <f t="shared" si="13"/>
        <v>-146.7037037037037</v>
      </c>
      <c r="M79" s="18">
        <f>INDEX('Industry Stats'!$D$2:$D$49,MATCH($C79,'Industry Stats'!$A$2:$A$49,0))</f>
        <v>272.11111111111109</v>
      </c>
      <c r="N79" s="19">
        <f t="shared" si="14"/>
        <v>-38.111111111111086</v>
      </c>
      <c r="O79" s="18">
        <f>INDEX('Industry Stats'!$E$2:$E$49,MATCH($C79,'Industry Stats'!$A$2:$A$49,0))</f>
        <v>279.18518518518516</v>
      </c>
      <c r="P79" s="19">
        <f t="shared" si="15"/>
        <v>20.814814814814838</v>
      </c>
      <c r="R79">
        <f t="shared" si="16"/>
        <v>769.00099209999996</v>
      </c>
      <c r="S79">
        <f t="shared" si="17"/>
        <v>235.00099209999999</v>
      </c>
      <c r="T79">
        <f t="shared" si="18"/>
        <v>234.00099209999999</v>
      </c>
      <c r="U79">
        <f t="shared" si="19"/>
        <v>300.00099210000002</v>
      </c>
      <c r="V79">
        <f t="shared" si="20"/>
        <v>-163.99900790000001</v>
      </c>
      <c r="W79">
        <f t="shared" si="21"/>
        <v>164.00099209999999</v>
      </c>
    </row>
    <row r="80" spans="1:23" ht="15" customHeight="1" x14ac:dyDescent="0.35">
      <c r="A80" t="str">
        <f>'Raw Data'!B78</f>
        <v>AF Acquisition Corp</v>
      </c>
      <c r="B80" t="str">
        <f>'Raw Data'!A78</f>
        <v>afaq</v>
      </c>
      <c r="C80" t="str">
        <f>IF('Raw Data'!E78="N/A","Unclassified",TRIM(SUBSTITUTE('Raw Data'!E78," and "," &amp; ")))</f>
        <v>Unclassified</v>
      </c>
      <c r="D80" s="17">
        <f>'Raw Data'!N78</f>
        <v>200</v>
      </c>
      <c r="E80" s="17">
        <f>'Raw Data'!O78</f>
        <v>200</v>
      </c>
      <c r="F80" s="17">
        <f>'Raw Data'!P78</f>
        <v>200</v>
      </c>
      <c r="G80" s="17">
        <f>'Raw Data'!Q78</f>
        <v>600</v>
      </c>
      <c r="H80" s="18">
        <f>INDEX('Industry Stats'!$F$2:$F$49,MATCH($C80,'Industry Stats'!$A$2:$A$49,0))</f>
        <v>709.30769230769226</v>
      </c>
      <c r="I80" s="19">
        <f t="shared" si="11"/>
        <v>-109.30769230769226</v>
      </c>
      <c r="J80" s="20">
        <f t="shared" si="12"/>
        <v>-0.15410476087192274</v>
      </c>
      <c r="K80" s="18">
        <f>INDEX('Industry Stats'!$C$2:$C$49,MATCH($C80,'Industry Stats'!$A$2:$A$49,0))</f>
        <v>215.38461538461539</v>
      </c>
      <c r="L80" s="19">
        <f t="shared" si="13"/>
        <v>-15.384615384615387</v>
      </c>
      <c r="M80" s="18">
        <f>INDEX('Industry Stats'!$D$2:$D$49,MATCH($C80,'Industry Stats'!$A$2:$A$49,0))</f>
        <v>231.15384615384616</v>
      </c>
      <c r="N80" s="19">
        <f t="shared" si="14"/>
        <v>-31.15384615384616</v>
      </c>
      <c r="O80" s="18">
        <f>INDEX('Industry Stats'!$E$2:$E$49,MATCH($C80,'Industry Stats'!$A$2:$A$49,0))</f>
        <v>262.76923076923077</v>
      </c>
      <c r="P80" s="19">
        <f t="shared" si="15"/>
        <v>-62.769230769230774</v>
      </c>
      <c r="R80">
        <f t="shared" si="16"/>
        <v>600.000992</v>
      </c>
      <c r="S80">
        <f t="shared" si="17"/>
        <v>200.000992</v>
      </c>
      <c r="T80">
        <f t="shared" si="18"/>
        <v>200.000992</v>
      </c>
      <c r="U80">
        <f t="shared" si="19"/>
        <v>200.000992</v>
      </c>
      <c r="V80">
        <f t="shared" si="20"/>
        <v>-109.30670030769227</v>
      </c>
      <c r="W80">
        <f t="shared" si="21"/>
        <v>109.30868430769226</v>
      </c>
    </row>
    <row r="81" spans="1:23" ht="15" customHeight="1" x14ac:dyDescent="0.35">
      <c r="A81" t="str">
        <f>'Raw Data'!B79</f>
        <v>Affimed NV</v>
      </c>
      <c r="B81" t="str">
        <f>'Raw Data'!A79</f>
        <v>afmd</v>
      </c>
      <c r="C81" t="str">
        <f>IF('Raw Data'!E79="N/A","Unclassified",TRIM(SUBSTITUTE('Raw Data'!E79," and "," &amp; ")))</f>
        <v>Biotechnology</v>
      </c>
      <c r="D81" s="17">
        <f>'Raw Data'!N79</f>
        <v>368</v>
      </c>
      <c r="E81" s="17">
        <f>'Raw Data'!O79</f>
        <v>304</v>
      </c>
      <c r="F81" s="17">
        <f>'Raw Data'!P79</f>
        <v>310</v>
      </c>
      <c r="G81" s="17">
        <f>'Raw Data'!Q79</f>
        <v>982</v>
      </c>
      <c r="H81" s="18">
        <f>INDEX('Industry Stats'!$F$2:$F$49,MATCH($C81,'Industry Stats'!$A$2:$A$49,0))</f>
        <v>866.91071428571433</v>
      </c>
      <c r="I81" s="19">
        <f t="shared" si="11"/>
        <v>115.08928571428567</v>
      </c>
      <c r="J81" s="20">
        <f t="shared" si="12"/>
        <v>0.13275794590808901</v>
      </c>
      <c r="K81" s="18">
        <f>INDEX('Industry Stats'!$C$2:$C$49,MATCH($C81,'Industry Stats'!$A$2:$A$49,0))</f>
        <v>306.53571428571428</v>
      </c>
      <c r="L81" s="19">
        <f t="shared" si="13"/>
        <v>61.464285714285722</v>
      </c>
      <c r="M81" s="18">
        <f>INDEX('Industry Stats'!$D$2:$D$49,MATCH($C81,'Industry Stats'!$A$2:$A$49,0))</f>
        <v>268.85714285714283</v>
      </c>
      <c r="N81" s="19">
        <f t="shared" si="14"/>
        <v>35.142857142857167</v>
      </c>
      <c r="O81" s="18">
        <f>INDEX('Industry Stats'!$E$2:$E$49,MATCH($C81,'Industry Stats'!$A$2:$A$49,0))</f>
        <v>291.51785714285717</v>
      </c>
      <c r="P81" s="19">
        <f t="shared" si="15"/>
        <v>18.482142857142833</v>
      </c>
      <c r="R81">
        <f t="shared" si="16"/>
        <v>982.00099190000003</v>
      </c>
      <c r="S81">
        <f t="shared" si="17"/>
        <v>368.00099189999997</v>
      </c>
      <c r="T81">
        <f t="shared" si="18"/>
        <v>304.00099189999997</v>
      </c>
      <c r="U81">
        <f t="shared" si="19"/>
        <v>310.00099189999997</v>
      </c>
      <c r="V81">
        <f t="shared" si="20"/>
        <v>115.09027761428567</v>
      </c>
      <c r="W81">
        <f t="shared" si="21"/>
        <v>-115.08829381428566</v>
      </c>
    </row>
    <row r="82" spans="1:23" ht="15" customHeight="1" x14ac:dyDescent="0.35">
      <c r="A82" t="str">
        <f>'Raw Data'!B80</f>
        <v>AFC Gamma Inc</v>
      </c>
      <c r="B82" t="str">
        <f>'Raw Data'!A80</f>
        <v>afcg</v>
      </c>
      <c r="C82" t="str">
        <f>IF('Raw Data'!E80="N/A","Unclassified",TRIM(SUBSTITUTE('Raw Data'!E80," and "," &amp; ")))</f>
        <v>Real Estate</v>
      </c>
      <c r="D82" s="17">
        <f>'Raw Data'!N80</f>
        <v>255</v>
      </c>
      <c r="E82" s="17">
        <f>'Raw Data'!O80</f>
        <v>204</v>
      </c>
      <c r="F82" s="17">
        <f>'Raw Data'!P80</f>
        <v>226</v>
      </c>
      <c r="G82" s="17">
        <f>'Raw Data'!Q80</f>
        <v>685</v>
      </c>
      <c r="H82" s="18">
        <f>INDEX('Industry Stats'!$F$2:$F$49,MATCH($C82,'Industry Stats'!$A$2:$A$49,0))</f>
        <v>995.94444444444446</v>
      </c>
      <c r="I82" s="19">
        <f t="shared" si="11"/>
        <v>-310.94444444444446</v>
      </c>
      <c r="J82" s="20">
        <f t="shared" si="12"/>
        <v>-0.31221063200758631</v>
      </c>
      <c r="K82" s="18">
        <f>INDEX('Industry Stats'!$C$2:$C$49,MATCH($C82,'Industry Stats'!$A$2:$A$49,0))</f>
        <v>431.38888888888891</v>
      </c>
      <c r="L82" s="19">
        <f t="shared" si="13"/>
        <v>-176.38888888888891</v>
      </c>
      <c r="M82" s="18">
        <f>INDEX('Industry Stats'!$D$2:$D$49,MATCH($C82,'Industry Stats'!$A$2:$A$49,0))</f>
        <v>290.91666666666669</v>
      </c>
      <c r="N82" s="19">
        <f t="shared" si="14"/>
        <v>-86.916666666666686</v>
      </c>
      <c r="O82" s="18">
        <f>INDEX('Industry Stats'!$E$2:$E$49,MATCH($C82,'Industry Stats'!$A$2:$A$49,0))</f>
        <v>273.63888888888891</v>
      </c>
      <c r="P82" s="19">
        <f t="shared" si="15"/>
        <v>-47.638888888888914</v>
      </c>
      <c r="R82">
        <f t="shared" si="16"/>
        <v>685.00099179999995</v>
      </c>
      <c r="S82">
        <f t="shared" si="17"/>
        <v>255.00099180000001</v>
      </c>
      <c r="T82">
        <f t="shared" si="18"/>
        <v>204.00099180000001</v>
      </c>
      <c r="U82">
        <f t="shared" si="19"/>
        <v>226.00099180000001</v>
      </c>
      <c r="V82">
        <f t="shared" si="20"/>
        <v>-310.94345264444445</v>
      </c>
      <c r="W82">
        <f t="shared" si="21"/>
        <v>310.94543624444447</v>
      </c>
    </row>
    <row r="83" spans="1:23" ht="15" customHeight="1" x14ac:dyDescent="0.35">
      <c r="A83" t="str">
        <f>'Raw Data'!B81</f>
        <v>Affinity Bancshares Inc</v>
      </c>
      <c r="B83" t="str">
        <f>'Raw Data'!A81</f>
        <v>afbi</v>
      </c>
      <c r="C83" t="str">
        <f>IF('Raw Data'!E81="N/A","Unclassified",TRIM(SUBSTITUTE('Raw Data'!E81," and "," &amp; ")))</f>
        <v>Banking</v>
      </c>
      <c r="D83" s="17">
        <f>'Raw Data'!N81</f>
        <v>200</v>
      </c>
      <c r="E83" s="17">
        <f>'Raw Data'!O81</f>
        <v>207</v>
      </c>
      <c r="F83" s="17">
        <f>'Raw Data'!P81</f>
        <v>200</v>
      </c>
      <c r="G83" s="17">
        <f>'Raw Data'!Q81</f>
        <v>607</v>
      </c>
      <c r="H83" s="18">
        <f>INDEX('Industry Stats'!$F$2:$F$49,MATCH($C83,'Industry Stats'!$A$2:$A$49,0))</f>
        <v>898.31034482758616</v>
      </c>
      <c r="I83" s="19">
        <f t="shared" si="11"/>
        <v>-291.31034482758616</v>
      </c>
      <c r="J83" s="20">
        <f t="shared" si="12"/>
        <v>-0.3242869755479636</v>
      </c>
      <c r="K83" s="18">
        <f>INDEX('Industry Stats'!$C$2:$C$49,MATCH($C83,'Industry Stats'!$A$2:$A$49,0))</f>
        <v>341.48275862068965</v>
      </c>
      <c r="L83" s="19">
        <f t="shared" si="13"/>
        <v>-141.48275862068965</v>
      </c>
      <c r="M83" s="18">
        <f>INDEX('Industry Stats'!$D$2:$D$49,MATCH($C83,'Industry Stats'!$A$2:$A$49,0))</f>
        <v>292.34482758620692</v>
      </c>
      <c r="N83" s="19">
        <f t="shared" si="14"/>
        <v>-85.344827586206918</v>
      </c>
      <c r="O83" s="18">
        <f>INDEX('Industry Stats'!$E$2:$E$49,MATCH($C83,'Industry Stats'!$A$2:$A$49,0))</f>
        <v>264.48275862068965</v>
      </c>
      <c r="P83" s="19">
        <f t="shared" si="15"/>
        <v>-64.482758620689651</v>
      </c>
      <c r="R83">
        <f t="shared" si="16"/>
        <v>607.00099169999999</v>
      </c>
      <c r="S83">
        <f t="shared" si="17"/>
        <v>200.00099169999999</v>
      </c>
      <c r="T83">
        <f t="shared" si="18"/>
        <v>207.00099169999999</v>
      </c>
      <c r="U83">
        <f t="shared" si="19"/>
        <v>200.00099169999999</v>
      </c>
      <c r="V83">
        <f t="shared" si="20"/>
        <v>-291.30935312758618</v>
      </c>
      <c r="W83">
        <f t="shared" si="21"/>
        <v>291.31133652758615</v>
      </c>
    </row>
    <row r="84" spans="1:23" ht="15" customHeight="1" x14ac:dyDescent="0.35">
      <c r="A84" t="str">
        <f>'Raw Data'!B82</f>
        <v>Affirm Holdings Inc</v>
      </c>
      <c r="B84" t="str">
        <f>'Raw Data'!A82</f>
        <v>afrm</v>
      </c>
      <c r="C84" t="str">
        <f>IF('Raw Data'!E82="N/A","Unclassified",TRIM(SUBSTITUTE('Raw Data'!E82," and "," &amp; ")))</f>
        <v>Technology</v>
      </c>
      <c r="D84" s="17">
        <f>'Raw Data'!N82</f>
        <v>225</v>
      </c>
      <c r="E84" s="17">
        <f>'Raw Data'!O82</f>
        <v>335</v>
      </c>
      <c r="F84" s="17">
        <f>'Raw Data'!P82</f>
        <v>335</v>
      </c>
      <c r="G84" s="17">
        <f>'Raw Data'!Q82</f>
        <v>895</v>
      </c>
      <c r="H84" s="18">
        <f>INDEX('Industry Stats'!$F$2:$F$49,MATCH($C84,'Industry Stats'!$A$2:$A$49,0))</f>
        <v>1031.3174603174602</v>
      </c>
      <c r="I84" s="19">
        <f t="shared" si="11"/>
        <v>-136.31746031746025</v>
      </c>
      <c r="J84" s="20">
        <f t="shared" si="12"/>
        <v>-0.13217798162313571</v>
      </c>
      <c r="K84" s="18">
        <f>INDEX('Industry Stats'!$C$2:$C$49,MATCH($C84,'Industry Stats'!$A$2:$A$49,0))</f>
        <v>438.11111111111109</v>
      </c>
      <c r="L84" s="19">
        <f t="shared" si="13"/>
        <v>-213.11111111111109</v>
      </c>
      <c r="M84" s="18">
        <f>INDEX('Industry Stats'!$D$2:$D$49,MATCH($C84,'Industry Stats'!$A$2:$A$49,0))</f>
        <v>307.90476190476193</v>
      </c>
      <c r="N84" s="19">
        <f t="shared" si="14"/>
        <v>27.095238095238074</v>
      </c>
      <c r="O84" s="18">
        <f>INDEX('Industry Stats'!$E$2:$E$49,MATCH($C84,'Industry Stats'!$A$2:$A$49,0))</f>
        <v>285.30158730158729</v>
      </c>
      <c r="P84" s="19">
        <f t="shared" si="15"/>
        <v>49.69841269841271</v>
      </c>
      <c r="R84">
        <f t="shared" si="16"/>
        <v>895.00099160000002</v>
      </c>
      <c r="S84">
        <f t="shared" si="17"/>
        <v>225.00099159999999</v>
      </c>
      <c r="T84">
        <f t="shared" si="18"/>
        <v>335.00099160000002</v>
      </c>
      <c r="U84">
        <f t="shared" si="19"/>
        <v>335.00099160000002</v>
      </c>
      <c r="V84">
        <f t="shared" si="20"/>
        <v>-136.31646871746025</v>
      </c>
      <c r="W84">
        <f t="shared" si="21"/>
        <v>136.31845191746024</v>
      </c>
    </row>
    <row r="85" spans="1:23" ht="15" customHeight="1" x14ac:dyDescent="0.35">
      <c r="A85" t="str">
        <f>'Raw Data'!B83</f>
        <v>Acutus Medical Inc</v>
      </c>
      <c r="B85" t="str">
        <f>'Raw Data'!A83</f>
        <v>afib</v>
      </c>
      <c r="C85" t="str">
        <f>IF('Raw Data'!E83="N/A","Unclassified",TRIM(SUBSTITUTE('Raw Data'!E83," and "," &amp; ")))</f>
        <v>Health Care</v>
      </c>
      <c r="D85" s="17">
        <f>'Raw Data'!N83</f>
        <v>205</v>
      </c>
      <c r="E85" s="17">
        <f>'Raw Data'!O83</f>
        <v>211</v>
      </c>
      <c r="F85" s="17">
        <f>'Raw Data'!P83</f>
        <v>235</v>
      </c>
      <c r="G85" s="17">
        <f>'Raw Data'!Q83</f>
        <v>651</v>
      </c>
      <c r="H85" s="18">
        <f>INDEX('Industry Stats'!$F$2:$F$49,MATCH($C85,'Industry Stats'!$A$2:$A$49,0))</f>
        <v>938.76470588235293</v>
      </c>
      <c r="I85" s="19">
        <f t="shared" si="11"/>
        <v>-287.76470588235293</v>
      </c>
      <c r="J85" s="20">
        <f t="shared" si="12"/>
        <v>-0.30653549721160472</v>
      </c>
      <c r="K85" s="18">
        <f>INDEX('Industry Stats'!$C$2:$C$49,MATCH($C85,'Industry Stats'!$A$2:$A$49,0))</f>
        <v>374.52941176470586</v>
      </c>
      <c r="L85" s="19">
        <f t="shared" si="13"/>
        <v>-169.52941176470586</v>
      </c>
      <c r="M85" s="18">
        <f>INDEX('Industry Stats'!$D$2:$D$49,MATCH($C85,'Industry Stats'!$A$2:$A$49,0))</f>
        <v>287.43137254901961</v>
      </c>
      <c r="N85" s="19">
        <f t="shared" si="14"/>
        <v>-76.431372549019613</v>
      </c>
      <c r="O85" s="18">
        <f>INDEX('Industry Stats'!$E$2:$E$49,MATCH($C85,'Industry Stats'!$A$2:$A$49,0))</f>
        <v>276.80392156862746</v>
      </c>
      <c r="P85" s="19">
        <f t="shared" si="15"/>
        <v>-41.803921568627459</v>
      </c>
      <c r="R85">
        <f t="shared" si="16"/>
        <v>651.00099150000005</v>
      </c>
      <c r="S85">
        <f t="shared" si="17"/>
        <v>205.0009915</v>
      </c>
      <c r="T85">
        <f t="shared" si="18"/>
        <v>211.0009915</v>
      </c>
      <c r="U85">
        <f t="shared" si="19"/>
        <v>235.0009915</v>
      </c>
      <c r="V85">
        <f t="shared" si="20"/>
        <v>-287.76371438235293</v>
      </c>
      <c r="W85">
        <f t="shared" si="21"/>
        <v>287.76569738235293</v>
      </c>
    </row>
    <row r="86" spans="1:23" ht="15" customHeight="1" x14ac:dyDescent="0.35">
      <c r="A86" t="str">
        <f>'Raw Data'!B84</f>
        <v>Agenus Inc</v>
      </c>
      <c r="B86" t="str">
        <f>'Raw Data'!A84</f>
        <v>agen</v>
      </c>
      <c r="C86" t="str">
        <f>IF('Raw Data'!E84="N/A","Unclassified",TRIM(SUBSTITUTE('Raw Data'!E84," and "," &amp; ")))</f>
        <v>Biotechnology</v>
      </c>
      <c r="D86" s="17">
        <f>'Raw Data'!N84</f>
        <v>290</v>
      </c>
      <c r="E86" s="17">
        <f>'Raw Data'!O84</f>
        <v>245</v>
      </c>
      <c r="F86" s="17">
        <f>'Raw Data'!P84</f>
        <v>300</v>
      </c>
      <c r="G86" s="17">
        <f>'Raw Data'!Q84</f>
        <v>835</v>
      </c>
      <c r="H86" s="18">
        <f>INDEX('Industry Stats'!$F$2:$F$49,MATCH($C86,'Industry Stats'!$A$2:$A$49,0))</f>
        <v>866.91071428571433</v>
      </c>
      <c r="I86" s="19">
        <f t="shared" si="11"/>
        <v>-31.910714285714334</v>
      </c>
      <c r="J86" s="20">
        <f t="shared" si="12"/>
        <v>-3.6809689579170753E-2</v>
      </c>
      <c r="K86" s="18">
        <f>INDEX('Industry Stats'!$C$2:$C$49,MATCH($C86,'Industry Stats'!$A$2:$A$49,0))</f>
        <v>306.53571428571428</v>
      </c>
      <c r="L86" s="19">
        <f t="shared" si="13"/>
        <v>-16.535714285714278</v>
      </c>
      <c r="M86" s="18">
        <f>INDEX('Industry Stats'!$D$2:$D$49,MATCH($C86,'Industry Stats'!$A$2:$A$49,0))</f>
        <v>268.85714285714283</v>
      </c>
      <c r="N86" s="19">
        <f t="shared" si="14"/>
        <v>-23.857142857142833</v>
      </c>
      <c r="O86" s="18">
        <f>INDEX('Industry Stats'!$E$2:$E$49,MATCH($C86,'Industry Stats'!$A$2:$A$49,0))</f>
        <v>291.51785714285717</v>
      </c>
      <c r="P86" s="19">
        <f t="shared" si="15"/>
        <v>8.4821428571428328</v>
      </c>
      <c r="R86">
        <f t="shared" si="16"/>
        <v>835.00099139999998</v>
      </c>
      <c r="S86">
        <f t="shared" si="17"/>
        <v>290.00099139999998</v>
      </c>
      <c r="T86">
        <f t="shared" si="18"/>
        <v>245.0009914</v>
      </c>
      <c r="U86">
        <f t="shared" si="19"/>
        <v>300.00099139999998</v>
      </c>
      <c r="V86">
        <f t="shared" si="20"/>
        <v>-31.909722885714334</v>
      </c>
      <c r="W86">
        <f t="shared" si="21"/>
        <v>31.911705685714335</v>
      </c>
    </row>
    <row r="87" spans="1:23" ht="15" customHeight="1" x14ac:dyDescent="0.35">
      <c r="A87" t="str">
        <f>'Raw Data'!B85</f>
        <v>Afya Ltd</v>
      </c>
      <c r="B87" t="str">
        <f>'Raw Data'!A85</f>
        <v>afya</v>
      </c>
      <c r="C87" t="str">
        <f>IF('Raw Data'!E85="N/A","Unclassified",TRIM(SUBSTITUTE('Raw Data'!E85," and "," &amp; ")))</f>
        <v>Diversified Consumer Services</v>
      </c>
      <c r="D87" s="17">
        <f>'Raw Data'!N85</f>
        <v>290</v>
      </c>
      <c r="E87" s="17">
        <f>'Raw Data'!O85</f>
        <v>203</v>
      </c>
      <c r="F87" s="17">
        <f>'Raw Data'!P85</f>
        <v>205</v>
      </c>
      <c r="G87" s="17">
        <f>'Raw Data'!Q85</f>
        <v>698</v>
      </c>
      <c r="H87" s="18">
        <f>INDEX('Industry Stats'!$F$2:$F$49,MATCH($C87,'Industry Stats'!$A$2:$A$49,0))</f>
        <v>739.33333333333337</v>
      </c>
      <c r="I87" s="19">
        <f t="shared" si="11"/>
        <v>-41.333333333333371</v>
      </c>
      <c r="J87" s="20">
        <f t="shared" si="12"/>
        <v>-5.5906221821460822E-2</v>
      </c>
      <c r="K87" s="18">
        <f>INDEX('Industry Stats'!$C$2:$C$49,MATCH($C87,'Industry Stats'!$A$2:$A$49,0))</f>
        <v>286</v>
      </c>
      <c r="L87" s="19">
        <f t="shared" si="13"/>
        <v>4</v>
      </c>
      <c r="M87" s="18">
        <f>INDEX('Industry Stats'!$D$2:$D$49,MATCH($C87,'Industry Stats'!$A$2:$A$49,0))</f>
        <v>233.33333333333334</v>
      </c>
      <c r="N87" s="19">
        <f t="shared" si="14"/>
        <v>-30.333333333333343</v>
      </c>
      <c r="O87" s="18">
        <f>INDEX('Industry Stats'!$E$2:$E$49,MATCH($C87,'Industry Stats'!$A$2:$A$49,0))</f>
        <v>220</v>
      </c>
      <c r="P87" s="19">
        <f t="shared" si="15"/>
        <v>-15</v>
      </c>
      <c r="R87">
        <f t="shared" si="16"/>
        <v>698.00099130000001</v>
      </c>
      <c r="S87">
        <f t="shared" si="17"/>
        <v>290.00099130000001</v>
      </c>
      <c r="T87">
        <f t="shared" si="18"/>
        <v>203.00099130000001</v>
      </c>
      <c r="U87">
        <f t="shared" si="19"/>
        <v>205.00099130000001</v>
      </c>
      <c r="V87">
        <f t="shared" si="20"/>
        <v>-41.332342033333369</v>
      </c>
      <c r="W87">
        <f t="shared" si="21"/>
        <v>41.334324633333374</v>
      </c>
    </row>
    <row r="88" spans="1:23" ht="15" customHeight="1" x14ac:dyDescent="0.35">
      <c r="A88" t="str">
        <f>'Raw Data'!B86</f>
        <v>AgroFresh Solutions Inc</v>
      </c>
      <c r="B88" t="str">
        <f>'Raw Data'!A86</f>
        <v>agfs</v>
      </c>
      <c r="C88" t="str">
        <f>IF('Raw Data'!E86="N/A","Unclassified",TRIM(SUBSTITUTE('Raw Data'!E86," and "," &amp; ")))</f>
        <v>Chemicals</v>
      </c>
      <c r="D88" s="17">
        <f>'Raw Data'!N86</f>
        <v>500</v>
      </c>
      <c r="E88" s="17">
        <f>'Raw Data'!O86</f>
        <v>301</v>
      </c>
      <c r="F88" s="17">
        <f>'Raw Data'!P86</f>
        <v>275</v>
      </c>
      <c r="G88" s="17">
        <f>'Raw Data'!Q86</f>
        <v>1076</v>
      </c>
      <c r="H88" s="18">
        <f>INDEX('Industry Stats'!$F$2:$F$49,MATCH($C88,'Industry Stats'!$A$2:$A$49,0))</f>
        <v>1058.8947368421052</v>
      </c>
      <c r="I88" s="19">
        <f t="shared" si="11"/>
        <v>17.105263157894797</v>
      </c>
      <c r="J88" s="20">
        <f t="shared" si="12"/>
        <v>1.6153884387892101E-2</v>
      </c>
      <c r="K88" s="18">
        <f>INDEX('Industry Stats'!$C$2:$C$49,MATCH($C88,'Industry Stats'!$A$2:$A$49,0))</f>
        <v>463.73684210526318</v>
      </c>
      <c r="L88" s="19">
        <f t="shared" si="13"/>
        <v>36.263157894736821</v>
      </c>
      <c r="M88" s="18">
        <f>INDEX('Industry Stats'!$D$2:$D$49,MATCH($C88,'Industry Stats'!$A$2:$A$49,0))</f>
        <v>304.36842105263156</v>
      </c>
      <c r="N88" s="19">
        <f t="shared" si="14"/>
        <v>-3.368421052631561</v>
      </c>
      <c r="O88" s="18">
        <f>INDEX('Industry Stats'!$E$2:$E$49,MATCH($C88,'Industry Stats'!$A$2:$A$49,0))</f>
        <v>290.78947368421052</v>
      </c>
      <c r="P88" s="19">
        <f t="shared" si="15"/>
        <v>-15.78947368421052</v>
      </c>
      <c r="R88">
        <f t="shared" si="16"/>
        <v>1076.0009912</v>
      </c>
      <c r="S88">
        <f t="shared" si="17"/>
        <v>500.00099119999999</v>
      </c>
      <c r="T88">
        <f t="shared" si="18"/>
        <v>301.00099119999999</v>
      </c>
      <c r="U88">
        <f t="shared" si="19"/>
        <v>275.00099119999999</v>
      </c>
      <c r="V88">
        <f t="shared" si="20"/>
        <v>17.106254357894798</v>
      </c>
      <c r="W88">
        <f t="shared" si="21"/>
        <v>-17.104271957894795</v>
      </c>
    </row>
    <row r="89" spans="1:23" ht="15" customHeight="1" x14ac:dyDescent="0.35">
      <c r="A89" t="str">
        <f>'Raw Data'!B87</f>
        <v>Agrify Corp</v>
      </c>
      <c r="B89" t="str">
        <f>'Raw Data'!A87</f>
        <v>agfy</v>
      </c>
      <c r="C89" t="str">
        <f>IF('Raw Data'!E87="N/A","Unclassified",TRIM(SUBSTITUTE('Raw Data'!E87," and "," &amp; ")))</f>
        <v>Machinery</v>
      </c>
      <c r="D89" s="17">
        <f>'Raw Data'!N87</f>
        <v>540</v>
      </c>
      <c r="E89" s="17">
        <f>'Raw Data'!O87</f>
        <v>361</v>
      </c>
      <c r="F89" s="17">
        <f>'Raw Data'!P87</f>
        <v>305</v>
      </c>
      <c r="G89" s="17">
        <f>'Raw Data'!Q87</f>
        <v>1206</v>
      </c>
      <c r="H89" s="18">
        <f>INDEX('Industry Stats'!$F$2:$F$49,MATCH($C89,'Industry Stats'!$A$2:$A$49,0))</f>
        <v>1048.047619047619</v>
      </c>
      <c r="I89" s="19">
        <f t="shared" si="11"/>
        <v>157.95238095238096</v>
      </c>
      <c r="J89" s="20">
        <f t="shared" si="12"/>
        <v>0.1507110727429688</v>
      </c>
      <c r="K89" s="18">
        <f>INDEX('Industry Stats'!$C$2:$C$49,MATCH($C89,'Industry Stats'!$A$2:$A$49,0))</f>
        <v>459.57142857142856</v>
      </c>
      <c r="L89" s="19">
        <f t="shared" si="13"/>
        <v>80.428571428571445</v>
      </c>
      <c r="M89" s="18">
        <f>INDEX('Industry Stats'!$D$2:$D$49,MATCH($C89,'Industry Stats'!$A$2:$A$49,0))</f>
        <v>313.66666666666669</v>
      </c>
      <c r="N89" s="19">
        <f t="shared" si="14"/>
        <v>47.333333333333314</v>
      </c>
      <c r="O89" s="18">
        <f>INDEX('Industry Stats'!$E$2:$E$49,MATCH($C89,'Industry Stats'!$A$2:$A$49,0))</f>
        <v>274.8095238095238</v>
      </c>
      <c r="P89" s="19">
        <f t="shared" si="15"/>
        <v>30.190476190476204</v>
      </c>
      <c r="R89">
        <f t="shared" si="16"/>
        <v>1206.0009911</v>
      </c>
      <c r="S89">
        <f t="shared" si="17"/>
        <v>540.00099109999996</v>
      </c>
      <c r="T89">
        <f t="shared" si="18"/>
        <v>361.00099110000002</v>
      </c>
      <c r="U89">
        <f t="shared" si="19"/>
        <v>305.00099110000002</v>
      </c>
      <c r="V89">
        <f t="shared" si="20"/>
        <v>157.95337205238096</v>
      </c>
      <c r="W89">
        <f t="shared" si="21"/>
        <v>-157.95138985238097</v>
      </c>
    </row>
    <row r="90" spans="1:23" ht="15" customHeight="1" x14ac:dyDescent="0.35">
      <c r="A90" t="str">
        <f>'Raw Data'!B88</f>
        <v>AgileThought Inc</v>
      </c>
      <c r="B90" t="str">
        <f>'Raw Data'!A88</f>
        <v>agil</v>
      </c>
      <c r="C90" t="str">
        <f>IF('Raw Data'!E88="N/A","Unclassified",TRIM(SUBSTITUTE('Raw Data'!E88," and "," &amp; ")))</f>
        <v>Technology</v>
      </c>
      <c r="D90" s="17">
        <f>'Raw Data'!N88</f>
        <v>340</v>
      </c>
      <c r="E90" s="17">
        <f>'Raw Data'!O88</f>
        <v>299</v>
      </c>
      <c r="F90" s="17">
        <f>'Raw Data'!P88</f>
        <v>305</v>
      </c>
      <c r="G90" s="17">
        <f>'Raw Data'!Q88</f>
        <v>944</v>
      </c>
      <c r="H90" s="18">
        <f>INDEX('Industry Stats'!$F$2:$F$49,MATCH($C90,'Industry Stats'!$A$2:$A$49,0))</f>
        <v>1031.3174603174602</v>
      </c>
      <c r="I90" s="19">
        <f t="shared" si="11"/>
        <v>-87.317460317460245</v>
      </c>
      <c r="J90" s="20">
        <f t="shared" si="12"/>
        <v>-8.4665938158927492E-2</v>
      </c>
      <c r="K90" s="18">
        <f>INDEX('Industry Stats'!$C$2:$C$49,MATCH($C90,'Industry Stats'!$A$2:$A$49,0))</f>
        <v>438.11111111111109</v>
      </c>
      <c r="L90" s="19">
        <f t="shared" si="13"/>
        <v>-98.111111111111086</v>
      </c>
      <c r="M90" s="18">
        <f>INDEX('Industry Stats'!$D$2:$D$49,MATCH($C90,'Industry Stats'!$A$2:$A$49,0))</f>
        <v>307.90476190476193</v>
      </c>
      <c r="N90" s="19">
        <f t="shared" si="14"/>
        <v>-8.9047619047619264</v>
      </c>
      <c r="O90" s="18">
        <f>INDEX('Industry Stats'!$E$2:$E$49,MATCH($C90,'Industry Stats'!$A$2:$A$49,0))</f>
        <v>285.30158730158729</v>
      </c>
      <c r="P90" s="19">
        <f t="shared" si="15"/>
        <v>19.69841269841271</v>
      </c>
      <c r="R90">
        <f t="shared" si="16"/>
        <v>944.000991</v>
      </c>
      <c r="S90">
        <f t="shared" si="17"/>
        <v>340.000991</v>
      </c>
      <c r="T90">
        <f t="shared" si="18"/>
        <v>299.000991</v>
      </c>
      <c r="U90">
        <f t="shared" si="19"/>
        <v>305.000991</v>
      </c>
      <c r="V90">
        <f t="shared" si="20"/>
        <v>-87.316469317460246</v>
      </c>
      <c r="W90">
        <f t="shared" si="21"/>
        <v>87.318451317460244</v>
      </c>
    </row>
    <row r="91" spans="1:23" ht="15" customHeight="1" x14ac:dyDescent="0.35">
      <c r="A91" t="str">
        <f>'Raw Data'!B89</f>
        <v>AGM Group Holdings Inc</v>
      </c>
      <c r="B91" t="str">
        <f>'Raw Data'!A89</f>
        <v>agmh</v>
      </c>
      <c r="C91" t="str">
        <f>IF('Raw Data'!E89="N/A","Unclassified",TRIM(SUBSTITUTE('Raw Data'!E89," and "," &amp; ")))</f>
        <v>Financial Services</v>
      </c>
      <c r="D91" s="17">
        <f>'Raw Data'!N89</f>
        <v>205</v>
      </c>
      <c r="E91" s="17">
        <f>'Raw Data'!O89</f>
        <v>204</v>
      </c>
      <c r="F91" s="17">
        <f>'Raw Data'!P89</f>
        <v>210</v>
      </c>
      <c r="G91" s="17">
        <f>'Raw Data'!Q89</f>
        <v>619</v>
      </c>
      <c r="H91" s="18">
        <f>INDEX('Industry Stats'!$F$2:$F$49,MATCH($C91,'Industry Stats'!$A$2:$A$49,0))</f>
        <v>909.33333333333337</v>
      </c>
      <c r="I91" s="19">
        <f t="shared" si="11"/>
        <v>-290.33333333333337</v>
      </c>
      <c r="J91" s="20">
        <f t="shared" si="12"/>
        <v>-0.31928152492668627</v>
      </c>
      <c r="K91" s="18">
        <f>INDEX('Industry Stats'!$C$2:$C$49,MATCH($C91,'Industry Stats'!$A$2:$A$49,0))</f>
        <v>367.63636363636363</v>
      </c>
      <c r="L91" s="19">
        <f t="shared" si="13"/>
        <v>-162.63636363636363</v>
      </c>
      <c r="M91" s="18">
        <f>INDEX('Industry Stats'!$D$2:$D$49,MATCH($C91,'Industry Stats'!$A$2:$A$49,0))</f>
        <v>276.45454545454544</v>
      </c>
      <c r="N91" s="19">
        <f t="shared" si="14"/>
        <v>-72.454545454545439</v>
      </c>
      <c r="O91" s="18">
        <f>INDEX('Industry Stats'!$E$2:$E$49,MATCH($C91,'Industry Stats'!$A$2:$A$49,0))</f>
        <v>265.24242424242425</v>
      </c>
      <c r="P91" s="19">
        <f t="shared" si="15"/>
        <v>-55.242424242424249</v>
      </c>
      <c r="R91">
        <f t="shared" si="16"/>
        <v>619.00099090000003</v>
      </c>
      <c r="S91">
        <f t="shared" si="17"/>
        <v>205.00099090000001</v>
      </c>
      <c r="T91">
        <f t="shared" si="18"/>
        <v>204.00099090000001</v>
      </c>
      <c r="U91">
        <f t="shared" si="19"/>
        <v>210.00099090000001</v>
      </c>
      <c r="V91">
        <f t="shared" si="20"/>
        <v>-290.33234243333339</v>
      </c>
      <c r="W91">
        <f t="shared" si="21"/>
        <v>290.33432423333335</v>
      </c>
    </row>
    <row r="92" spans="1:23" ht="15" customHeight="1" x14ac:dyDescent="0.35">
      <c r="A92" t="str">
        <f>'Raw Data'!B90</f>
        <v>Agios Pharmaceuticals Inc</v>
      </c>
      <c r="B92" t="str">
        <f>'Raw Data'!A90</f>
        <v>agio</v>
      </c>
      <c r="C92" t="str">
        <f>IF('Raw Data'!E90="N/A","Unclassified",TRIM(SUBSTITUTE('Raw Data'!E90," and "," &amp; ")))</f>
        <v>Biotechnology</v>
      </c>
      <c r="D92" s="17">
        <f>'Raw Data'!N90</f>
        <v>520</v>
      </c>
      <c r="E92" s="17">
        <f>'Raw Data'!O90</f>
        <v>303</v>
      </c>
      <c r="F92" s="17">
        <f>'Raw Data'!P90</f>
        <v>325</v>
      </c>
      <c r="G92" s="17">
        <f>'Raw Data'!Q90</f>
        <v>1148</v>
      </c>
      <c r="H92" s="18">
        <f>INDEX('Industry Stats'!$F$2:$F$49,MATCH($C92,'Industry Stats'!$A$2:$A$49,0))</f>
        <v>866.91071428571433</v>
      </c>
      <c r="I92" s="19">
        <f t="shared" si="11"/>
        <v>281.08928571428567</v>
      </c>
      <c r="J92" s="20">
        <f t="shared" si="12"/>
        <v>0.32424248666240957</v>
      </c>
      <c r="K92" s="18">
        <f>INDEX('Industry Stats'!$C$2:$C$49,MATCH($C92,'Industry Stats'!$A$2:$A$49,0))</f>
        <v>306.53571428571428</v>
      </c>
      <c r="L92" s="19">
        <f t="shared" si="13"/>
        <v>213.46428571428572</v>
      </c>
      <c r="M92" s="18">
        <f>INDEX('Industry Stats'!$D$2:$D$49,MATCH($C92,'Industry Stats'!$A$2:$A$49,0))</f>
        <v>268.85714285714283</v>
      </c>
      <c r="N92" s="19">
        <f t="shared" si="14"/>
        <v>34.142857142857167</v>
      </c>
      <c r="O92" s="18">
        <f>INDEX('Industry Stats'!$E$2:$E$49,MATCH($C92,'Industry Stats'!$A$2:$A$49,0))</f>
        <v>291.51785714285717</v>
      </c>
      <c r="P92" s="19">
        <f t="shared" si="15"/>
        <v>33.482142857142833</v>
      </c>
      <c r="R92">
        <f t="shared" si="16"/>
        <v>1148.0009908</v>
      </c>
      <c r="S92">
        <f t="shared" si="17"/>
        <v>520.00099079999995</v>
      </c>
      <c r="T92">
        <f t="shared" si="18"/>
        <v>303.00099080000001</v>
      </c>
      <c r="U92">
        <f t="shared" si="19"/>
        <v>325.00099080000001</v>
      </c>
      <c r="V92">
        <f t="shared" si="20"/>
        <v>281.09027651428568</v>
      </c>
      <c r="W92">
        <f t="shared" si="21"/>
        <v>-281.08829491428565</v>
      </c>
    </row>
    <row r="93" spans="1:23" ht="15" customHeight="1" x14ac:dyDescent="0.35">
      <c r="A93" t="str">
        <f>'Raw Data'!B91</f>
        <v>Aeglea Bio Therapeutics Inc</v>
      </c>
      <c r="B93" t="str">
        <f>'Raw Data'!A91</f>
        <v>agle</v>
      </c>
      <c r="C93" t="str">
        <f>IF('Raw Data'!E91="N/A","Unclassified",TRIM(SUBSTITUTE('Raw Data'!E91," and "," &amp; ")))</f>
        <v>Biotechnology</v>
      </c>
      <c r="D93" s="17">
        <f>'Raw Data'!N91</f>
        <v>205</v>
      </c>
      <c r="E93" s="17">
        <f>'Raw Data'!O91</f>
        <v>223</v>
      </c>
      <c r="F93" s="17">
        <f>'Raw Data'!P91</f>
        <v>200</v>
      </c>
      <c r="G93" s="17">
        <f>'Raw Data'!Q91</f>
        <v>628</v>
      </c>
      <c r="H93" s="18">
        <f>INDEX('Industry Stats'!$F$2:$F$49,MATCH($C93,'Industry Stats'!$A$2:$A$49,0))</f>
        <v>866.91071428571433</v>
      </c>
      <c r="I93" s="19">
        <f t="shared" si="11"/>
        <v>-238.91071428571433</v>
      </c>
      <c r="J93" s="20">
        <f t="shared" si="12"/>
        <v>-0.27558860485714876</v>
      </c>
      <c r="K93" s="18">
        <f>INDEX('Industry Stats'!$C$2:$C$49,MATCH($C93,'Industry Stats'!$A$2:$A$49,0))</f>
        <v>306.53571428571428</v>
      </c>
      <c r="L93" s="19">
        <f t="shared" si="13"/>
        <v>-101.53571428571428</v>
      </c>
      <c r="M93" s="18">
        <f>INDEX('Industry Stats'!$D$2:$D$49,MATCH($C93,'Industry Stats'!$A$2:$A$49,0))</f>
        <v>268.85714285714283</v>
      </c>
      <c r="N93" s="19">
        <f t="shared" si="14"/>
        <v>-45.857142857142833</v>
      </c>
      <c r="O93" s="18">
        <f>INDEX('Industry Stats'!$E$2:$E$49,MATCH($C93,'Industry Stats'!$A$2:$A$49,0))</f>
        <v>291.51785714285717</v>
      </c>
      <c r="P93" s="19">
        <f t="shared" si="15"/>
        <v>-91.517857142857167</v>
      </c>
      <c r="R93">
        <f t="shared" si="16"/>
        <v>628.00099069999999</v>
      </c>
      <c r="S93">
        <f t="shared" si="17"/>
        <v>205.00099069999999</v>
      </c>
      <c r="T93">
        <f t="shared" si="18"/>
        <v>223.00099069999999</v>
      </c>
      <c r="U93">
        <f t="shared" si="19"/>
        <v>200.00099069999999</v>
      </c>
      <c r="V93">
        <f t="shared" si="20"/>
        <v>-238.90972358571435</v>
      </c>
      <c r="W93">
        <f t="shared" si="21"/>
        <v>238.91170498571432</v>
      </c>
    </row>
    <row r="94" spans="1:23" ht="15" customHeight="1" x14ac:dyDescent="0.35">
      <c r="A94" t="str">
        <f>'Raw Data'!B92</f>
        <v>AGNC Investment Corp</v>
      </c>
      <c r="B94" t="str">
        <f>'Raw Data'!A92</f>
        <v>agnc</v>
      </c>
      <c r="C94" t="str">
        <f>IF('Raw Data'!E92="N/A","Unclassified",TRIM(SUBSTITUTE('Raw Data'!E92," and "," &amp; ")))</f>
        <v>Real Estate</v>
      </c>
      <c r="D94" s="17">
        <f>'Raw Data'!N92</f>
        <v>382</v>
      </c>
      <c r="E94" s="17">
        <f>'Raw Data'!O92</f>
        <v>242</v>
      </c>
      <c r="F94" s="17">
        <f>'Raw Data'!P92</f>
        <v>305</v>
      </c>
      <c r="G94" s="17">
        <f>'Raw Data'!Q92</f>
        <v>929</v>
      </c>
      <c r="H94" s="18">
        <f>INDEX('Industry Stats'!$F$2:$F$49,MATCH($C94,'Industry Stats'!$A$2:$A$49,0))</f>
        <v>995.94444444444446</v>
      </c>
      <c r="I94" s="19">
        <f t="shared" si="11"/>
        <v>-66.944444444444457</v>
      </c>
      <c r="J94" s="20">
        <f t="shared" si="12"/>
        <v>-6.7217046912478401E-2</v>
      </c>
      <c r="K94" s="18">
        <f>INDEX('Industry Stats'!$C$2:$C$49,MATCH($C94,'Industry Stats'!$A$2:$A$49,0))</f>
        <v>431.38888888888891</v>
      </c>
      <c r="L94" s="19">
        <f t="shared" si="13"/>
        <v>-49.388888888888914</v>
      </c>
      <c r="M94" s="18">
        <f>INDEX('Industry Stats'!$D$2:$D$49,MATCH($C94,'Industry Stats'!$A$2:$A$49,0))</f>
        <v>290.91666666666669</v>
      </c>
      <c r="N94" s="19">
        <f t="shared" si="14"/>
        <v>-48.916666666666686</v>
      </c>
      <c r="O94" s="18">
        <f>INDEX('Industry Stats'!$E$2:$E$49,MATCH($C94,'Industry Stats'!$A$2:$A$49,0))</f>
        <v>273.63888888888891</v>
      </c>
      <c r="P94" s="19">
        <f t="shared" si="15"/>
        <v>31.361111111111086</v>
      </c>
      <c r="R94">
        <f t="shared" si="16"/>
        <v>929.00099060000002</v>
      </c>
      <c r="S94">
        <f t="shared" si="17"/>
        <v>382.00099060000002</v>
      </c>
      <c r="T94">
        <f t="shared" si="18"/>
        <v>242.00099059999999</v>
      </c>
      <c r="U94">
        <f t="shared" si="19"/>
        <v>305.00099060000002</v>
      </c>
      <c r="V94">
        <f t="shared" si="20"/>
        <v>-66.943453844444463</v>
      </c>
      <c r="W94">
        <f t="shared" si="21"/>
        <v>66.945435044444451</v>
      </c>
    </row>
    <row r="95" spans="1:23" ht="15" customHeight="1" x14ac:dyDescent="0.35">
      <c r="A95" t="str">
        <f>'Raw Data'!B93</f>
        <v>AgriFORCE Growing Systems Ltd</v>
      </c>
      <c r="B95" t="str">
        <f>'Raw Data'!A93</f>
        <v>agri</v>
      </c>
      <c r="C95" t="str">
        <f>IF('Raw Data'!E93="N/A","Unclassified",TRIM(SUBSTITUTE('Raw Data'!E93," and "," &amp; ")))</f>
        <v>Food Products</v>
      </c>
      <c r="D95" s="17">
        <f>'Raw Data'!N93</f>
        <v>510</v>
      </c>
      <c r="E95" s="17">
        <f>'Raw Data'!O93</f>
        <v>248</v>
      </c>
      <c r="F95" s="17">
        <f>'Raw Data'!P93</f>
        <v>305</v>
      </c>
      <c r="G95" s="17">
        <f>'Raw Data'!Q93</f>
        <v>1063</v>
      </c>
      <c r="H95" s="18">
        <f>INDEX('Industry Stats'!$F$2:$F$49,MATCH($C95,'Industry Stats'!$A$2:$A$49,0))</f>
        <v>1131.0714285714287</v>
      </c>
      <c r="I95" s="19">
        <f t="shared" si="11"/>
        <v>-68.071428571428669</v>
      </c>
      <c r="J95" s="20">
        <f t="shared" si="12"/>
        <v>-6.0183138616987764E-2</v>
      </c>
      <c r="K95" s="18">
        <f>INDEX('Industry Stats'!$C$2:$C$49,MATCH($C95,'Industry Stats'!$A$2:$A$49,0))</f>
        <v>516.57142857142856</v>
      </c>
      <c r="L95" s="19">
        <f t="shared" si="13"/>
        <v>-6.5714285714285552</v>
      </c>
      <c r="M95" s="18">
        <f>INDEX('Industry Stats'!$D$2:$D$49,MATCH($C95,'Industry Stats'!$A$2:$A$49,0))</f>
        <v>311.28571428571428</v>
      </c>
      <c r="N95" s="19">
        <f t="shared" si="14"/>
        <v>-63.285714285714278</v>
      </c>
      <c r="O95" s="18">
        <f>INDEX('Industry Stats'!$E$2:$E$49,MATCH($C95,'Industry Stats'!$A$2:$A$49,0))</f>
        <v>303.21428571428572</v>
      </c>
      <c r="P95" s="19">
        <f t="shared" si="15"/>
        <v>1.7857142857142776</v>
      </c>
      <c r="R95">
        <f t="shared" si="16"/>
        <v>1063.0009904999999</v>
      </c>
      <c r="S95">
        <f t="shared" si="17"/>
        <v>510.0009905</v>
      </c>
      <c r="T95">
        <f t="shared" si="18"/>
        <v>248.0009905</v>
      </c>
      <c r="U95">
        <f t="shared" si="19"/>
        <v>305.0009905</v>
      </c>
      <c r="V95">
        <f t="shared" si="20"/>
        <v>-68.070438071428669</v>
      </c>
      <c r="W95">
        <f t="shared" si="21"/>
        <v>68.072419071428669</v>
      </c>
    </row>
    <row r="96" spans="1:23" ht="15" customHeight="1" x14ac:dyDescent="0.35">
      <c r="A96" t="str">
        <f>'Raw Data'!B94</f>
        <v>Agile Therapeutics Inc</v>
      </c>
      <c r="B96" t="str">
        <f>'Raw Data'!A94</f>
        <v>agrx</v>
      </c>
      <c r="C96" t="str">
        <f>IF('Raw Data'!E94="N/A","Unclassified",TRIM(SUBSTITUTE('Raw Data'!E94," and "," &amp; ")))</f>
        <v>Pharmaceuticals</v>
      </c>
      <c r="D96" s="17">
        <f>'Raw Data'!N94</f>
        <v>240</v>
      </c>
      <c r="E96" s="17">
        <f>'Raw Data'!O94</f>
        <v>203</v>
      </c>
      <c r="F96" s="17">
        <f>'Raw Data'!P94</f>
        <v>260</v>
      </c>
      <c r="G96" s="17">
        <f>'Raw Data'!Q94</f>
        <v>703</v>
      </c>
      <c r="H96" s="18">
        <f>INDEX('Industry Stats'!$F$2:$F$49,MATCH($C96,'Industry Stats'!$A$2:$A$49,0))</f>
        <v>903.66666666666663</v>
      </c>
      <c r="I96" s="19">
        <f t="shared" si="11"/>
        <v>-200.66666666666663</v>
      </c>
      <c r="J96" s="20">
        <f t="shared" si="12"/>
        <v>-0.2220582810770933</v>
      </c>
      <c r="K96" s="18">
        <f>INDEX('Industry Stats'!$C$2:$C$49,MATCH($C96,'Industry Stats'!$A$2:$A$49,0))</f>
        <v>360.04761904761904</v>
      </c>
      <c r="L96" s="19">
        <f t="shared" si="13"/>
        <v>-120.04761904761904</v>
      </c>
      <c r="M96" s="18">
        <f>INDEX('Industry Stats'!$D$2:$D$49,MATCH($C96,'Industry Stats'!$A$2:$A$49,0))</f>
        <v>269.66666666666669</v>
      </c>
      <c r="N96" s="19">
        <f t="shared" si="14"/>
        <v>-66.666666666666686</v>
      </c>
      <c r="O96" s="18">
        <f>INDEX('Industry Stats'!$E$2:$E$49,MATCH($C96,'Industry Stats'!$A$2:$A$49,0))</f>
        <v>273.95238095238096</v>
      </c>
      <c r="P96" s="19">
        <f t="shared" si="15"/>
        <v>-13.952380952380963</v>
      </c>
      <c r="R96">
        <f t="shared" si="16"/>
        <v>703.00099039999998</v>
      </c>
      <c r="S96">
        <f t="shared" si="17"/>
        <v>240.00099040000001</v>
      </c>
      <c r="T96">
        <f t="shared" si="18"/>
        <v>203.00099040000001</v>
      </c>
      <c r="U96">
        <f t="shared" si="19"/>
        <v>260.00099039999998</v>
      </c>
      <c r="V96">
        <f t="shared" si="20"/>
        <v>-200.66567626666662</v>
      </c>
      <c r="W96">
        <f t="shared" si="21"/>
        <v>200.66765706666664</v>
      </c>
    </row>
    <row r="97" spans="1:23" ht="15" customHeight="1" x14ac:dyDescent="0.35">
      <c r="A97" t="str">
        <f>'Raw Data'!B95</f>
        <v>Agilysys Inc</v>
      </c>
      <c r="B97" t="str">
        <f>'Raw Data'!A95</f>
        <v>agys</v>
      </c>
      <c r="C97" t="str">
        <f>IF('Raw Data'!E95="N/A","Unclassified",TRIM(SUBSTITUTE('Raw Data'!E95," and "," &amp; ")))</f>
        <v>Technology</v>
      </c>
      <c r="D97" s="17">
        <f>'Raw Data'!N95</f>
        <v>500</v>
      </c>
      <c r="E97" s="17">
        <f>'Raw Data'!O95</f>
        <v>303</v>
      </c>
      <c r="F97" s="17">
        <f>'Raw Data'!P95</f>
        <v>300</v>
      </c>
      <c r="G97" s="17">
        <f>'Raw Data'!Q95</f>
        <v>1103</v>
      </c>
      <c r="H97" s="18">
        <f>INDEX('Industry Stats'!$F$2:$F$49,MATCH($C97,'Industry Stats'!$A$2:$A$49,0))</f>
        <v>1031.3174603174602</v>
      </c>
      <c r="I97" s="19">
        <f t="shared" si="11"/>
        <v>71.682539682539755</v>
      </c>
      <c r="J97" s="20">
        <f t="shared" si="12"/>
        <v>6.9505794714727731E-2</v>
      </c>
      <c r="K97" s="18">
        <f>INDEX('Industry Stats'!$C$2:$C$49,MATCH($C97,'Industry Stats'!$A$2:$A$49,0))</f>
        <v>438.11111111111109</v>
      </c>
      <c r="L97" s="19">
        <f t="shared" si="13"/>
        <v>61.888888888888914</v>
      </c>
      <c r="M97" s="18">
        <f>INDEX('Industry Stats'!$D$2:$D$49,MATCH($C97,'Industry Stats'!$A$2:$A$49,0))</f>
        <v>307.90476190476193</v>
      </c>
      <c r="N97" s="19">
        <f t="shared" si="14"/>
        <v>-4.9047619047619264</v>
      </c>
      <c r="O97" s="18">
        <f>INDEX('Industry Stats'!$E$2:$E$49,MATCH($C97,'Industry Stats'!$A$2:$A$49,0))</f>
        <v>285.30158730158729</v>
      </c>
      <c r="P97" s="19">
        <f t="shared" si="15"/>
        <v>14.69841269841271</v>
      </c>
      <c r="R97">
        <f t="shared" si="16"/>
        <v>1103.0009903</v>
      </c>
      <c r="S97">
        <f t="shared" si="17"/>
        <v>500.00099030000001</v>
      </c>
      <c r="T97">
        <f t="shared" si="18"/>
        <v>303.00099030000001</v>
      </c>
      <c r="U97">
        <f t="shared" si="19"/>
        <v>300.00099030000001</v>
      </c>
      <c r="V97">
        <f t="shared" si="20"/>
        <v>71.683529982539753</v>
      </c>
      <c r="W97">
        <f t="shared" si="21"/>
        <v>-71.681549382539757</v>
      </c>
    </row>
    <row r="98" spans="1:23" ht="15" customHeight="1" x14ac:dyDescent="0.35">
      <c r="A98" t="str">
        <f>'Raw Data'!B96</f>
        <v>Applied Genetic Technologies Corp</v>
      </c>
      <c r="B98" t="str">
        <f>'Raw Data'!A96</f>
        <v>agtc</v>
      </c>
      <c r="C98" t="str">
        <f>IF('Raw Data'!E96="N/A","Unclassified",TRIM(SUBSTITUTE('Raw Data'!E96," and "," &amp; ")))</f>
        <v>Biotechnology</v>
      </c>
      <c r="D98" s="17">
        <f>'Raw Data'!N96</f>
        <v>235</v>
      </c>
      <c r="E98" s="17">
        <f>'Raw Data'!O96</f>
        <v>323</v>
      </c>
      <c r="F98" s="17">
        <f>'Raw Data'!P96</f>
        <v>305</v>
      </c>
      <c r="G98" s="17">
        <f>'Raw Data'!Q96</f>
        <v>863</v>
      </c>
      <c r="H98" s="18">
        <f>INDEX('Industry Stats'!$F$2:$F$49,MATCH($C98,'Industry Stats'!$A$2:$A$49,0))</f>
        <v>866.91071428571433</v>
      </c>
      <c r="I98" s="19">
        <f t="shared" si="11"/>
        <v>-3.9107142857143344</v>
      </c>
      <c r="J98" s="20">
        <f t="shared" si="12"/>
        <v>-4.5110923435022288E-3</v>
      </c>
      <c r="K98" s="18">
        <f>INDEX('Industry Stats'!$C$2:$C$49,MATCH($C98,'Industry Stats'!$A$2:$A$49,0))</f>
        <v>306.53571428571428</v>
      </c>
      <c r="L98" s="19">
        <f t="shared" si="13"/>
        <v>-71.535714285714278</v>
      </c>
      <c r="M98" s="18">
        <f>INDEX('Industry Stats'!$D$2:$D$49,MATCH($C98,'Industry Stats'!$A$2:$A$49,0))</f>
        <v>268.85714285714283</v>
      </c>
      <c r="N98" s="19">
        <f t="shared" si="14"/>
        <v>54.142857142857167</v>
      </c>
      <c r="O98" s="18">
        <f>INDEX('Industry Stats'!$E$2:$E$49,MATCH($C98,'Industry Stats'!$A$2:$A$49,0))</f>
        <v>291.51785714285717</v>
      </c>
      <c r="P98" s="19">
        <f t="shared" si="15"/>
        <v>13.482142857142833</v>
      </c>
      <c r="R98">
        <f t="shared" si="16"/>
        <v>863.00099020000005</v>
      </c>
      <c r="S98">
        <f t="shared" si="17"/>
        <v>235.00099019999999</v>
      </c>
      <c r="T98">
        <f t="shared" si="18"/>
        <v>323.00099019999999</v>
      </c>
      <c r="U98">
        <f t="shared" si="19"/>
        <v>305.00099019999999</v>
      </c>
      <c r="V98">
        <f t="shared" si="20"/>
        <v>-3.9097240857143345</v>
      </c>
      <c r="W98">
        <f t="shared" si="21"/>
        <v>3.9117044857143344</v>
      </c>
    </row>
    <row r="99" spans="1:23" ht="15" customHeight="1" x14ac:dyDescent="0.35">
      <c r="A99" t="str">
        <f>'Raw Data'!B97</f>
        <v>Adapthealth Corp</v>
      </c>
      <c r="B99" t="str">
        <f>'Raw Data'!A97</f>
        <v>ahco</v>
      </c>
      <c r="C99" t="str">
        <f>IF('Raw Data'!E97="N/A","Unclassified",TRIM(SUBSTITUTE('Raw Data'!E97," and "," &amp; ")))</f>
        <v>Health Care</v>
      </c>
      <c r="D99" s="17">
        <f>'Raw Data'!N97</f>
        <v>210</v>
      </c>
      <c r="E99" s="17">
        <f>'Raw Data'!O97</f>
        <v>211</v>
      </c>
      <c r="F99" s="17">
        <f>'Raw Data'!P97</f>
        <v>235</v>
      </c>
      <c r="G99" s="17">
        <f>'Raw Data'!Q97</f>
        <v>656</v>
      </c>
      <c r="H99" s="18">
        <f>INDEX('Industry Stats'!$F$2:$F$49,MATCH($C99,'Industry Stats'!$A$2:$A$49,0))</f>
        <v>938.76470588235293</v>
      </c>
      <c r="I99" s="19">
        <f t="shared" si="11"/>
        <v>-282.76470588235293</v>
      </c>
      <c r="J99" s="20">
        <f t="shared" si="12"/>
        <v>-0.30120934895670154</v>
      </c>
      <c r="K99" s="18">
        <f>INDEX('Industry Stats'!$C$2:$C$49,MATCH($C99,'Industry Stats'!$A$2:$A$49,0))</f>
        <v>374.52941176470586</v>
      </c>
      <c r="L99" s="19">
        <f t="shared" si="13"/>
        <v>-164.52941176470586</v>
      </c>
      <c r="M99" s="18">
        <f>INDEX('Industry Stats'!$D$2:$D$49,MATCH($C99,'Industry Stats'!$A$2:$A$49,0))</f>
        <v>287.43137254901961</v>
      </c>
      <c r="N99" s="19">
        <f t="shared" si="14"/>
        <v>-76.431372549019613</v>
      </c>
      <c r="O99" s="18">
        <f>INDEX('Industry Stats'!$E$2:$E$49,MATCH($C99,'Industry Stats'!$A$2:$A$49,0))</f>
        <v>276.80392156862746</v>
      </c>
      <c r="P99" s="19">
        <f t="shared" si="15"/>
        <v>-41.803921568627459</v>
      </c>
      <c r="R99">
        <f t="shared" si="16"/>
        <v>656.00099009999997</v>
      </c>
      <c r="S99">
        <f t="shared" si="17"/>
        <v>210.0009901</v>
      </c>
      <c r="T99">
        <f t="shared" si="18"/>
        <v>211.0009901</v>
      </c>
      <c r="U99">
        <f t="shared" si="19"/>
        <v>235.0009901</v>
      </c>
      <c r="V99">
        <f t="shared" si="20"/>
        <v>-282.7637157823529</v>
      </c>
      <c r="W99">
        <f t="shared" si="21"/>
        <v>282.76569598235295</v>
      </c>
    </row>
    <row r="100" spans="1:23" ht="15" customHeight="1" x14ac:dyDescent="0.35">
      <c r="A100" t="str">
        <f>'Raw Data'!B98</f>
        <v>Allied Healthcare Products Inc</v>
      </c>
      <c r="B100" t="str">
        <f>'Raw Data'!A98</f>
        <v>ahpi</v>
      </c>
      <c r="C100" t="str">
        <f>IF('Raw Data'!E98="N/A","Unclassified",TRIM(SUBSTITUTE('Raw Data'!E98," and "," &amp; ")))</f>
        <v>Health Care</v>
      </c>
      <c r="D100" s="17">
        <f>'Raw Data'!N98</f>
        <v>210</v>
      </c>
      <c r="E100" s="17">
        <f>'Raw Data'!O98</f>
        <v>228</v>
      </c>
      <c r="F100" s="17">
        <f>'Raw Data'!P98</f>
        <v>325</v>
      </c>
      <c r="G100" s="17">
        <f>'Raw Data'!Q98</f>
        <v>763</v>
      </c>
      <c r="H100" s="18">
        <f>INDEX('Industry Stats'!$F$2:$F$49,MATCH($C100,'Industry Stats'!$A$2:$A$49,0))</f>
        <v>938.76470588235293</v>
      </c>
      <c r="I100" s="19">
        <f t="shared" si="11"/>
        <v>-175.76470588235293</v>
      </c>
      <c r="J100" s="20">
        <f t="shared" si="12"/>
        <v>-0.18722977630177329</v>
      </c>
      <c r="K100" s="18">
        <f>INDEX('Industry Stats'!$C$2:$C$49,MATCH($C100,'Industry Stats'!$A$2:$A$49,0))</f>
        <v>374.52941176470586</v>
      </c>
      <c r="L100" s="19">
        <f t="shared" si="13"/>
        <v>-164.52941176470586</v>
      </c>
      <c r="M100" s="18">
        <f>INDEX('Industry Stats'!$D$2:$D$49,MATCH($C100,'Industry Stats'!$A$2:$A$49,0))</f>
        <v>287.43137254901961</v>
      </c>
      <c r="N100" s="19">
        <f t="shared" si="14"/>
        <v>-59.431372549019613</v>
      </c>
      <c r="O100" s="18">
        <f>INDEX('Industry Stats'!$E$2:$E$49,MATCH($C100,'Industry Stats'!$A$2:$A$49,0))</f>
        <v>276.80392156862746</v>
      </c>
      <c r="P100" s="19">
        <f t="shared" si="15"/>
        <v>48.196078431372541</v>
      </c>
      <c r="R100">
        <f t="shared" si="16"/>
        <v>763.00099</v>
      </c>
      <c r="S100">
        <f t="shared" si="17"/>
        <v>210.00099</v>
      </c>
      <c r="T100">
        <f t="shared" si="18"/>
        <v>228.00099</v>
      </c>
      <c r="U100">
        <f t="shared" si="19"/>
        <v>325.00099</v>
      </c>
      <c r="V100">
        <f t="shared" si="20"/>
        <v>-175.76371588235293</v>
      </c>
      <c r="W100">
        <f t="shared" si="21"/>
        <v>175.76569588235293</v>
      </c>
    </row>
    <row r="101" spans="1:23" ht="15" customHeight="1" x14ac:dyDescent="0.35">
      <c r="A101" t="str">
        <f>'Raw Data'!B99</f>
        <v>AIB Acquisition Corp</v>
      </c>
      <c r="B101" t="str">
        <f>'Raw Data'!A99</f>
        <v>aib</v>
      </c>
      <c r="C101" t="str">
        <f>IF('Raw Data'!E99="N/A","Unclassified",TRIM(SUBSTITUTE('Raw Data'!E99," and "," &amp; ")))</f>
        <v>Unclassified</v>
      </c>
      <c r="D101" s="17">
        <f>'Raw Data'!N99</f>
        <v>215</v>
      </c>
      <c r="E101" s="17">
        <f>'Raw Data'!O99</f>
        <v>227</v>
      </c>
      <c r="F101" s="17">
        <f>'Raw Data'!P99</f>
        <v>300</v>
      </c>
      <c r="G101" s="17">
        <f>'Raw Data'!Q99</f>
        <v>742</v>
      </c>
      <c r="H101" s="18">
        <f>INDEX('Industry Stats'!$F$2:$F$49,MATCH($C101,'Industry Stats'!$A$2:$A$49,0))</f>
        <v>709.30769230769226</v>
      </c>
      <c r="I101" s="19">
        <f t="shared" si="11"/>
        <v>32.692307692307736</v>
      </c>
      <c r="J101" s="20">
        <f t="shared" si="12"/>
        <v>4.6090445721722217E-2</v>
      </c>
      <c r="K101" s="18">
        <f>INDEX('Industry Stats'!$C$2:$C$49,MATCH($C101,'Industry Stats'!$A$2:$A$49,0))</f>
        <v>215.38461538461539</v>
      </c>
      <c r="L101" s="19">
        <f t="shared" si="13"/>
        <v>-0.3846153846153868</v>
      </c>
      <c r="M101" s="18">
        <f>INDEX('Industry Stats'!$D$2:$D$49,MATCH($C101,'Industry Stats'!$A$2:$A$49,0))</f>
        <v>231.15384615384616</v>
      </c>
      <c r="N101" s="19">
        <f t="shared" si="14"/>
        <v>-4.1538461538461604</v>
      </c>
      <c r="O101" s="18">
        <f>INDEX('Industry Stats'!$E$2:$E$49,MATCH($C101,'Industry Stats'!$A$2:$A$49,0))</f>
        <v>262.76923076923077</v>
      </c>
      <c r="P101" s="19">
        <f t="shared" si="15"/>
        <v>37.230769230769226</v>
      </c>
      <c r="R101">
        <f t="shared" si="16"/>
        <v>742.00098990000004</v>
      </c>
      <c r="S101">
        <f t="shared" si="17"/>
        <v>215.00098990000001</v>
      </c>
      <c r="T101">
        <f t="shared" si="18"/>
        <v>227.00098990000001</v>
      </c>
      <c r="U101">
        <f t="shared" si="19"/>
        <v>300.00098989999998</v>
      </c>
      <c r="V101">
        <f t="shared" si="20"/>
        <v>32.693297592307736</v>
      </c>
      <c r="W101">
        <f t="shared" si="21"/>
        <v>-32.691317792307736</v>
      </c>
    </row>
    <row r="102" spans="1:23" ht="15" customHeight="1" x14ac:dyDescent="0.35">
      <c r="A102" t="str">
        <f>'Raw Data'!B100</f>
        <v>ADTRAN Inc</v>
      </c>
      <c r="B102" t="str">
        <f>'Raw Data'!A100</f>
        <v>adtn</v>
      </c>
      <c r="C102" t="str">
        <f>IF('Raw Data'!E100="N/A","Unclassified",TRIM(SUBSTITUTE('Raw Data'!E100," and "," &amp; ")))</f>
        <v>Communications</v>
      </c>
      <c r="D102" s="17">
        <f>'Raw Data'!N100</f>
        <v>510</v>
      </c>
      <c r="E102" s="17">
        <f>'Raw Data'!O100</f>
        <v>308</v>
      </c>
      <c r="F102" s="17">
        <f>'Raw Data'!P100</f>
        <v>300</v>
      </c>
      <c r="G102" s="17">
        <f>'Raw Data'!Q100</f>
        <v>1118</v>
      </c>
      <c r="H102" s="18">
        <f>INDEX('Industry Stats'!$F$2:$F$49,MATCH($C102,'Industry Stats'!$A$2:$A$49,0))</f>
        <v>938.22222222222217</v>
      </c>
      <c r="I102" s="19">
        <f t="shared" si="11"/>
        <v>179.77777777777783</v>
      </c>
      <c r="J102" s="20">
        <f t="shared" si="12"/>
        <v>0.19161534817621986</v>
      </c>
      <c r="K102" s="18">
        <f>INDEX('Industry Stats'!$C$2:$C$49,MATCH($C102,'Industry Stats'!$A$2:$A$49,0))</f>
        <v>385</v>
      </c>
      <c r="L102" s="19">
        <f t="shared" si="13"/>
        <v>125</v>
      </c>
      <c r="M102" s="18">
        <f>INDEX('Industry Stats'!$D$2:$D$49,MATCH($C102,'Industry Stats'!$A$2:$A$49,0))</f>
        <v>278.77777777777777</v>
      </c>
      <c r="N102" s="19">
        <f t="shared" si="14"/>
        <v>29.222222222222229</v>
      </c>
      <c r="O102" s="18">
        <f>INDEX('Industry Stats'!$E$2:$E$49,MATCH($C102,'Industry Stats'!$A$2:$A$49,0))</f>
        <v>274.44444444444446</v>
      </c>
      <c r="P102" s="19">
        <f t="shared" si="15"/>
        <v>25.555555555555543</v>
      </c>
      <c r="R102">
        <f t="shared" si="16"/>
        <v>1118.0009898000001</v>
      </c>
      <c r="S102">
        <f t="shared" si="17"/>
        <v>510.00098980000001</v>
      </c>
      <c r="T102">
        <f t="shared" si="18"/>
        <v>308.00098980000001</v>
      </c>
      <c r="U102">
        <f t="shared" si="19"/>
        <v>300.00098980000001</v>
      </c>
      <c r="V102">
        <f t="shared" si="20"/>
        <v>179.77876757777784</v>
      </c>
      <c r="W102">
        <f t="shared" si="21"/>
        <v>-179.77678797777781</v>
      </c>
    </row>
    <row r="103" spans="1:23" ht="15" customHeight="1" x14ac:dyDescent="0.35">
      <c r="A103" t="str">
        <f>'Raw Data'!B101</f>
        <v>Advent Technologies Holdings Inc</v>
      </c>
      <c r="B103" t="str">
        <f>'Raw Data'!A101</f>
        <v>adn</v>
      </c>
      <c r="C103" t="str">
        <f>IF('Raw Data'!E101="N/A","Unclassified",TRIM(SUBSTITUTE('Raw Data'!E101," and "," &amp; ")))</f>
        <v>Electrical Equipment</v>
      </c>
      <c r="D103" s="17">
        <f>'Raw Data'!N101</f>
        <v>250</v>
      </c>
      <c r="E103" s="17">
        <f>'Raw Data'!O101</f>
        <v>203</v>
      </c>
      <c r="F103" s="17">
        <f>'Raw Data'!P101</f>
        <v>220</v>
      </c>
      <c r="G103" s="17">
        <f>'Raw Data'!Q101</f>
        <v>673</v>
      </c>
      <c r="H103" s="18">
        <f>INDEX('Industry Stats'!$F$2:$F$49,MATCH($C103,'Industry Stats'!$A$2:$A$49,0))</f>
        <v>933</v>
      </c>
      <c r="I103" s="19">
        <f t="shared" si="11"/>
        <v>-260</v>
      </c>
      <c r="J103" s="20">
        <f t="shared" si="12"/>
        <v>-0.27867095391211144</v>
      </c>
      <c r="K103" s="18">
        <f>INDEX('Industry Stats'!$C$2:$C$49,MATCH($C103,'Industry Stats'!$A$2:$A$49,0))</f>
        <v>381.7037037037037</v>
      </c>
      <c r="L103" s="19">
        <f t="shared" si="13"/>
        <v>-131.7037037037037</v>
      </c>
      <c r="M103" s="18">
        <f>INDEX('Industry Stats'!$D$2:$D$49,MATCH($C103,'Industry Stats'!$A$2:$A$49,0))</f>
        <v>272.11111111111109</v>
      </c>
      <c r="N103" s="19">
        <f t="shared" si="14"/>
        <v>-69.111111111111086</v>
      </c>
      <c r="O103" s="18">
        <f>INDEX('Industry Stats'!$E$2:$E$49,MATCH($C103,'Industry Stats'!$A$2:$A$49,0))</f>
        <v>279.18518518518516</v>
      </c>
      <c r="P103" s="19">
        <f t="shared" si="15"/>
        <v>-59.185185185185162</v>
      </c>
      <c r="R103">
        <f t="shared" si="16"/>
        <v>673.00098969999999</v>
      </c>
      <c r="S103">
        <f t="shared" si="17"/>
        <v>250.00098969999999</v>
      </c>
      <c r="T103">
        <f t="shared" si="18"/>
        <v>203.00098969999999</v>
      </c>
      <c r="U103">
        <f t="shared" si="19"/>
        <v>220.00098969999999</v>
      </c>
      <c r="V103">
        <f t="shared" si="20"/>
        <v>-259.99901030000001</v>
      </c>
      <c r="W103">
        <f t="shared" si="21"/>
        <v>260.00098969999999</v>
      </c>
    </row>
    <row r="104" spans="1:23" ht="15" customHeight="1" x14ac:dyDescent="0.35">
      <c r="A104" t="str">
        <f>'Raw Data'!B102</f>
        <v>Aikido Pharma Inc</v>
      </c>
      <c r="B104" t="str">
        <f>'Raw Data'!A102</f>
        <v>aiki</v>
      </c>
      <c r="C104" t="str">
        <f>IF('Raw Data'!E102="N/A","Unclassified",TRIM(SUBSTITUTE('Raw Data'!E102," and "," &amp; ")))</f>
        <v>Biotechnology</v>
      </c>
      <c r="D104" s="17">
        <f>'Raw Data'!N102</f>
        <v>200</v>
      </c>
      <c r="E104" s="17">
        <f>'Raw Data'!O102</f>
        <v>235</v>
      </c>
      <c r="F104" s="17">
        <f>'Raw Data'!P102</f>
        <v>205</v>
      </c>
      <c r="G104" s="17">
        <f>'Raw Data'!Q102</f>
        <v>640</v>
      </c>
      <c r="H104" s="18">
        <f>INDEX('Industry Stats'!$F$2:$F$49,MATCH($C104,'Industry Stats'!$A$2:$A$49,0))</f>
        <v>866.91071428571433</v>
      </c>
      <c r="I104" s="19">
        <f t="shared" si="11"/>
        <v>-226.91071428571433</v>
      </c>
      <c r="J104" s="20">
        <f t="shared" si="12"/>
        <v>-0.26174634889900511</v>
      </c>
      <c r="K104" s="18">
        <f>INDEX('Industry Stats'!$C$2:$C$49,MATCH($C104,'Industry Stats'!$A$2:$A$49,0))</f>
        <v>306.53571428571428</v>
      </c>
      <c r="L104" s="19">
        <f t="shared" si="13"/>
        <v>-106.53571428571428</v>
      </c>
      <c r="M104" s="18">
        <f>INDEX('Industry Stats'!$D$2:$D$49,MATCH($C104,'Industry Stats'!$A$2:$A$49,0))</f>
        <v>268.85714285714283</v>
      </c>
      <c r="N104" s="19">
        <f t="shared" si="14"/>
        <v>-33.857142857142833</v>
      </c>
      <c r="O104" s="18">
        <f>INDEX('Industry Stats'!$E$2:$E$49,MATCH($C104,'Industry Stats'!$A$2:$A$49,0))</f>
        <v>291.51785714285717</v>
      </c>
      <c r="P104" s="19">
        <f t="shared" si="15"/>
        <v>-86.517857142857167</v>
      </c>
      <c r="R104">
        <f t="shared" si="16"/>
        <v>640.00098960000003</v>
      </c>
      <c r="S104">
        <f t="shared" si="17"/>
        <v>200.0009896</v>
      </c>
      <c r="T104">
        <f t="shared" si="18"/>
        <v>235.0009896</v>
      </c>
      <c r="U104">
        <f t="shared" si="19"/>
        <v>205.0009896</v>
      </c>
      <c r="V104">
        <f t="shared" si="20"/>
        <v>-226.90972468571434</v>
      </c>
      <c r="W104">
        <f t="shared" si="21"/>
        <v>226.91170388571433</v>
      </c>
    </row>
    <row r="105" spans="1:23" ht="15" customHeight="1" x14ac:dyDescent="0.35">
      <c r="A105" t="str">
        <f>'Raw Data'!B103</f>
        <v>Sports Ventures Acquisition Corp</v>
      </c>
      <c r="B105" t="str">
        <f>'Raw Data'!A103</f>
        <v>akic</v>
      </c>
      <c r="C105" t="str">
        <f>IF('Raw Data'!E103="N/A","Unclassified",TRIM(SUBSTITUTE('Raw Data'!E103," and "," &amp; ")))</f>
        <v>Unclassified</v>
      </c>
      <c r="D105" s="17">
        <f>'Raw Data'!N103</f>
        <v>200</v>
      </c>
      <c r="E105" s="17">
        <f>'Raw Data'!O103</f>
        <v>205</v>
      </c>
      <c r="F105" s="17">
        <f>'Raw Data'!P103</f>
        <v>230</v>
      </c>
      <c r="G105" s="17">
        <f>'Raw Data'!Q103</f>
        <v>635</v>
      </c>
      <c r="H105" s="18">
        <f>INDEX('Industry Stats'!$F$2:$F$49,MATCH($C105,'Industry Stats'!$A$2:$A$49,0))</f>
        <v>709.30769230769226</v>
      </c>
      <c r="I105" s="19">
        <f t="shared" si="11"/>
        <v>-74.307692307692264</v>
      </c>
      <c r="J105" s="20">
        <f t="shared" si="12"/>
        <v>-0.1047608719227849</v>
      </c>
      <c r="K105" s="18">
        <f>INDEX('Industry Stats'!$C$2:$C$49,MATCH($C105,'Industry Stats'!$A$2:$A$49,0))</f>
        <v>215.38461538461539</v>
      </c>
      <c r="L105" s="19">
        <f t="shared" si="13"/>
        <v>-15.384615384615387</v>
      </c>
      <c r="M105" s="18">
        <f>INDEX('Industry Stats'!$D$2:$D$49,MATCH($C105,'Industry Stats'!$A$2:$A$49,0))</f>
        <v>231.15384615384616</v>
      </c>
      <c r="N105" s="19">
        <f t="shared" si="14"/>
        <v>-26.15384615384616</v>
      </c>
      <c r="O105" s="18">
        <f>INDEX('Industry Stats'!$E$2:$E$49,MATCH($C105,'Industry Stats'!$A$2:$A$49,0))</f>
        <v>262.76923076923077</v>
      </c>
      <c r="P105" s="19">
        <f t="shared" si="15"/>
        <v>-32.769230769230774</v>
      </c>
      <c r="R105">
        <f t="shared" si="16"/>
        <v>635.00098949999995</v>
      </c>
      <c r="S105">
        <f t="shared" si="17"/>
        <v>200.0009895</v>
      </c>
      <c r="T105">
        <f t="shared" si="18"/>
        <v>205.0009895</v>
      </c>
      <c r="U105">
        <f t="shared" si="19"/>
        <v>230.0009895</v>
      </c>
      <c r="V105">
        <f t="shared" si="20"/>
        <v>-74.306702807692261</v>
      </c>
      <c r="W105">
        <f t="shared" si="21"/>
        <v>74.308681807692267</v>
      </c>
    </row>
    <row r="106" spans="1:23" ht="15" customHeight="1" x14ac:dyDescent="0.35">
      <c r="A106" t="str">
        <f>'Raw Data'!B104</f>
        <v>Arteris Inc</v>
      </c>
      <c r="B106" t="str">
        <f>'Raw Data'!A104</f>
        <v>aip</v>
      </c>
      <c r="C106" t="str">
        <f>IF('Raw Data'!E104="N/A","Unclassified",TRIM(SUBSTITUTE('Raw Data'!E104," and "," &amp; ")))</f>
        <v>Technology</v>
      </c>
      <c r="D106" s="17">
        <f>'Raw Data'!N104</f>
        <v>500</v>
      </c>
      <c r="E106" s="17">
        <f>'Raw Data'!O104</f>
        <v>286</v>
      </c>
      <c r="F106" s="17">
        <f>'Raw Data'!P104</f>
        <v>300</v>
      </c>
      <c r="G106" s="17">
        <f>'Raw Data'!Q104</f>
        <v>1086</v>
      </c>
      <c r="H106" s="18">
        <f>INDEX('Industry Stats'!$F$2:$F$49,MATCH($C106,'Industry Stats'!$A$2:$A$49,0))</f>
        <v>1031.3174603174602</v>
      </c>
      <c r="I106" s="19">
        <f t="shared" si="11"/>
        <v>54.682539682539755</v>
      </c>
      <c r="J106" s="20">
        <f t="shared" si="12"/>
        <v>5.3022024533267736E-2</v>
      </c>
      <c r="K106" s="18">
        <f>INDEX('Industry Stats'!$C$2:$C$49,MATCH($C106,'Industry Stats'!$A$2:$A$49,0))</f>
        <v>438.11111111111109</v>
      </c>
      <c r="L106" s="19">
        <f t="shared" si="13"/>
        <v>61.888888888888914</v>
      </c>
      <c r="M106" s="18">
        <f>INDEX('Industry Stats'!$D$2:$D$49,MATCH($C106,'Industry Stats'!$A$2:$A$49,0))</f>
        <v>307.90476190476193</v>
      </c>
      <c r="N106" s="19">
        <f t="shared" si="14"/>
        <v>-21.904761904761926</v>
      </c>
      <c r="O106" s="18">
        <f>INDEX('Industry Stats'!$E$2:$E$49,MATCH($C106,'Industry Stats'!$A$2:$A$49,0))</f>
        <v>285.30158730158729</v>
      </c>
      <c r="P106" s="19">
        <f t="shared" si="15"/>
        <v>14.69841269841271</v>
      </c>
      <c r="R106">
        <f t="shared" si="16"/>
        <v>1086.0009894</v>
      </c>
      <c r="S106">
        <f t="shared" si="17"/>
        <v>500.00098939999998</v>
      </c>
      <c r="T106">
        <f t="shared" si="18"/>
        <v>286.00098939999998</v>
      </c>
      <c r="U106">
        <f t="shared" si="19"/>
        <v>300.00098939999998</v>
      </c>
      <c r="V106">
        <f t="shared" si="20"/>
        <v>54.683529082539756</v>
      </c>
      <c r="W106">
        <f t="shared" si="21"/>
        <v>-54.681550282539753</v>
      </c>
    </row>
    <row r="107" spans="1:23" ht="15" customHeight="1" x14ac:dyDescent="0.35">
      <c r="A107" t="str">
        <f>'Raw Data'!B105</f>
        <v>Akero Therapeutics Inc</v>
      </c>
      <c r="B107" t="str">
        <f>'Raw Data'!A105</f>
        <v>akro</v>
      </c>
      <c r="C107" t="str">
        <f>IF('Raw Data'!E105="N/A","Unclassified",TRIM(SUBSTITUTE('Raw Data'!E105," and "," &amp; ")))</f>
        <v>Biotechnology</v>
      </c>
      <c r="D107" s="17">
        <f>'Raw Data'!N105</f>
        <v>250</v>
      </c>
      <c r="E107" s="17">
        <f>'Raw Data'!O105</f>
        <v>246</v>
      </c>
      <c r="F107" s="17">
        <f>'Raw Data'!P105</f>
        <v>305</v>
      </c>
      <c r="G107" s="17">
        <f>'Raw Data'!Q105</f>
        <v>801</v>
      </c>
      <c r="H107" s="18">
        <f>INDEX('Industry Stats'!$F$2:$F$49,MATCH($C107,'Industry Stats'!$A$2:$A$49,0))</f>
        <v>866.91071428571433</v>
      </c>
      <c r="I107" s="19">
        <f t="shared" si="11"/>
        <v>-65.910714285714334</v>
      </c>
      <c r="J107" s="20">
        <f t="shared" si="12"/>
        <v>-7.6029414793911107E-2</v>
      </c>
      <c r="K107" s="18">
        <f>INDEX('Industry Stats'!$C$2:$C$49,MATCH($C107,'Industry Stats'!$A$2:$A$49,0))</f>
        <v>306.53571428571428</v>
      </c>
      <c r="L107" s="19">
        <f t="shared" si="13"/>
        <v>-56.535714285714278</v>
      </c>
      <c r="M107" s="18">
        <f>INDEX('Industry Stats'!$D$2:$D$49,MATCH($C107,'Industry Stats'!$A$2:$A$49,0))</f>
        <v>268.85714285714283</v>
      </c>
      <c r="N107" s="19">
        <f t="shared" si="14"/>
        <v>-22.857142857142833</v>
      </c>
      <c r="O107" s="18">
        <f>INDEX('Industry Stats'!$E$2:$E$49,MATCH($C107,'Industry Stats'!$A$2:$A$49,0))</f>
        <v>291.51785714285717</v>
      </c>
      <c r="P107" s="19">
        <f t="shared" si="15"/>
        <v>13.482142857142833</v>
      </c>
      <c r="R107">
        <f t="shared" si="16"/>
        <v>801.00098930000001</v>
      </c>
      <c r="S107">
        <f t="shared" si="17"/>
        <v>250.00098929999999</v>
      </c>
      <c r="T107">
        <f t="shared" si="18"/>
        <v>246.00098929999999</v>
      </c>
      <c r="U107">
        <f t="shared" si="19"/>
        <v>305.00098930000001</v>
      </c>
      <c r="V107">
        <f t="shared" si="20"/>
        <v>-65.909724985714334</v>
      </c>
      <c r="W107">
        <f t="shared" si="21"/>
        <v>65.911703585714335</v>
      </c>
    </row>
    <row r="108" spans="1:23" ht="15" customHeight="1" x14ac:dyDescent="0.35">
      <c r="A108" t="str">
        <f>'Raw Data'!B106</f>
        <v>Air T Inc</v>
      </c>
      <c r="B108" t="str">
        <f>'Raw Data'!A106</f>
        <v>airt</v>
      </c>
      <c r="C108" t="str">
        <f>IF('Raw Data'!E106="N/A","Unclassified",TRIM(SUBSTITUTE('Raw Data'!E106," and "," &amp; ")))</f>
        <v>Logistics &amp; Transportation</v>
      </c>
      <c r="D108" s="17">
        <f>'Raw Data'!N106</f>
        <v>234</v>
      </c>
      <c r="E108" s="17">
        <f>'Raw Data'!O106</f>
        <v>210</v>
      </c>
      <c r="F108" s="17">
        <f>'Raw Data'!P106</f>
        <v>325</v>
      </c>
      <c r="G108" s="17">
        <f>'Raw Data'!Q106</f>
        <v>769</v>
      </c>
      <c r="H108" s="18">
        <f>INDEX('Industry Stats'!$F$2:$F$49,MATCH($C108,'Industry Stats'!$A$2:$A$49,0))</f>
        <v>1025.1666666666667</v>
      </c>
      <c r="I108" s="19">
        <f t="shared" si="11"/>
        <v>-256.16666666666674</v>
      </c>
      <c r="J108" s="20">
        <f t="shared" si="12"/>
        <v>-0.24987806860673067</v>
      </c>
      <c r="K108" s="18">
        <f>INDEX('Industry Stats'!$C$2:$C$49,MATCH($C108,'Industry Stats'!$A$2:$A$49,0))</f>
        <v>452.33333333333331</v>
      </c>
      <c r="L108" s="19">
        <f t="shared" si="13"/>
        <v>-218.33333333333331</v>
      </c>
      <c r="M108" s="18">
        <f>INDEX('Industry Stats'!$D$2:$D$49,MATCH($C108,'Industry Stats'!$A$2:$A$49,0))</f>
        <v>289.5</v>
      </c>
      <c r="N108" s="19">
        <f t="shared" si="14"/>
        <v>-79.5</v>
      </c>
      <c r="O108" s="18">
        <f>INDEX('Industry Stats'!$E$2:$E$49,MATCH($C108,'Industry Stats'!$A$2:$A$49,0))</f>
        <v>283.33333333333331</v>
      </c>
      <c r="P108" s="19">
        <f t="shared" si="15"/>
        <v>41.666666666666686</v>
      </c>
      <c r="R108">
        <f t="shared" si="16"/>
        <v>769.00098920000005</v>
      </c>
      <c r="S108">
        <f t="shared" si="17"/>
        <v>234.00098919999999</v>
      </c>
      <c r="T108">
        <f t="shared" si="18"/>
        <v>210.00098919999999</v>
      </c>
      <c r="U108">
        <f t="shared" si="19"/>
        <v>325.00098919999999</v>
      </c>
      <c r="V108">
        <f t="shared" si="20"/>
        <v>-256.16567746666675</v>
      </c>
      <c r="W108">
        <f t="shared" si="21"/>
        <v>256.16765586666673</v>
      </c>
    </row>
    <row r="109" spans="1:23" ht="15" customHeight="1" x14ac:dyDescent="0.35">
      <c r="A109" t="str">
        <f>'Raw Data'!B107</f>
        <v>Altra Industrial Motion Corp</v>
      </c>
      <c r="B109" t="str">
        <f>'Raw Data'!A107</f>
        <v>aimc</v>
      </c>
      <c r="C109" t="str">
        <f>IF('Raw Data'!E107="N/A","Unclassified",TRIM(SUBSTITUTE('Raw Data'!E107," and "," &amp; ")))</f>
        <v>Machinery</v>
      </c>
      <c r="D109" s="17">
        <f>'Raw Data'!N107</f>
        <v>525</v>
      </c>
      <c r="E109" s="17">
        <f>'Raw Data'!O107</f>
        <v>315</v>
      </c>
      <c r="F109" s="17">
        <f>'Raw Data'!P107</f>
        <v>305</v>
      </c>
      <c r="G109" s="17">
        <f>'Raw Data'!Q107</f>
        <v>1145</v>
      </c>
      <c r="H109" s="18">
        <f>INDEX('Industry Stats'!$F$2:$F$49,MATCH($C109,'Industry Stats'!$A$2:$A$49,0))</f>
        <v>1048.047619047619</v>
      </c>
      <c r="I109" s="19">
        <f t="shared" si="11"/>
        <v>96.952380952380963</v>
      </c>
      <c r="J109" s="20">
        <f t="shared" si="12"/>
        <v>9.2507610522967881E-2</v>
      </c>
      <c r="K109" s="18">
        <f>INDEX('Industry Stats'!$C$2:$C$49,MATCH($C109,'Industry Stats'!$A$2:$A$49,0))</f>
        <v>459.57142857142856</v>
      </c>
      <c r="L109" s="19">
        <f t="shared" si="13"/>
        <v>65.428571428571445</v>
      </c>
      <c r="M109" s="18">
        <f>INDEX('Industry Stats'!$D$2:$D$49,MATCH($C109,'Industry Stats'!$A$2:$A$49,0))</f>
        <v>313.66666666666669</v>
      </c>
      <c r="N109" s="19">
        <f t="shared" si="14"/>
        <v>1.3333333333333144</v>
      </c>
      <c r="O109" s="18">
        <f>INDEX('Industry Stats'!$E$2:$E$49,MATCH($C109,'Industry Stats'!$A$2:$A$49,0))</f>
        <v>274.8095238095238</v>
      </c>
      <c r="P109" s="19">
        <f t="shared" si="15"/>
        <v>30.190476190476204</v>
      </c>
      <c r="R109">
        <f t="shared" si="16"/>
        <v>1145.0009891</v>
      </c>
      <c r="S109">
        <f t="shared" si="17"/>
        <v>525.00098909999997</v>
      </c>
      <c r="T109">
        <f t="shared" si="18"/>
        <v>315.00098910000003</v>
      </c>
      <c r="U109">
        <f t="shared" si="19"/>
        <v>305.00098910000003</v>
      </c>
      <c r="V109">
        <f t="shared" si="20"/>
        <v>96.953370052380961</v>
      </c>
      <c r="W109">
        <f t="shared" si="21"/>
        <v>-96.951391852380965</v>
      </c>
    </row>
    <row r="110" spans="1:23" ht="15" customHeight="1" x14ac:dyDescent="0.35">
      <c r="A110" t="str">
        <f>'Raw Data'!B108</f>
        <v>Akebia Therapeutics Inc</v>
      </c>
      <c r="B110" t="str">
        <f>'Raw Data'!A108</f>
        <v>akba</v>
      </c>
      <c r="C110" t="str">
        <f>IF('Raw Data'!E108="N/A","Unclassified",TRIM(SUBSTITUTE('Raw Data'!E108," and "," &amp; ")))</f>
        <v>Biotechnology</v>
      </c>
      <c r="D110" s="17">
        <f>'Raw Data'!N108</f>
        <v>200</v>
      </c>
      <c r="E110" s="17">
        <f>'Raw Data'!O108</f>
        <v>218</v>
      </c>
      <c r="F110" s="17">
        <f>'Raw Data'!P108</f>
        <v>215</v>
      </c>
      <c r="G110" s="17">
        <f>'Raw Data'!Q108</f>
        <v>633</v>
      </c>
      <c r="H110" s="18">
        <f>INDEX('Industry Stats'!$F$2:$F$49,MATCH($C110,'Industry Stats'!$A$2:$A$49,0))</f>
        <v>866.91071428571433</v>
      </c>
      <c r="I110" s="19">
        <f t="shared" si="11"/>
        <v>-233.91071428571433</v>
      </c>
      <c r="J110" s="20">
        <f t="shared" si="12"/>
        <v>-0.26982099820792227</v>
      </c>
      <c r="K110" s="18">
        <f>INDEX('Industry Stats'!$C$2:$C$49,MATCH($C110,'Industry Stats'!$A$2:$A$49,0))</f>
        <v>306.53571428571428</v>
      </c>
      <c r="L110" s="19">
        <f t="shared" si="13"/>
        <v>-106.53571428571428</v>
      </c>
      <c r="M110" s="18">
        <f>INDEX('Industry Stats'!$D$2:$D$49,MATCH($C110,'Industry Stats'!$A$2:$A$49,0))</f>
        <v>268.85714285714283</v>
      </c>
      <c r="N110" s="19">
        <f t="shared" si="14"/>
        <v>-50.857142857142833</v>
      </c>
      <c r="O110" s="18">
        <f>INDEX('Industry Stats'!$E$2:$E$49,MATCH($C110,'Industry Stats'!$A$2:$A$49,0))</f>
        <v>291.51785714285717</v>
      </c>
      <c r="P110" s="19">
        <f t="shared" si="15"/>
        <v>-76.517857142857167</v>
      </c>
      <c r="R110">
        <f t="shared" si="16"/>
        <v>633.000989</v>
      </c>
      <c r="S110">
        <f t="shared" si="17"/>
        <v>200.000989</v>
      </c>
      <c r="T110">
        <f t="shared" si="18"/>
        <v>218.000989</v>
      </c>
      <c r="U110">
        <f t="shared" si="19"/>
        <v>215.000989</v>
      </c>
      <c r="V110">
        <f t="shared" si="20"/>
        <v>-233.90972528571433</v>
      </c>
      <c r="W110">
        <f t="shared" si="21"/>
        <v>233.91170328571434</v>
      </c>
    </row>
    <row r="111" spans="1:23" ht="15" customHeight="1" x14ac:dyDescent="0.35">
      <c r="A111" t="str">
        <f>'Raw Data'!B109</f>
        <v>Airgain Inc</v>
      </c>
      <c r="B111" t="str">
        <f>'Raw Data'!A109</f>
        <v>airg</v>
      </c>
      <c r="C111" t="str">
        <f>IF('Raw Data'!E109="N/A","Unclassified",TRIM(SUBSTITUTE('Raw Data'!E109," and "," &amp; ")))</f>
        <v>Electrical Equipment</v>
      </c>
      <c r="D111" s="17">
        <f>'Raw Data'!N109</f>
        <v>500</v>
      </c>
      <c r="E111" s="17">
        <f>'Raw Data'!O109</f>
        <v>300</v>
      </c>
      <c r="F111" s="17">
        <f>'Raw Data'!P109</f>
        <v>330</v>
      </c>
      <c r="G111" s="17">
        <f>'Raw Data'!Q109</f>
        <v>1130</v>
      </c>
      <c r="H111" s="18">
        <f>INDEX('Industry Stats'!$F$2:$F$49,MATCH($C111,'Industry Stats'!$A$2:$A$49,0))</f>
        <v>933</v>
      </c>
      <c r="I111" s="19">
        <f t="shared" si="11"/>
        <v>197</v>
      </c>
      <c r="J111" s="20">
        <f t="shared" si="12"/>
        <v>0.21114683815648447</v>
      </c>
      <c r="K111" s="18">
        <f>INDEX('Industry Stats'!$C$2:$C$49,MATCH($C111,'Industry Stats'!$A$2:$A$49,0))</f>
        <v>381.7037037037037</v>
      </c>
      <c r="L111" s="19">
        <f t="shared" si="13"/>
        <v>118.2962962962963</v>
      </c>
      <c r="M111" s="18">
        <f>INDEX('Industry Stats'!$D$2:$D$49,MATCH($C111,'Industry Stats'!$A$2:$A$49,0))</f>
        <v>272.11111111111109</v>
      </c>
      <c r="N111" s="19">
        <f t="shared" si="14"/>
        <v>27.888888888888914</v>
      </c>
      <c r="O111" s="18">
        <f>INDEX('Industry Stats'!$E$2:$E$49,MATCH($C111,'Industry Stats'!$A$2:$A$49,0))</f>
        <v>279.18518518518516</v>
      </c>
      <c r="P111" s="19">
        <f t="shared" si="15"/>
        <v>50.814814814814838</v>
      </c>
      <c r="R111">
        <f t="shared" si="16"/>
        <v>1130.0009889</v>
      </c>
      <c r="S111">
        <f t="shared" si="17"/>
        <v>500.00098889999998</v>
      </c>
      <c r="T111">
        <f t="shared" si="18"/>
        <v>300.00098889999998</v>
      </c>
      <c r="U111">
        <f t="shared" si="19"/>
        <v>330.00098889999998</v>
      </c>
      <c r="V111">
        <f t="shared" si="20"/>
        <v>197.00098890000001</v>
      </c>
      <c r="W111">
        <f t="shared" si="21"/>
        <v>-196.99901109999999</v>
      </c>
    </row>
    <row r="112" spans="1:23" ht="15" customHeight="1" x14ac:dyDescent="0.35">
      <c r="A112" t="str">
        <f>'Raw Data'!B110</f>
        <v>Airsculpt Technologies Inc</v>
      </c>
      <c r="B112" t="str">
        <f>'Raw Data'!A110</f>
        <v>airs</v>
      </c>
      <c r="C112" t="str">
        <f>IF('Raw Data'!E110="N/A","Unclassified",TRIM(SUBSTITUTE('Raw Data'!E110," and "," &amp; ")))</f>
        <v>Health Care</v>
      </c>
      <c r="D112" s="17">
        <f>'Raw Data'!N110</f>
        <v>210</v>
      </c>
      <c r="E112" s="17">
        <f>'Raw Data'!O110</f>
        <v>201</v>
      </c>
      <c r="F112" s="17">
        <f>'Raw Data'!P110</f>
        <v>205</v>
      </c>
      <c r="G112" s="17">
        <f>'Raw Data'!Q110</f>
        <v>616</v>
      </c>
      <c r="H112" s="18">
        <f>INDEX('Industry Stats'!$F$2:$F$49,MATCH($C112,'Industry Stats'!$A$2:$A$49,0))</f>
        <v>938.76470588235293</v>
      </c>
      <c r="I112" s="19">
        <f t="shared" si="11"/>
        <v>-322.76470588235293</v>
      </c>
      <c r="J112" s="20">
        <f t="shared" si="12"/>
        <v>-0.34381853499592707</v>
      </c>
      <c r="K112" s="18">
        <f>INDEX('Industry Stats'!$C$2:$C$49,MATCH($C112,'Industry Stats'!$A$2:$A$49,0))</f>
        <v>374.52941176470586</v>
      </c>
      <c r="L112" s="19">
        <f t="shared" si="13"/>
        <v>-164.52941176470586</v>
      </c>
      <c r="M112" s="18">
        <f>INDEX('Industry Stats'!$D$2:$D$49,MATCH($C112,'Industry Stats'!$A$2:$A$49,0))</f>
        <v>287.43137254901961</v>
      </c>
      <c r="N112" s="19">
        <f t="shared" si="14"/>
        <v>-86.431372549019613</v>
      </c>
      <c r="O112" s="18">
        <f>INDEX('Industry Stats'!$E$2:$E$49,MATCH($C112,'Industry Stats'!$A$2:$A$49,0))</f>
        <v>276.80392156862746</v>
      </c>
      <c r="P112" s="19">
        <f t="shared" si="15"/>
        <v>-71.803921568627459</v>
      </c>
      <c r="R112">
        <f t="shared" si="16"/>
        <v>616.00098879999996</v>
      </c>
      <c r="S112">
        <f t="shared" si="17"/>
        <v>210.00098879999999</v>
      </c>
      <c r="T112">
        <f t="shared" si="18"/>
        <v>201.00098879999999</v>
      </c>
      <c r="U112">
        <f t="shared" si="19"/>
        <v>205.00098879999999</v>
      </c>
      <c r="V112">
        <f t="shared" si="20"/>
        <v>-322.76371708235291</v>
      </c>
      <c r="W112">
        <f t="shared" si="21"/>
        <v>322.76569468235294</v>
      </c>
    </row>
    <row r="113" spans="1:23" ht="15" customHeight="1" x14ac:dyDescent="0.35">
      <c r="A113" t="str">
        <f>'Raw Data'!B111</f>
        <v>Akamai Technologies Inc</v>
      </c>
      <c r="B113" t="str">
        <f>'Raw Data'!A111</f>
        <v>akam</v>
      </c>
      <c r="C113" t="str">
        <f>IF('Raw Data'!E111="N/A","Unclassified",TRIM(SUBSTITUTE('Raw Data'!E111," and "," &amp; ")))</f>
        <v>Technology</v>
      </c>
      <c r="D113" s="17">
        <f>'Raw Data'!N111</f>
        <v>515</v>
      </c>
      <c r="E113" s="17">
        <f>'Raw Data'!O111</f>
        <v>341</v>
      </c>
      <c r="F113" s="17">
        <f>'Raw Data'!P111</f>
        <v>305</v>
      </c>
      <c r="G113" s="17">
        <f>'Raw Data'!Q111</f>
        <v>1161</v>
      </c>
      <c r="H113" s="18">
        <f>INDEX('Industry Stats'!$F$2:$F$49,MATCH($C113,'Industry Stats'!$A$2:$A$49,0))</f>
        <v>1031.3174603174602</v>
      </c>
      <c r="I113" s="19">
        <f t="shared" si="11"/>
        <v>129.68253968253975</v>
      </c>
      <c r="J113" s="20">
        <f t="shared" si="12"/>
        <v>0.12574454003970889</v>
      </c>
      <c r="K113" s="18">
        <f>INDEX('Industry Stats'!$C$2:$C$49,MATCH($C113,'Industry Stats'!$A$2:$A$49,0))</f>
        <v>438.11111111111109</v>
      </c>
      <c r="L113" s="19">
        <f t="shared" si="13"/>
        <v>76.888888888888914</v>
      </c>
      <c r="M113" s="18">
        <f>INDEX('Industry Stats'!$D$2:$D$49,MATCH($C113,'Industry Stats'!$A$2:$A$49,0))</f>
        <v>307.90476190476193</v>
      </c>
      <c r="N113" s="19">
        <f t="shared" si="14"/>
        <v>33.095238095238074</v>
      </c>
      <c r="O113" s="18">
        <f>INDEX('Industry Stats'!$E$2:$E$49,MATCH($C113,'Industry Stats'!$A$2:$A$49,0))</f>
        <v>285.30158730158729</v>
      </c>
      <c r="P113" s="19">
        <f t="shared" si="15"/>
        <v>19.69841269841271</v>
      </c>
      <c r="R113">
        <f t="shared" si="16"/>
        <v>1161.0009887000001</v>
      </c>
      <c r="S113">
        <f t="shared" si="17"/>
        <v>515.00098869999999</v>
      </c>
      <c r="T113">
        <f t="shared" si="18"/>
        <v>341.00098869999999</v>
      </c>
      <c r="U113">
        <f t="shared" si="19"/>
        <v>305.00098869999999</v>
      </c>
      <c r="V113">
        <f t="shared" si="20"/>
        <v>129.68352838253975</v>
      </c>
      <c r="W113">
        <f t="shared" si="21"/>
        <v>-129.68155098253976</v>
      </c>
    </row>
    <row r="114" spans="1:23" ht="15" customHeight="1" x14ac:dyDescent="0.35">
      <c r="A114" t="str">
        <f>'Raw Data'!B112</f>
        <v>Akumin Inc</v>
      </c>
      <c r="B114" t="str">
        <f>'Raw Data'!A112</f>
        <v>aku</v>
      </c>
      <c r="C114" t="str">
        <f>IF('Raw Data'!E112="N/A","Unclassified",TRIM(SUBSTITUTE('Raw Data'!E112," and "," &amp; ")))</f>
        <v>Health Care</v>
      </c>
      <c r="D114" s="17">
        <f>'Raw Data'!N112</f>
        <v>455</v>
      </c>
      <c r="E114" s="17">
        <f>'Raw Data'!O112</f>
        <v>347</v>
      </c>
      <c r="F114" s="17">
        <f>'Raw Data'!P112</f>
        <v>300</v>
      </c>
      <c r="G114" s="17">
        <f>'Raw Data'!Q112</f>
        <v>1102</v>
      </c>
      <c r="H114" s="18">
        <f>INDEX('Industry Stats'!$F$2:$F$49,MATCH($C114,'Industry Stats'!$A$2:$A$49,0))</f>
        <v>938.76470588235293</v>
      </c>
      <c r="I114" s="19">
        <f t="shared" si="11"/>
        <v>163.23529411764707</v>
      </c>
      <c r="J114" s="20">
        <f t="shared" si="12"/>
        <v>0.17388307538066297</v>
      </c>
      <c r="K114" s="18">
        <f>INDEX('Industry Stats'!$C$2:$C$49,MATCH($C114,'Industry Stats'!$A$2:$A$49,0))</f>
        <v>374.52941176470586</v>
      </c>
      <c r="L114" s="19">
        <f t="shared" si="13"/>
        <v>80.470588235294144</v>
      </c>
      <c r="M114" s="18">
        <f>INDEX('Industry Stats'!$D$2:$D$49,MATCH($C114,'Industry Stats'!$A$2:$A$49,0))</f>
        <v>287.43137254901961</v>
      </c>
      <c r="N114" s="19">
        <f t="shared" si="14"/>
        <v>59.568627450980387</v>
      </c>
      <c r="O114" s="18">
        <f>INDEX('Industry Stats'!$E$2:$E$49,MATCH($C114,'Industry Stats'!$A$2:$A$49,0))</f>
        <v>276.80392156862746</v>
      </c>
      <c r="P114" s="19">
        <f t="shared" si="15"/>
        <v>23.196078431372541</v>
      </c>
      <c r="R114">
        <f t="shared" si="16"/>
        <v>1102.0009886</v>
      </c>
      <c r="S114">
        <f t="shared" si="17"/>
        <v>455.00098860000003</v>
      </c>
      <c r="T114">
        <f t="shared" si="18"/>
        <v>347.00098860000003</v>
      </c>
      <c r="U114">
        <f t="shared" si="19"/>
        <v>300.00098860000003</v>
      </c>
      <c r="V114">
        <f t="shared" si="20"/>
        <v>163.23628271764707</v>
      </c>
      <c r="W114">
        <f t="shared" si="21"/>
        <v>-163.23430551764707</v>
      </c>
    </row>
    <row r="115" spans="1:23" ht="15" customHeight="1" x14ac:dyDescent="0.35">
      <c r="A115" t="str">
        <f>'Raw Data'!B113</f>
        <v>Akouos Inc</v>
      </c>
      <c r="B115" t="str">
        <f>'Raw Data'!A113</f>
        <v>akus</v>
      </c>
      <c r="C115" t="str">
        <f>IF('Raw Data'!E113="N/A","Unclassified",TRIM(SUBSTITUTE('Raw Data'!E113," and "," &amp; ")))</f>
        <v>Biotechnology</v>
      </c>
      <c r="D115" s="17">
        <f>'Raw Data'!N113</f>
        <v>205</v>
      </c>
      <c r="E115" s="17">
        <f>'Raw Data'!O113</f>
        <v>221</v>
      </c>
      <c r="F115" s="17">
        <f>'Raw Data'!P113</f>
        <v>295</v>
      </c>
      <c r="G115" s="17">
        <f>'Raw Data'!Q113</f>
        <v>721</v>
      </c>
      <c r="H115" s="18">
        <f>INDEX('Industry Stats'!$F$2:$F$49,MATCH($C115,'Industry Stats'!$A$2:$A$49,0))</f>
        <v>866.91071428571433</v>
      </c>
      <c r="I115" s="19">
        <f t="shared" si="11"/>
        <v>-145.91071428571433</v>
      </c>
      <c r="J115" s="20">
        <f t="shared" si="12"/>
        <v>-0.16831112118153546</v>
      </c>
      <c r="K115" s="18">
        <f>INDEX('Industry Stats'!$C$2:$C$49,MATCH($C115,'Industry Stats'!$A$2:$A$49,0))</f>
        <v>306.53571428571428</v>
      </c>
      <c r="L115" s="19">
        <f t="shared" si="13"/>
        <v>-101.53571428571428</v>
      </c>
      <c r="M115" s="18">
        <f>INDEX('Industry Stats'!$D$2:$D$49,MATCH($C115,'Industry Stats'!$A$2:$A$49,0))</f>
        <v>268.85714285714283</v>
      </c>
      <c r="N115" s="19">
        <f t="shared" si="14"/>
        <v>-47.857142857142833</v>
      </c>
      <c r="O115" s="18">
        <f>INDEX('Industry Stats'!$E$2:$E$49,MATCH($C115,'Industry Stats'!$A$2:$A$49,0))</f>
        <v>291.51785714285717</v>
      </c>
      <c r="P115" s="19">
        <f t="shared" si="15"/>
        <v>3.4821428571428328</v>
      </c>
      <c r="R115">
        <f t="shared" si="16"/>
        <v>721.00098849999995</v>
      </c>
      <c r="S115">
        <f t="shared" si="17"/>
        <v>205.00098850000001</v>
      </c>
      <c r="T115">
        <f t="shared" si="18"/>
        <v>221.00098850000001</v>
      </c>
      <c r="U115">
        <f t="shared" si="19"/>
        <v>295.00098850000001</v>
      </c>
      <c r="V115">
        <f t="shared" si="20"/>
        <v>-145.90972578571433</v>
      </c>
      <c r="W115">
        <f t="shared" si="21"/>
        <v>145.91170278571434</v>
      </c>
    </row>
    <row r="116" spans="1:23" ht="15" customHeight="1" x14ac:dyDescent="0.35">
      <c r="A116" t="str">
        <f>'Raw Data'!B114</f>
        <v>Akoustis Technologies Inc</v>
      </c>
      <c r="B116" t="str">
        <f>'Raw Data'!A114</f>
        <v>akts</v>
      </c>
      <c r="C116" t="str">
        <f>IF('Raw Data'!E114="N/A","Unclassified",TRIM(SUBSTITUTE('Raw Data'!E114," and "," &amp; ")))</f>
        <v>Electrical Equipment</v>
      </c>
      <c r="D116" s="17">
        <f>'Raw Data'!N114</f>
        <v>222</v>
      </c>
      <c r="E116" s="17">
        <f>'Raw Data'!O114</f>
        <v>302</v>
      </c>
      <c r="F116" s="17">
        <f>'Raw Data'!P114</f>
        <v>428</v>
      </c>
      <c r="G116" s="17">
        <f>'Raw Data'!Q114</f>
        <v>952</v>
      </c>
      <c r="H116" s="18">
        <f>INDEX('Industry Stats'!$F$2:$F$49,MATCH($C116,'Industry Stats'!$A$2:$A$49,0))</f>
        <v>933</v>
      </c>
      <c r="I116" s="19">
        <f t="shared" si="11"/>
        <v>19</v>
      </c>
      <c r="J116" s="20">
        <f t="shared" si="12"/>
        <v>2.0364415862808145E-2</v>
      </c>
      <c r="K116" s="18">
        <f>INDEX('Industry Stats'!$C$2:$C$49,MATCH($C116,'Industry Stats'!$A$2:$A$49,0))</f>
        <v>381.7037037037037</v>
      </c>
      <c r="L116" s="19">
        <f t="shared" si="13"/>
        <v>-159.7037037037037</v>
      </c>
      <c r="M116" s="18">
        <f>INDEX('Industry Stats'!$D$2:$D$49,MATCH($C116,'Industry Stats'!$A$2:$A$49,0))</f>
        <v>272.11111111111109</v>
      </c>
      <c r="N116" s="19">
        <f t="shared" si="14"/>
        <v>29.888888888888914</v>
      </c>
      <c r="O116" s="18">
        <f>INDEX('Industry Stats'!$E$2:$E$49,MATCH($C116,'Industry Stats'!$A$2:$A$49,0))</f>
        <v>279.18518518518516</v>
      </c>
      <c r="P116" s="19">
        <f t="shared" si="15"/>
        <v>148.81481481481484</v>
      </c>
      <c r="R116">
        <f t="shared" si="16"/>
        <v>952.00098839999998</v>
      </c>
      <c r="S116">
        <f t="shared" si="17"/>
        <v>222.00098840000001</v>
      </c>
      <c r="T116">
        <f t="shared" si="18"/>
        <v>302.00098839999998</v>
      </c>
      <c r="U116">
        <f t="shared" si="19"/>
        <v>428.00098839999998</v>
      </c>
      <c r="V116">
        <f t="shared" si="20"/>
        <v>19.000988400000001</v>
      </c>
      <c r="W116">
        <f t="shared" si="21"/>
        <v>-18.999011599999999</v>
      </c>
    </row>
    <row r="117" spans="1:23" ht="15" customHeight="1" x14ac:dyDescent="0.35">
      <c r="A117" t="str">
        <f>'Raw Data'!B115</f>
        <v>Akari Therapeutics PLC</v>
      </c>
      <c r="B117" t="str">
        <f>'Raw Data'!A115</f>
        <v>aktx</v>
      </c>
      <c r="C117" t="str">
        <f>IF('Raw Data'!E115="N/A","Unclassified",TRIM(SUBSTITUTE('Raw Data'!E115," and "," &amp; ")))</f>
        <v>Pharmaceuticals</v>
      </c>
      <c r="D117" s="17">
        <f>'Raw Data'!N115</f>
        <v>225</v>
      </c>
      <c r="E117" s="17">
        <f>'Raw Data'!O115</f>
        <v>216</v>
      </c>
      <c r="F117" s="17">
        <f>'Raw Data'!P115</f>
        <v>305</v>
      </c>
      <c r="G117" s="17">
        <f>'Raw Data'!Q115</f>
        <v>746</v>
      </c>
      <c r="H117" s="18">
        <f>INDEX('Industry Stats'!$F$2:$F$49,MATCH($C117,'Industry Stats'!$A$2:$A$49,0))</f>
        <v>903.66666666666663</v>
      </c>
      <c r="I117" s="19">
        <f t="shared" si="11"/>
        <v>-157.66666666666663</v>
      </c>
      <c r="J117" s="20">
        <f t="shared" si="12"/>
        <v>-0.17447436370343045</v>
      </c>
      <c r="K117" s="18">
        <f>INDEX('Industry Stats'!$C$2:$C$49,MATCH($C117,'Industry Stats'!$A$2:$A$49,0))</f>
        <v>360.04761904761904</v>
      </c>
      <c r="L117" s="19">
        <f t="shared" si="13"/>
        <v>-135.04761904761904</v>
      </c>
      <c r="M117" s="18">
        <f>INDEX('Industry Stats'!$D$2:$D$49,MATCH($C117,'Industry Stats'!$A$2:$A$49,0))</f>
        <v>269.66666666666669</v>
      </c>
      <c r="N117" s="19">
        <f t="shared" si="14"/>
        <v>-53.666666666666686</v>
      </c>
      <c r="O117" s="18">
        <f>INDEX('Industry Stats'!$E$2:$E$49,MATCH($C117,'Industry Stats'!$A$2:$A$49,0))</f>
        <v>273.95238095238096</v>
      </c>
      <c r="P117" s="19">
        <f t="shared" si="15"/>
        <v>31.047619047619037</v>
      </c>
      <c r="R117">
        <f t="shared" si="16"/>
        <v>746.00098830000002</v>
      </c>
      <c r="S117">
        <f t="shared" si="17"/>
        <v>225.00098829999999</v>
      </c>
      <c r="T117">
        <f t="shared" si="18"/>
        <v>216.00098829999999</v>
      </c>
      <c r="U117">
        <f t="shared" si="19"/>
        <v>305.00098830000002</v>
      </c>
      <c r="V117">
        <f t="shared" si="20"/>
        <v>-157.66567836666664</v>
      </c>
      <c r="W117">
        <f t="shared" si="21"/>
        <v>157.66765496666662</v>
      </c>
    </row>
    <row r="118" spans="1:23" ht="15" customHeight="1" x14ac:dyDescent="0.35">
      <c r="A118" t="str">
        <f>'Raw Data'!B116</f>
        <v>Albireo Pharma Inc</v>
      </c>
      <c r="B118" t="str">
        <f>'Raw Data'!A116</f>
        <v>albo</v>
      </c>
      <c r="C118" t="str">
        <f>IF('Raw Data'!E116="N/A","Unclassified",TRIM(SUBSTITUTE('Raw Data'!E116," and "," &amp; ")))</f>
        <v>Biotechnology</v>
      </c>
      <c r="D118" s="17">
        <f>'Raw Data'!N116</f>
        <v>500</v>
      </c>
      <c r="E118" s="17">
        <f>'Raw Data'!O116</f>
        <v>300</v>
      </c>
      <c r="F118" s="17">
        <f>'Raw Data'!P116</f>
        <v>310</v>
      </c>
      <c r="G118" s="17">
        <f>'Raw Data'!Q116</f>
        <v>1110</v>
      </c>
      <c r="H118" s="18">
        <f>INDEX('Industry Stats'!$F$2:$F$49,MATCH($C118,'Industry Stats'!$A$2:$A$49,0))</f>
        <v>866.91071428571433</v>
      </c>
      <c r="I118" s="19">
        <f t="shared" si="11"/>
        <v>243.08928571428567</v>
      </c>
      <c r="J118" s="20">
        <f t="shared" si="12"/>
        <v>0.28040867612828796</v>
      </c>
      <c r="K118" s="18">
        <f>INDEX('Industry Stats'!$C$2:$C$49,MATCH($C118,'Industry Stats'!$A$2:$A$49,0))</f>
        <v>306.53571428571428</v>
      </c>
      <c r="L118" s="19">
        <f t="shared" si="13"/>
        <v>193.46428571428572</v>
      </c>
      <c r="M118" s="18">
        <f>INDEX('Industry Stats'!$D$2:$D$49,MATCH($C118,'Industry Stats'!$A$2:$A$49,0))</f>
        <v>268.85714285714283</v>
      </c>
      <c r="N118" s="19">
        <f t="shared" si="14"/>
        <v>31.142857142857167</v>
      </c>
      <c r="O118" s="18">
        <f>INDEX('Industry Stats'!$E$2:$E$49,MATCH($C118,'Industry Stats'!$A$2:$A$49,0))</f>
        <v>291.51785714285717</v>
      </c>
      <c r="P118" s="19">
        <f t="shared" si="15"/>
        <v>18.482142857142833</v>
      </c>
      <c r="R118">
        <f t="shared" si="16"/>
        <v>1110.0009881999999</v>
      </c>
      <c r="S118">
        <f t="shared" si="17"/>
        <v>500.00098819999999</v>
      </c>
      <c r="T118">
        <f t="shared" si="18"/>
        <v>300.00098819999999</v>
      </c>
      <c r="U118">
        <f t="shared" si="19"/>
        <v>310.00098819999999</v>
      </c>
      <c r="V118">
        <f t="shared" si="20"/>
        <v>243.09027391428566</v>
      </c>
      <c r="W118">
        <f t="shared" si="21"/>
        <v>-243.08829751428567</v>
      </c>
    </row>
    <row r="119" spans="1:23" ht="15" customHeight="1" x14ac:dyDescent="0.35">
      <c r="A119" t="str">
        <f>'Raw Data'!B117</f>
        <v>Akoya Biosciences Inc</v>
      </c>
      <c r="B119" t="str">
        <f>'Raw Data'!A117</f>
        <v>akya</v>
      </c>
      <c r="C119" t="str">
        <f>IF('Raw Data'!E117="N/A","Unclassified",TRIM(SUBSTITUTE('Raw Data'!E117," and "," &amp; ")))</f>
        <v>Life Sciences Tools &amp; Services</v>
      </c>
      <c r="D119" s="17">
        <f>'Raw Data'!N117</f>
        <v>512</v>
      </c>
      <c r="E119" s="17">
        <f>'Raw Data'!O117</f>
        <v>303</v>
      </c>
      <c r="F119" s="17">
        <f>'Raw Data'!P117</f>
        <v>215</v>
      </c>
      <c r="G119" s="17">
        <f>'Raw Data'!Q117</f>
        <v>1030</v>
      </c>
      <c r="H119" s="18">
        <f>INDEX('Industry Stats'!$F$2:$F$49,MATCH($C119,'Industry Stats'!$A$2:$A$49,0))</f>
        <v>993.125</v>
      </c>
      <c r="I119" s="19">
        <f t="shared" si="11"/>
        <v>36.875</v>
      </c>
      <c r="J119" s="20">
        <f t="shared" si="12"/>
        <v>3.7130270610446825E-2</v>
      </c>
      <c r="K119" s="18">
        <f>INDEX('Industry Stats'!$C$2:$C$49,MATCH($C119,'Industry Stats'!$A$2:$A$49,0))</f>
        <v>421.375</v>
      </c>
      <c r="L119" s="19">
        <f t="shared" si="13"/>
        <v>90.625</v>
      </c>
      <c r="M119" s="18">
        <f>INDEX('Industry Stats'!$D$2:$D$49,MATCH($C119,'Industry Stats'!$A$2:$A$49,0))</f>
        <v>294.5</v>
      </c>
      <c r="N119" s="19">
        <f t="shared" si="14"/>
        <v>8.5</v>
      </c>
      <c r="O119" s="18">
        <f>INDEX('Industry Stats'!$E$2:$E$49,MATCH($C119,'Industry Stats'!$A$2:$A$49,0))</f>
        <v>277.25</v>
      </c>
      <c r="P119" s="19">
        <f t="shared" si="15"/>
        <v>-62.25</v>
      </c>
      <c r="R119">
        <f t="shared" si="16"/>
        <v>1030.0009881000001</v>
      </c>
      <c r="S119">
        <f t="shared" si="17"/>
        <v>512.00098809999997</v>
      </c>
      <c r="T119">
        <f t="shared" si="18"/>
        <v>303.00098809999997</v>
      </c>
      <c r="U119">
        <f t="shared" si="19"/>
        <v>215.0009881</v>
      </c>
      <c r="V119">
        <f t="shared" si="20"/>
        <v>36.875988100000001</v>
      </c>
      <c r="W119">
        <f t="shared" si="21"/>
        <v>-36.874011899999999</v>
      </c>
    </row>
    <row r="120" spans="1:23" ht="15" customHeight="1" x14ac:dyDescent="0.35">
      <c r="A120" t="str">
        <f>'Raw Data'!B118</f>
        <v>Alico Inc</v>
      </c>
      <c r="B120" t="str">
        <f>'Raw Data'!A118</f>
        <v>alco</v>
      </c>
      <c r="C120" t="str">
        <f>IF('Raw Data'!E118="N/A","Unclassified",TRIM(SUBSTITUTE('Raw Data'!E118," and "," &amp; ")))</f>
        <v>Food Products</v>
      </c>
      <c r="D120" s="17">
        <f>'Raw Data'!N118</f>
        <v>500</v>
      </c>
      <c r="E120" s="17">
        <f>'Raw Data'!O118</f>
        <v>300</v>
      </c>
      <c r="F120" s="17">
        <f>'Raw Data'!P118</f>
        <v>300</v>
      </c>
      <c r="G120" s="17">
        <f>'Raw Data'!Q118</f>
        <v>1100</v>
      </c>
      <c r="H120" s="18">
        <f>INDEX('Industry Stats'!$F$2:$F$49,MATCH($C120,'Industry Stats'!$A$2:$A$49,0))</f>
        <v>1131.0714285714287</v>
      </c>
      <c r="I120" s="19">
        <f t="shared" si="11"/>
        <v>-31.071428571428669</v>
      </c>
      <c r="J120" s="20">
        <f t="shared" si="12"/>
        <v>-2.7470792548152909E-2</v>
      </c>
      <c r="K120" s="18">
        <f>INDEX('Industry Stats'!$C$2:$C$49,MATCH($C120,'Industry Stats'!$A$2:$A$49,0))</f>
        <v>516.57142857142856</v>
      </c>
      <c r="L120" s="19">
        <f t="shared" si="13"/>
        <v>-16.571428571428555</v>
      </c>
      <c r="M120" s="18">
        <f>INDEX('Industry Stats'!$D$2:$D$49,MATCH($C120,'Industry Stats'!$A$2:$A$49,0))</f>
        <v>311.28571428571428</v>
      </c>
      <c r="N120" s="19">
        <f t="shared" si="14"/>
        <v>-11.285714285714278</v>
      </c>
      <c r="O120" s="18">
        <f>INDEX('Industry Stats'!$E$2:$E$49,MATCH($C120,'Industry Stats'!$A$2:$A$49,0))</f>
        <v>303.21428571428572</v>
      </c>
      <c r="P120" s="19">
        <f t="shared" si="15"/>
        <v>-3.2142857142857224</v>
      </c>
      <c r="R120">
        <f t="shared" si="16"/>
        <v>1100.000988</v>
      </c>
      <c r="S120">
        <f t="shared" si="17"/>
        <v>500.00098800000001</v>
      </c>
      <c r="T120">
        <f t="shared" si="18"/>
        <v>300.00098800000001</v>
      </c>
      <c r="U120">
        <f t="shared" si="19"/>
        <v>300.00098800000001</v>
      </c>
      <c r="V120">
        <f t="shared" si="20"/>
        <v>-31.070440571428669</v>
      </c>
      <c r="W120">
        <f t="shared" si="21"/>
        <v>31.072416571428668</v>
      </c>
    </row>
    <row r="121" spans="1:23" ht="15" customHeight="1" x14ac:dyDescent="0.35">
      <c r="A121" t="str">
        <f>'Raw Data'!B119</f>
        <v>Aldeyra Therapeutics Inc</v>
      </c>
      <c r="B121" t="str">
        <f>'Raw Data'!A119</f>
        <v>aldx</v>
      </c>
      <c r="C121" t="str">
        <f>IF('Raw Data'!E119="N/A","Unclassified",TRIM(SUBSTITUTE('Raw Data'!E119," and "," &amp; ")))</f>
        <v>Biotechnology</v>
      </c>
      <c r="D121" s="17">
        <f>'Raw Data'!N119</f>
        <v>231</v>
      </c>
      <c r="E121" s="17">
        <f>'Raw Data'!O119</f>
        <v>261</v>
      </c>
      <c r="F121" s="17">
        <f>'Raw Data'!P119</f>
        <v>235</v>
      </c>
      <c r="G121" s="17">
        <f>'Raw Data'!Q119</f>
        <v>727</v>
      </c>
      <c r="H121" s="18">
        <f>INDEX('Industry Stats'!$F$2:$F$49,MATCH($C121,'Industry Stats'!$A$2:$A$49,0))</f>
        <v>866.91071428571433</v>
      </c>
      <c r="I121" s="19">
        <f t="shared" si="11"/>
        <v>-139.91071428571433</v>
      </c>
      <c r="J121" s="20">
        <f t="shared" si="12"/>
        <v>-0.16138999320246364</v>
      </c>
      <c r="K121" s="18">
        <f>INDEX('Industry Stats'!$C$2:$C$49,MATCH($C121,'Industry Stats'!$A$2:$A$49,0))</f>
        <v>306.53571428571428</v>
      </c>
      <c r="L121" s="19">
        <f t="shared" si="13"/>
        <v>-75.535714285714278</v>
      </c>
      <c r="M121" s="18">
        <f>INDEX('Industry Stats'!$D$2:$D$49,MATCH($C121,'Industry Stats'!$A$2:$A$49,0))</f>
        <v>268.85714285714283</v>
      </c>
      <c r="N121" s="19">
        <f t="shared" si="14"/>
        <v>-7.8571428571428328</v>
      </c>
      <c r="O121" s="18">
        <f>INDEX('Industry Stats'!$E$2:$E$49,MATCH($C121,'Industry Stats'!$A$2:$A$49,0))</f>
        <v>291.51785714285717</v>
      </c>
      <c r="P121" s="19">
        <f t="shared" si="15"/>
        <v>-56.517857142857167</v>
      </c>
      <c r="R121">
        <f t="shared" si="16"/>
        <v>727.00098790000004</v>
      </c>
      <c r="S121">
        <f t="shared" si="17"/>
        <v>231.00098790000001</v>
      </c>
      <c r="T121">
        <f t="shared" si="18"/>
        <v>261.00098789999998</v>
      </c>
      <c r="U121">
        <f t="shared" si="19"/>
        <v>235.00098790000001</v>
      </c>
      <c r="V121">
        <f t="shared" si="20"/>
        <v>-139.90972638571432</v>
      </c>
      <c r="W121">
        <f t="shared" si="21"/>
        <v>139.91170218571435</v>
      </c>
    </row>
    <row r="122" spans="1:23" ht="15" customHeight="1" x14ac:dyDescent="0.35">
      <c r="A122" t="str">
        <f>'Raw Data'!B120</f>
        <v>Alector Inc</v>
      </c>
      <c r="B122" t="str">
        <f>'Raw Data'!A120</f>
        <v>alec</v>
      </c>
      <c r="C122" t="str">
        <f>IF('Raw Data'!E120="N/A","Unclassified",TRIM(SUBSTITUTE('Raw Data'!E120," and "," &amp; ")))</f>
        <v>Biotechnology</v>
      </c>
      <c r="D122" s="17">
        <f>'Raw Data'!N120</f>
        <v>240</v>
      </c>
      <c r="E122" s="17">
        <f>'Raw Data'!O120</f>
        <v>277</v>
      </c>
      <c r="F122" s="17">
        <f>'Raw Data'!P120</f>
        <v>300</v>
      </c>
      <c r="G122" s="17">
        <f>'Raw Data'!Q120</f>
        <v>817</v>
      </c>
      <c r="H122" s="18">
        <f>INDEX('Industry Stats'!$F$2:$F$49,MATCH($C122,'Industry Stats'!$A$2:$A$49,0))</f>
        <v>866.91071428571433</v>
      </c>
      <c r="I122" s="19">
        <f t="shared" si="11"/>
        <v>-49.910714285714334</v>
      </c>
      <c r="J122" s="20">
        <f t="shared" si="12"/>
        <v>-5.7573073516386235E-2</v>
      </c>
      <c r="K122" s="18">
        <f>INDEX('Industry Stats'!$C$2:$C$49,MATCH($C122,'Industry Stats'!$A$2:$A$49,0))</f>
        <v>306.53571428571428</v>
      </c>
      <c r="L122" s="19">
        <f t="shared" si="13"/>
        <v>-66.535714285714278</v>
      </c>
      <c r="M122" s="18">
        <f>INDEX('Industry Stats'!$D$2:$D$49,MATCH($C122,'Industry Stats'!$A$2:$A$49,0))</f>
        <v>268.85714285714283</v>
      </c>
      <c r="N122" s="19">
        <f t="shared" si="14"/>
        <v>8.1428571428571672</v>
      </c>
      <c r="O122" s="18">
        <f>INDEX('Industry Stats'!$E$2:$E$49,MATCH($C122,'Industry Stats'!$A$2:$A$49,0))</f>
        <v>291.51785714285717</v>
      </c>
      <c r="P122" s="19">
        <f t="shared" si="15"/>
        <v>8.4821428571428328</v>
      </c>
      <c r="R122">
        <f t="shared" si="16"/>
        <v>817.00098779999996</v>
      </c>
      <c r="S122">
        <f t="shared" si="17"/>
        <v>240.00098779999999</v>
      </c>
      <c r="T122">
        <f t="shared" si="18"/>
        <v>277.00098780000002</v>
      </c>
      <c r="U122">
        <f t="shared" si="19"/>
        <v>300.00098780000002</v>
      </c>
      <c r="V122">
        <f t="shared" si="20"/>
        <v>-49.909726485714337</v>
      </c>
      <c r="W122">
        <f t="shared" si="21"/>
        <v>49.911702085714332</v>
      </c>
    </row>
    <row r="123" spans="1:23" ht="15" customHeight="1" x14ac:dyDescent="0.35">
      <c r="A123" t="str">
        <f>'Raw Data'!B121</f>
        <v>Allegro Microsystems Inc</v>
      </c>
      <c r="B123" t="str">
        <f>'Raw Data'!A121</f>
        <v>algm</v>
      </c>
      <c r="C123" t="str">
        <f>IF('Raw Data'!E121="N/A","Unclassified",TRIM(SUBSTITUTE('Raw Data'!E121," and "," &amp; ")))</f>
        <v>Semiconductors</v>
      </c>
      <c r="D123" s="17">
        <f>'Raw Data'!N121</f>
        <v>542</v>
      </c>
      <c r="E123" s="17">
        <f>'Raw Data'!O121</f>
        <v>314</v>
      </c>
      <c r="F123" s="17">
        <f>'Raw Data'!P121</f>
        <v>250</v>
      </c>
      <c r="G123" s="17">
        <f>'Raw Data'!Q121</f>
        <v>1106</v>
      </c>
      <c r="H123" s="18">
        <f>INDEX('Industry Stats'!$F$2:$F$49,MATCH($C123,'Industry Stats'!$A$2:$A$49,0))</f>
        <v>1030.5833333333333</v>
      </c>
      <c r="I123" s="19">
        <f t="shared" si="11"/>
        <v>75.416666666666742</v>
      </c>
      <c r="J123" s="20">
        <f t="shared" si="12"/>
        <v>7.3178620522357962E-2</v>
      </c>
      <c r="K123" s="18">
        <f>INDEX('Industry Stats'!$C$2:$C$49,MATCH($C123,'Industry Stats'!$A$2:$A$49,0))</f>
        <v>448.45833333333331</v>
      </c>
      <c r="L123" s="19">
        <f t="shared" si="13"/>
        <v>93.541666666666686</v>
      </c>
      <c r="M123" s="18">
        <f>INDEX('Industry Stats'!$D$2:$D$49,MATCH($C123,'Industry Stats'!$A$2:$A$49,0))</f>
        <v>296.70833333333331</v>
      </c>
      <c r="N123" s="19">
        <f t="shared" si="14"/>
        <v>17.291666666666686</v>
      </c>
      <c r="O123" s="18">
        <f>INDEX('Industry Stats'!$E$2:$E$49,MATCH($C123,'Industry Stats'!$A$2:$A$49,0))</f>
        <v>285.41666666666669</v>
      </c>
      <c r="P123" s="19">
        <f t="shared" si="15"/>
        <v>-35.416666666666686</v>
      </c>
      <c r="R123">
        <f t="shared" si="16"/>
        <v>1106.0009877</v>
      </c>
      <c r="S123">
        <f t="shared" si="17"/>
        <v>542.0009877</v>
      </c>
      <c r="T123">
        <f t="shared" si="18"/>
        <v>314.0009877</v>
      </c>
      <c r="U123">
        <f t="shared" si="19"/>
        <v>250.0009877</v>
      </c>
      <c r="V123">
        <f t="shared" si="20"/>
        <v>75.417654366666738</v>
      </c>
      <c r="W123">
        <f t="shared" si="21"/>
        <v>-75.415678966666746</v>
      </c>
    </row>
    <row r="124" spans="1:23" ht="15" customHeight="1" x14ac:dyDescent="0.35">
      <c r="A124" t="str">
        <f>'Raw Data'!B122</f>
        <v>Alfi Inc</v>
      </c>
      <c r="B124" t="str">
        <f>'Raw Data'!A122</f>
        <v>alf</v>
      </c>
      <c r="C124" t="str">
        <f>IF('Raw Data'!E122="N/A","Unclassified",TRIM(SUBSTITUTE('Raw Data'!E122," and "," &amp; ")))</f>
        <v>Technology</v>
      </c>
      <c r="D124" s="17">
        <f>'Raw Data'!N122</f>
        <v>225</v>
      </c>
      <c r="E124" s="17">
        <f>'Raw Data'!O122</f>
        <v>260</v>
      </c>
      <c r="F124" s="17">
        <f>'Raw Data'!P122</f>
        <v>315</v>
      </c>
      <c r="G124" s="17">
        <f>'Raw Data'!Q122</f>
        <v>800</v>
      </c>
      <c r="H124" s="18">
        <f>INDEX('Industry Stats'!$F$2:$F$49,MATCH($C124,'Industry Stats'!$A$2:$A$49,0))</f>
        <v>1031.3174603174602</v>
      </c>
      <c r="I124" s="19">
        <f t="shared" si="11"/>
        <v>-231.31746031746025</v>
      </c>
      <c r="J124" s="20">
        <f t="shared" si="12"/>
        <v>-0.22429316793129447</v>
      </c>
      <c r="K124" s="18">
        <f>INDEX('Industry Stats'!$C$2:$C$49,MATCH($C124,'Industry Stats'!$A$2:$A$49,0))</f>
        <v>438.11111111111109</v>
      </c>
      <c r="L124" s="19">
        <f t="shared" si="13"/>
        <v>-213.11111111111109</v>
      </c>
      <c r="M124" s="18">
        <f>INDEX('Industry Stats'!$D$2:$D$49,MATCH($C124,'Industry Stats'!$A$2:$A$49,0))</f>
        <v>307.90476190476193</v>
      </c>
      <c r="N124" s="19">
        <f t="shared" si="14"/>
        <v>-47.904761904761926</v>
      </c>
      <c r="O124" s="18">
        <f>INDEX('Industry Stats'!$E$2:$E$49,MATCH($C124,'Industry Stats'!$A$2:$A$49,0))</f>
        <v>285.30158730158729</v>
      </c>
      <c r="P124" s="19">
        <f t="shared" si="15"/>
        <v>29.69841269841271</v>
      </c>
      <c r="R124">
        <f t="shared" si="16"/>
        <v>800.00098760000003</v>
      </c>
      <c r="S124">
        <f t="shared" si="17"/>
        <v>225.0009876</v>
      </c>
      <c r="T124">
        <f t="shared" si="18"/>
        <v>260.00098759999997</v>
      </c>
      <c r="U124">
        <f t="shared" si="19"/>
        <v>315.00098759999997</v>
      </c>
      <c r="V124">
        <f t="shared" si="20"/>
        <v>-231.31647271746024</v>
      </c>
      <c r="W124">
        <f t="shared" si="21"/>
        <v>231.31844791746025</v>
      </c>
    </row>
    <row r="125" spans="1:23" ht="15" customHeight="1" x14ac:dyDescent="0.35">
      <c r="A125" t="str">
        <f>'Raw Data'!B123</f>
        <v>Align Technology Inc</v>
      </c>
      <c r="B125" t="str">
        <f>'Raw Data'!A123</f>
        <v>algn</v>
      </c>
      <c r="C125" t="str">
        <f>IF('Raw Data'!E123="N/A","Unclassified",TRIM(SUBSTITUTE('Raw Data'!E123," and "," &amp; ")))</f>
        <v>Health Care</v>
      </c>
      <c r="D125" s="17">
        <f>'Raw Data'!N123</f>
        <v>235</v>
      </c>
      <c r="E125" s="17">
        <f>'Raw Data'!O123</f>
        <v>285</v>
      </c>
      <c r="F125" s="17">
        <f>'Raw Data'!P123</f>
        <v>255</v>
      </c>
      <c r="G125" s="17">
        <f>'Raw Data'!Q123</f>
        <v>775</v>
      </c>
      <c r="H125" s="18">
        <f>INDEX('Industry Stats'!$F$2:$F$49,MATCH($C125,'Industry Stats'!$A$2:$A$49,0))</f>
        <v>938.76470588235293</v>
      </c>
      <c r="I125" s="19">
        <f t="shared" si="11"/>
        <v>-163.76470588235293</v>
      </c>
      <c r="J125" s="20">
        <f t="shared" si="12"/>
        <v>-0.17444702049000563</v>
      </c>
      <c r="K125" s="18">
        <f>INDEX('Industry Stats'!$C$2:$C$49,MATCH($C125,'Industry Stats'!$A$2:$A$49,0))</f>
        <v>374.52941176470586</v>
      </c>
      <c r="L125" s="19">
        <f t="shared" si="13"/>
        <v>-139.52941176470586</v>
      </c>
      <c r="M125" s="18">
        <f>INDEX('Industry Stats'!$D$2:$D$49,MATCH($C125,'Industry Stats'!$A$2:$A$49,0))</f>
        <v>287.43137254901961</v>
      </c>
      <c r="N125" s="19">
        <f t="shared" si="14"/>
        <v>-2.4313725490196134</v>
      </c>
      <c r="O125" s="18">
        <f>INDEX('Industry Stats'!$E$2:$E$49,MATCH($C125,'Industry Stats'!$A$2:$A$49,0))</f>
        <v>276.80392156862746</v>
      </c>
      <c r="P125" s="19">
        <f t="shared" si="15"/>
        <v>-21.803921568627459</v>
      </c>
      <c r="R125">
        <f t="shared" si="16"/>
        <v>775.00098749999995</v>
      </c>
      <c r="S125">
        <f t="shared" si="17"/>
        <v>235.00098750000001</v>
      </c>
      <c r="T125">
        <f t="shared" si="18"/>
        <v>285.00098750000001</v>
      </c>
      <c r="U125">
        <f t="shared" si="19"/>
        <v>255.00098750000001</v>
      </c>
      <c r="V125">
        <f t="shared" si="20"/>
        <v>-163.76371838235292</v>
      </c>
      <c r="W125">
        <f t="shared" si="21"/>
        <v>163.76569338235294</v>
      </c>
    </row>
    <row r="126" spans="1:23" ht="15" customHeight="1" x14ac:dyDescent="0.35">
      <c r="A126" t="str">
        <f>'Raw Data'!B124</f>
        <v>Aligos Therapeutics Inc</v>
      </c>
      <c r="B126" t="str">
        <f>'Raw Data'!A124</f>
        <v>algs</v>
      </c>
      <c r="C126" t="str">
        <f>IF('Raw Data'!E124="N/A","Unclassified",TRIM(SUBSTITUTE('Raw Data'!E124," and "," &amp; ")))</f>
        <v>Biotechnology</v>
      </c>
      <c r="D126" s="17">
        <f>'Raw Data'!N124</f>
        <v>210</v>
      </c>
      <c r="E126" s="17">
        <f>'Raw Data'!O124</f>
        <v>222</v>
      </c>
      <c r="F126" s="17">
        <f>'Raw Data'!P124</f>
        <v>235</v>
      </c>
      <c r="G126" s="17">
        <f>'Raw Data'!Q124</f>
        <v>667</v>
      </c>
      <c r="H126" s="18">
        <f>INDEX('Industry Stats'!$F$2:$F$49,MATCH($C126,'Industry Stats'!$A$2:$A$49,0))</f>
        <v>866.91071428571433</v>
      </c>
      <c r="I126" s="19">
        <f t="shared" si="11"/>
        <v>-199.91071428571433</v>
      </c>
      <c r="J126" s="20">
        <f t="shared" si="12"/>
        <v>-0.23060127299318192</v>
      </c>
      <c r="K126" s="18">
        <f>INDEX('Industry Stats'!$C$2:$C$49,MATCH($C126,'Industry Stats'!$A$2:$A$49,0))</f>
        <v>306.53571428571428</v>
      </c>
      <c r="L126" s="19">
        <f t="shared" si="13"/>
        <v>-96.535714285714278</v>
      </c>
      <c r="M126" s="18">
        <f>INDEX('Industry Stats'!$D$2:$D$49,MATCH($C126,'Industry Stats'!$A$2:$A$49,0))</f>
        <v>268.85714285714283</v>
      </c>
      <c r="N126" s="19">
        <f t="shared" si="14"/>
        <v>-46.857142857142833</v>
      </c>
      <c r="O126" s="18">
        <f>INDEX('Industry Stats'!$E$2:$E$49,MATCH($C126,'Industry Stats'!$A$2:$A$49,0))</f>
        <v>291.51785714285717</v>
      </c>
      <c r="P126" s="19">
        <f t="shared" si="15"/>
        <v>-56.517857142857167</v>
      </c>
      <c r="R126">
        <f t="shared" si="16"/>
        <v>667.00098739999999</v>
      </c>
      <c r="S126">
        <f t="shared" si="17"/>
        <v>210.00098740000001</v>
      </c>
      <c r="T126">
        <f t="shared" si="18"/>
        <v>222.00098740000001</v>
      </c>
      <c r="U126">
        <f t="shared" si="19"/>
        <v>235.00098740000001</v>
      </c>
      <c r="V126">
        <f t="shared" si="20"/>
        <v>-199.90972688571432</v>
      </c>
      <c r="W126">
        <f t="shared" si="21"/>
        <v>199.91170168571435</v>
      </c>
    </row>
    <row r="127" spans="1:23" ht="15" customHeight="1" x14ac:dyDescent="0.35">
      <c r="A127" t="str">
        <f>'Raw Data'!B125</f>
        <v>Alignment Healthcare LLC</v>
      </c>
      <c r="B127" t="str">
        <f>'Raw Data'!A125</f>
        <v>alhc</v>
      </c>
      <c r="C127" t="str">
        <f>IF('Raw Data'!E125="N/A","Unclassified",TRIM(SUBSTITUTE('Raw Data'!E125," and "," &amp; ")))</f>
        <v>Unclassified</v>
      </c>
      <c r="D127" s="17">
        <f>'Raw Data'!N125</f>
        <v>210</v>
      </c>
      <c r="E127" s="17">
        <f>'Raw Data'!O125</f>
        <v>302</v>
      </c>
      <c r="F127" s="17">
        <f>'Raw Data'!P125</f>
        <v>256</v>
      </c>
      <c r="G127" s="17">
        <f>'Raw Data'!Q125</f>
        <v>768</v>
      </c>
      <c r="H127" s="18">
        <f>INDEX('Industry Stats'!$F$2:$F$49,MATCH($C127,'Industry Stats'!$A$2:$A$49,0))</f>
        <v>709.30769230769226</v>
      </c>
      <c r="I127" s="19">
        <f t="shared" si="11"/>
        <v>58.692307692307736</v>
      </c>
      <c r="J127" s="20">
        <f t="shared" si="12"/>
        <v>8.2745906083938905E-2</v>
      </c>
      <c r="K127" s="18">
        <f>INDEX('Industry Stats'!$C$2:$C$49,MATCH($C127,'Industry Stats'!$A$2:$A$49,0))</f>
        <v>215.38461538461539</v>
      </c>
      <c r="L127" s="19">
        <f t="shared" si="13"/>
        <v>-5.3846153846153868</v>
      </c>
      <c r="M127" s="18">
        <f>INDEX('Industry Stats'!$D$2:$D$49,MATCH($C127,'Industry Stats'!$A$2:$A$49,0))</f>
        <v>231.15384615384616</v>
      </c>
      <c r="N127" s="19">
        <f t="shared" si="14"/>
        <v>70.84615384615384</v>
      </c>
      <c r="O127" s="18">
        <f>INDEX('Industry Stats'!$E$2:$E$49,MATCH($C127,'Industry Stats'!$A$2:$A$49,0))</f>
        <v>262.76923076923077</v>
      </c>
      <c r="P127" s="19">
        <f t="shared" si="15"/>
        <v>-6.7692307692307736</v>
      </c>
      <c r="R127">
        <f t="shared" si="16"/>
        <v>768.00098730000002</v>
      </c>
      <c r="S127">
        <f t="shared" si="17"/>
        <v>210.00098729999999</v>
      </c>
      <c r="T127">
        <f t="shared" si="18"/>
        <v>302.00098730000002</v>
      </c>
      <c r="U127">
        <f t="shared" si="19"/>
        <v>256.00098730000002</v>
      </c>
      <c r="V127">
        <f t="shared" si="20"/>
        <v>58.693294992307735</v>
      </c>
      <c r="W127">
        <f t="shared" si="21"/>
        <v>-58.691320392307738</v>
      </c>
    </row>
    <row r="128" spans="1:23" ht="15" customHeight="1" x14ac:dyDescent="0.35">
      <c r="A128" t="str">
        <f>'Raw Data'!B126</f>
        <v>Alkermes Plc</v>
      </c>
      <c r="B128" t="str">
        <f>'Raw Data'!A126</f>
        <v>alks</v>
      </c>
      <c r="C128" t="str">
        <f>IF('Raw Data'!E126="N/A","Unclassified",TRIM(SUBSTITUTE('Raw Data'!E126," and "," &amp; ")))</f>
        <v>Biotechnology</v>
      </c>
      <c r="D128" s="17">
        <f>'Raw Data'!N126</f>
        <v>415</v>
      </c>
      <c r="E128" s="17">
        <f>'Raw Data'!O126</f>
        <v>302</v>
      </c>
      <c r="F128" s="17">
        <f>'Raw Data'!P126</f>
        <v>333</v>
      </c>
      <c r="G128" s="17">
        <f>'Raw Data'!Q126</f>
        <v>1050</v>
      </c>
      <c r="H128" s="18">
        <f>INDEX('Industry Stats'!$F$2:$F$49,MATCH($C128,'Industry Stats'!$A$2:$A$49,0))</f>
        <v>866.91071428571433</v>
      </c>
      <c r="I128" s="19">
        <f t="shared" si="11"/>
        <v>183.08928571428567</v>
      </c>
      <c r="J128" s="20">
        <f t="shared" si="12"/>
        <v>0.2111973963375697</v>
      </c>
      <c r="K128" s="18">
        <f>INDEX('Industry Stats'!$C$2:$C$49,MATCH($C128,'Industry Stats'!$A$2:$A$49,0))</f>
        <v>306.53571428571428</v>
      </c>
      <c r="L128" s="19">
        <f t="shared" si="13"/>
        <v>108.46428571428572</v>
      </c>
      <c r="M128" s="18">
        <f>INDEX('Industry Stats'!$D$2:$D$49,MATCH($C128,'Industry Stats'!$A$2:$A$49,0))</f>
        <v>268.85714285714283</v>
      </c>
      <c r="N128" s="19">
        <f t="shared" si="14"/>
        <v>33.142857142857167</v>
      </c>
      <c r="O128" s="18">
        <f>INDEX('Industry Stats'!$E$2:$E$49,MATCH($C128,'Industry Stats'!$A$2:$A$49,0))</f>
        <v>291.51785714285717</v>
      </c>
      <c r="P128" s="19">
        <f t="shared" si="15"/>
        <v>41.482142857142833</v>
      </c>
      <c r="R128">
        <f t="shared" si="16"/>
        <v>1050.0009872000001</v>
      </c>
      <c r="S128">
        <f t="shared" si="17"/>
        <v>415.0009872</v>
      </c>
      <c r="T128">
        <f t="shared" si="18"/>
        <v>302.0009872</v>
      </c>
      <c r="U128">
        <f t="shared" si="19"/>
        <v>333.0009872</v>
      </c>
      <c r="V128">
        <f t="shared" si="20"/>
        <v>183.09027291428566</v>
      </c>
      <c r="W128">
        <f t="shared" si="21"/>
        <v>-183.08829851428567</v>
      </c>
    </row>
    <row r="129" spans="1:23" ht="15" customHeight="1" x14ac:dyDescent="0.35">
      <c r="A129" t="str">
        <f>'Raw Data'!B127</f>
        <v>Alimera Sciences Inc</v>
      </c>
      <c r="B129" t="str">
        <f>'Raw Data'!A127</f>
        <v>alim</v>
      </c>
      <c r="C129" t="str">
        <f>IF('Raw Data'!E127="N/A","Unclassified",TRIM(SUBSTITUTE('Raw Data'!E127," and "," &amp; ")))</f>
        <v>Pharmaceuticals</v>
      </c>
      <c r="D129" s="17">
        <f>'Raw Data'!N127</f>
        <v>220</v>
      </c>
      <c r="E129" s="17">
        <f>'Raw Data'!O127</f>
        <v>228</v>
      </c>
      <c r="F129" s="17">
        <f>'Raw Data'!P127</f>
        <v>243</v>
      </c>
      <c r="G129" s="17">
        <f>'Raw Data'!Q127</f>
        <v>691</v>
      </c>
      <c r="H129" s="18">
        <f>INDEX('Industry Stats'!$F$2:$F$49,MATCH($C129,'Industry Stats'!$A$2:$A$49,0))</f>
        <v>903.66666666666663</v>
      </c>
      <c r="I129" s="19">
        <f t="shared" si="11"/>
        <v>-212.66666666666663</v>
      </c>
      <c r="J129" s="20">
        <f t="shared" si="12"/>
        <v>-0.2353375138325341</v>
      </c>
      <c r="K129" s="18">
        <f>INDEX('Industry Stats'!$C$2:$C$49,MATCH($C129,'Industry Stats'!$A$2:$A$49,0))</f>
        <v>360.04761904761904</v>
      </c>
      <c r="L129" s="19">
        <f t="shared" si="13"/>
        <v>-140.04761904761904</v>
      </c>
      <c r="M129" s="18">
        <f>INDEX('Industry Stats'!$D$2:$D$49,MATCH($C129,'Industry Stats'!$A$2:$A$49,0))</f>
        <v>269.66666666666669</v>
      </c>
      <c r="N129" s="19">
        <f t="shared" si="14"/>
        <v>-41.666666666666686</v>
      </c>
      <c r="O129" s="18">
        <f>INDEX('Industry Stats'!$E$2:$E$49,MATCH($C129,'Industry Stats'!$A$2:$A$49,0))</f>
        <v>273.95238095238096</v>
      </c>
      <c r="P129" s="19">
        <f t="shared" si="15"/>
        <v>-30.952380952380963</v>
      </c>
      <c r="R129">
        <f t="shared" si="16"/>
        <v>691.00098709999997</v>
      </c>
      <c r="S129">
        <f t="shared" si="17"/>
        <v>220.0009871</v>
      </c>
      <c r="T129">
        <f t="shared" si="18"/>
        <v>228.0009871</v>
      </c>
      <c r="U129">
        <f t="shared" si="19"/>
        <v>243.0009871</v>
      </c>
      <c r="V129">
        <f t="shared" si="20"/>
        <v>-212.66567956666663</v>
      </c>
      <c r="W129">
        <f t="shared" si="21"/>
        <v>212.66765376666663</v>
      </c>
    </row>
    <row r="130" spans="1:23" ht="15" customHeight="1" x14ac:dyDescent="0.35">
      <c r="A130" t="str">
        <f>'Raw Data'!B128</f>
        <v>Allegiant Travel Co</v>
      </c>
      <c r="B130" t="str">
        <f>'Raw Data'!A128</f>
        <v>algt</v>
      </c>
      <c r="C130" t="str">
        <f>IF('Raw Data'!E128="N/A","Unclassified",TRIM(SUBSTITUTE('Raw Data'!E128," and "," &amp; ")))</f>
        <v>Airlines</v>
      </c>
      <c r="D130" s="17">
        <f>'Raw Data'!N128</f>
        <v>287</v>
      </c>
      <c r="E130" s="17">
        <f>'Raw Data'!O128</f>
        <v>208</v>
      </c>
      <c r="F130" s="17">
        <f>'Raw Data'!P128</f>
        <v>248</v>
      </c>
      <c r="G130" s="17">
        <f>'Raw Data'!Q128</f>
        <v>743</v>
      </c>
      <c r="H130" s="18">
        <f>INDEX('Industry Stats'!$F$2:$F$49,MATCH($C130,'Industry Stats'!$A$2:$A$49,0))</f>
        <v>838.71428571428567</v>
      </c>
      <c r="I130" s="19">
        <f t="shared" si="11"/>
        <v>-95.714285714285666</v>
      </c>
      <c r="J130" s="20">
        <f t="shared" si="12"/>
        <v>-0.11412025208652694</v>
      </c>
      <c r="K130" s="18">
        <f>INDEX('Industry Stats'!$C$2:$C$49,MATCH($C130,'Industry Stats'!$A$2:$A$49,0))</f>
        <v>326.71428571428572</v>
      </c>
      <c r="L130" s="19">
        <f t="shared" si="13"/>
        <v>-39.714285714285722</v>
      </c>
      <c r="M130" s="18">
        <f>INDEX('Industry Stats'!$D$2:$D$49,MATCH($C130,'Industry Stats'!$A$2:$A$49,0))</f>
        <v>265.71428571428572</v>
      </c>
      <c r="N130" s="19">
        <f t="shared" si="14"/>
        <v>-57.714285714285722</v>
      </c>
      <c r="O130" s="18">
        <f>INDEX('Industry Stats'!$E$2:$E$49,MATCH($C130,'Industry Stats'!$A$2:$A$49,0))</f>
        <v>246.28571428571428</v>
      </c>
      <c r="P130" s="19">
        <f t="shared" si="15"/>
        <v>1.7142857142857224</v>
      </c>
      <c r="R130">
        <f t="shared" si="16"/>
        <v>743.00098700000001</v>
      </c>
      <c r="S130">
        <f t="shared" si="17"/>
        <v>287.00098700000001</v>
      </c>
      <c r="T130">
        <f t="shared" si="18"/>
        <v>208.00098700000001</v>
      </c>
      <c r="U130">
        <f t="shared" si="19"/>
        <v>248.00098700000001</v>
      </c>
      <c r="V130">
        <f t="shared" si="20"/>
        <v>-95.713298714285671</v>
      </c>
      <c r="W130">
        <f t="shared" si="21"/>
        <v>95.715272714285661</v>
      </c>
    </row>
    <row r="131" spans="1:23" ht="15" customHeight="1" x14ac:dyDescent="0.35">
      <c r="A131" t="str">
        <f>'Raw Data'!B129</f>
        <v>Aesthetic Medical International Holdings Group Ltd</v>
      </c>
      <c r="B131" t="str">
        <f>'Raw Data'!A129</f>
        <v>aih</v>
      </c>
      <c r="C131" t="str">
        <f>IF('Raw Data'!E129="N/A","Unclassified",TRIM(SUBSTITUTE('Raw Data'!E129," and "," &amp; ")))</f>
        <v>Health Care</v>
      </c>
      <c r="D131" s="17">
        <f>'Raw Data'!N129</f>
        <v>220</v>
      </c>
      <c r="E131" s="17">
        <f>'Raw Data'!O129</f>
        <v>250</v>
      </c>
      <c r="F131" s="17">
        <f>'Raw Data'!P129</f>
        <v>300</v>
      </c>
      <c r="G131" s="17">
        <f>'Raw Data'!Q129</f>
        <v>770</v>
      </c>
      <c r="H131" s="18">
        <f>INDEX('Industry Stats'!$F$2:$F$49,MATCH($C131,'Industry Stats'!$A$2:$A$49,0))</f>
        <v>938.76470588235293</v>
      </c>
      <c r="I131" s="19">
        <f t="shared" si="11"/>
        <v>-168.76470588235293</v>
      </c>
      <c r="J131" s="20">
        <f t="shared" si="12"/>
        <v>-0.17977316874490881</v>
      </c>
      <c r="K131" s="18">
        <f>INDEX('Industry Stats'!$C$2:$C$49,MATCH($C131,'Industry Stats'!$A$2:$A$49,0))</f>
        <v>374.52941176470586</v>
      </c>
      <c r="L131" s="19">
        <f t="shared" si="13"/>
        <v>-154.52941176470586</v>
      </c>
      <c r="M131" s="18">
        <f>INDEX('Industry Stats'!$D$2:$D$49,MATCH($C131,'Industry Stats'!$A$2:$A$49,0))</f>
        <v>287.43137254901961</v>
      </c>
      <c r="N131" s="19">
        <f t="shared" si="14"/>
        <v>-37.431372549019613</v>
      </c>
      <c r="O131" s="18">
        <f>INDEX('Industry Stats'!$E$2:$E$49,MATCH($C131,'Industry Stats'!$A$2:$A$49,0))</f>
        <v>276.80392156862746</v>
      </c>
      <c r="P131" s="19">
        <f t="shared" si="15"/>
        <v>23.196078431372541</v>
      </c>
      <c r="R131">
        <f t="shared" si="16"/>
        <v>770.00098690000004</v>
      </c>
      <c r="S131">
        <f t="shared" si="17"/>
        <v>220.00098689999999</v>
      </c>
      <c r="T131">
        <f t="shared" si="18"/>
        <v>250.00098689999999</v>
      </c>
      <c r="U131">
        <f t="shared" si="19"/>
        <v>300.00098689999999</v>
      </c>
      <c r="V131">
        <f t="shared" si="20"/>
        <v>-168.76371898235294</v>
      </c>
      <c r="W131">
        <f t="shared" si="21"/>
        <v>168.76569278235291</v>
      </c>
    </row>
    <row r="132" spans="1:23" ht="15" customHeight="1" x14ac:dyDescent="0.35">
      <c r="A132" t="str">
        <f>'Raw Data'!B130</f>
        <v>Alkami Technology Inc</v>
      </c>
      <c r="B132" t="str">
        <f>'Raw Data'!A130</f>
        <v>alkt</v>
      </c>
      <c r="C132" t="str">
        <f>IF('Raw Data'!E130="N/A","Unclassified",TRIM(SUBSTITUTE('Raw Data'!E130," and "," &amp; ")))</f>
        <v>Technology</v>
      </c>
      <c r="D132" s="17">
        <f>'Raw Data'!N130</f>
        <v>280</v>
      </c>
      <c r="E132" s="17">
        <f>'Raw Data'!O130</f>
        <v>305</v>
      </c>
      <c r="F132" s="17">
        <f>'Raw Data'!P130</f>
        <v>260</v>
      </c>
      <c r="G132" s="17">
        <f>'Raw Data'!Q130</f>
        <v>845</v>
      </c>
      <c r="H132" s="18">
        <f>INDEX('Industry Stats'!$F$2:$F$49,MATCH($C132,'Industry Stats'!$A$2:$A$49,0))</f>
        <v>1031.3174603174602</v>
      </c>
      <c r="I132" s="19">
        <f t="shared" ref="I132:I195" si="22">G132-H132</f>
        <v>-186.31746031746025</v>
      </c>
      <c r="J132" s="20">
        <f t="shared" ref="J132:J195" si="23">I132/H132</f>
        <v>-0.1806596586274298</v>
      </c>
      <c r="K132" s="18">
        <f>INDEX('Industry Stats'!$C$2:$C$49,MATCH($C132,'Industry Stats'!$A$2:$A$49,0))</f>
        <v>438.11111111111109</v>
      </c>
      <c r="L132" s="19">
        <f t="shared" ref="L132:L195" si="24">D132-K132</f>
        <v>-158.11111111111109</v>
      </c>
      <c r="M132" s="18">
        <f>INDEX('Industry Stats'!$D$2:$D$49,MATCH($C132,'Industry Stats'!$A$2:$A$49,0))</f>
        <v>307.90476190476193</v>
      </c>
      <c r="N132" s="19">
        <f t="shared" ref="N132:N195" si="25">E132-M132</f>
        <v>-2.9047619047619264</v>
      </c>
      <c r="O132" s="18">
        <f>INDEX('Industry Stats'!$E$2:$E$49,MATCH($C132,'Industry Stats'!$A$2:$A$49,0))</f>
        <v>285.30158730158729</v>
      </c>
      <c r="P132" s="19">
        <f t="shared" ref="P132:P195" si="26">F132-O132</f>
        <v>-25.30158730158729</v>
      </c>
      <c r="R132">
        <f t="shared" ref="R132:R195" si="27">G132+(10000-ROW())/10000000</f>
        <v>845.00098679999996</v>
      </c>
      <c r="S132">
        <f t="shared" ref="S132:S195" si="28">D132+(10000-ROW())/10000000</f>
        <v>280.00098680000002</v>
      </c>
      <c r="T132">
        <f t="shared" ref="T132:T195" si="29">E132+(10000-ROW())/10000000</f>
        <v>305.00098680000002</v>
      </c>
      <c r="U132">
        <f t="shared" ref="U132:U195" si="30">F132+(10000-ROW())/10000000</f>
        <v>260.00098680000002</v>
      </c>
      <c r="V132">
        <f t="shared" ref="V132:V195" si="31">I132+(10000-ROW())/10000000</f>
        <v>-186.31647351746025</v>
      </c>
      <c r="W132">
        <f t="shared" ref="W132:W195" si="32">-I132+(10000-ROW())/10000000</f>
        <v>186.31844711746024</v>
      </c>
    </row>
    <row r="133" spans="1:23" ht="15" customHeight="1" x14ac:dyDescent="0.35">
      <c r="A133" t="str">
        <f>'Raw Data'!B131</f>
        <v>Alnylam Pharmaceuticals Inc</v>
      </c>
      <c r="B133" t="str">
        <f>'Raw Data'!A131</f>
        <v>alny</v>
      </c>
      <c r="C133" t="str">
        <f>IF('Raw Data'!E131="N/A","Unclassified",TRIM(SUBSTITUTE('Raw Data'!E131," and "," &amp; ")))</f>
        <v>Biotechnology</v>
      </c>
      <c r="D133" s="17">
        <f>'Raw Data'!N131</f>
        <v>331</v>
      </c>
      <c r="E133" s="17">
        <f>'Raw Data'!O131</f>
        <v>346</v>
      </c>
      <c r="F133" s="17">
        <f>'Raw Data'!P131</f>
        <v>325</v>
      </c>
      <c r="G133" s="17">
        <f>'Raw Data'!Q131</f>
        <v>1002</v>
      </c>
      <c r="H133" s="18">
        <f>INDEX('Industry Stats'!$F$2:$F$49,MATCH($C133,'Industry Stats'!$A$2:$A$49,0))</f>
        <v>866.91071428571433</v>
      </c>
      <c r="I133" s="19">
        <f t="shared" si="22"/>
        <v>135.08928571428567</v>
      </c>
      <c r="J133" s="20">
        <f t="shared" si="23"/>
        <v>0.15582837250499509</v>
      </c>
      <c r="K133" s="18">
        <f>INDEX('Industry Stats'!$C$2:$C$49,MATCH($C133,'Industry Stats'!$A$2:$A$49,0))</f>
        <v>306.53571428571428</v>
      </c>
      <c r="L133" s="19">
        <f t="shared" si="24"/>
        <v>24.464285714285722</v>
      </c>
      <c r="M133" s="18">
        <f>INDEX('Industry Stats'!$D$2:$D$49,MATCH($C133,'Industry Stats'!$A$2:$A$49,0))</f>
        <v>268.85714285714283</v>
      </c>
      <c r="N133" s="19">
        <f t="shared" si="25"/>
        <v>77.142857142857167</v>
      </c>
      <c r="O133" s="18">
        <f>INDEX('Industry Stats'!$E$2:$E$49,MATCH($C133,'Industry Stats'!$A$2:$A$49,0))</f>
        <v>291.51785714285717</v>
      </c>
      <c r="P133" s="19">
        <f t="shared" si="26"/>
        <v>33.482142857142833</v>
      </c>
      <c r="R133">
        <f t="shared" si="27"/>
        <v>1002.0009867</v>
      </c>
      <c r="S133">
        <f t="shared" si="28"/>
        <v>331.0009867</v>
      </c>
      <c r="T133">
        <f t="shared" si="29"/>
        <v>346.0009867</v>
      </c>
      <c r="U133">
        <f t="shared" si="30"/>
        <v>325.0009867</v>
      </c>
      <c r="V133">
        <f t="shared" si="31"/>
        <v>135.09027241428566</v>
      </c>
      <c r="W133">
        <f t="shared" si="32"/>
        <v>-135.08829901428567</v>
      </c>
    </row>
    <row r="134" spans="1:23" ht="15" customHeight="1" x14ac:dyDescent="0.35">
      <c r="A134" t="str">
        <f>'Raw Data'!B132</f>
        <v>Allot Ltd</v>
      </c>
      <c r="B134" t="str">
        <f>'Raw Data'!A132</f>
        <v>allt</v>
      </c>
      <c r="C134" t="str">
        <f>IF('Raw Data'!E132="N/A","Unclassified",TRIM(SUBSTITUTE('Raw Data'!E132," and "," &amp; ")))</f>
        <v>Technology</v>
      </c>
      <c r="D134" s="17">
        <f>'Raw Data'!N132</f>
        <v>508</v>
      </c>
      <c r="E134" s="17">
        <f>'Raw Data'!O132</f>
        <v>324</v>
      </c>
      <c r="F134" s="17">
        <f>'Raw Data'!P132</f>
        <v>310</v>
      </c>
      <c r="G134" s="17">
        <f>'Raw Data'!Q132</f>
        <v>1142</v>
      </c>
      <c r="H134" s="18">
        <f>INDEX('Industry Stats'!$F$2:$F$49,MATCH($C134,'Industry Stats'!$A$2:$A$49,0))</f>
        <v>1031.3174603174602</v>
      </c>
      <c r="I134" s="19">
        <f t="shared" si="22"/>
        <v>110.68253968253975</v>
      </c>
      <c r="J134" s="20">
        <f t="shared" si="23"/>
        <v>0.10732150277807713</v>
      </c>
      <c r="K134" s="18">
        <f>INDEX('Industry Stats'!$C$2:$C$49,MATCH($C134,'Industry Stats'!$A$2:$A$49,0))</f>
        <v>438.11111111111109</v>
      </c>
      <c r="L134" s="19">
        <f t="shared" si="24"/>
        <v>69.888888888888914</v>
      </c>
      <c r="M134" s="18">
        <f>INDEX('Industry Stats'!$D$2:$D$49,MATCH($C134,'Industry Stats'!$A$2:$A$49,0))</f>
        <v>307.90476190476193</v>
      </c>
      <c r="N134" s="19">
        <f t="shared" si="25"/>
        <v>16.095238095238074</v>
      </c>
      <c r="O134" s="18">
        <f>INDEX('Industry Stats'!$E$2:$E$49,MATCH($C134,'Industry Stats'!$A$2:$A$49,0))</f>
        <v>285.30158730158729</v>
      </c>
      <c r="P134" s="19">
        <f t="shared" si="26"/>
        <v>24.69841269841271</v>
      </c>
      <c r="R134">
        <f t="shared" si="27"/>
        <v>1142.0009866</v>
      </c>
      <c r="S134">
        <f t="shared" si="28"/>
        <v>508.00098659999998</v>
      </c>
      <c r="T134">
        <f t="shared" si="29"/>
        <v>324.00098659999998</v>
      </c>
      <c r="U134">
        <f t="shared" si="30"/>
        <v>310.00098659999998</v>
      </c>
      <c r="V134">
        <f t="shared" si="31"/>
        <v>110.68352628253976</v>
      </c>
      <c r="W134">
        <f t="shared" si="32"/>
        <v>-110.68155308253975</v>
      </c>
    </row>
    <row r="135" spans="1:23" ht="15" customHeight="1" x14ac:dyDescent="0.35">
      <c r="A135" t="str">
        <f>'Raw Data'!B133</f>
        <v>Allogene Therapeutics Inc</v>
      </c>
      <c r="B135" t="str">
        <f>'Raw Data'!A133</f>
        <v>allo</v>
      </c>
      <c r="C135" t="str">
        <f>IF('Raw Data'!E133="N/A","Unclassified",TRIM(SUBSTITUTE('Raw Data'!E133," and "," &amp; ")))</f>
        <v>Biotechnology</v>
      </c>
      <c r="D135" s="17">
        <f>'Raw Data'!N133</f>
        <v>535</v>
      </c>
      <c r="E135" s="17">
        <f>'Raw Data'!O133</f>
        <v>324</v>
      </c>
      <c r="F135" s="17">
        <f>'Raw Data'!P133</f>
        <v>305</v>
      </c>
      <c r="G135" s="17">
        <f>'Raw Data'!Q133</f>
        <v>1164</v>
      </c>
      <c r="H135" s="18">
        <f>INDEX('Industry Stats'!$F$2:$F$49,MATCH($C135,'Industry Stats'!$A$2:$A$49,0))</f>
        <v>866.91071428571433</v>
      </c>
      <c r="I135" s="19">
        <f t="shared" si="22"/>
        <v>297.08928571428567</v>
      </c>
      <c r="J135" s="20">
        <f t="shared" si="23"/>
        <v>0.34269882793993445</v>
      </c>
      <c r="K135" s="18">
        <f>INDEX('Industry Stats'!$C$2:$C$49,MATCH($C135,'Industry Stats'!$A$2:$A$49,0))</f>
        <v>306.53571428571428</v>
      </c>
      <c r="L135" s="19">
        <f t="shared" si="24"/>
        <v>228.46428571428572</v>
      </c>
      <c r="M135" s="18">
        <f>INDEX('Industry Stats'!$D$2:$D$49,MATCH($C135,'Industry Stats'!$A$2:$A$49,0))</f>
        <v>268.85714285714283</v>
      </c>
      <c r="N135" s="19">
        <f t="shared" si="25"/>
        <v>55.142857142857167</v>
      </c>
      <c r="O135" s="18">
        <f>INDEX('Industry Stats'!$E$2:$E$49,MATCH($C135,'Industry Stats'!$A$2:$A$49,0))</f>
        <v>291.51785714285717</v>
      </c>
      <c r="P135" s="19">
        <f t="shared" si="26"/>
        <v>13.482142857142833</v>
      </c>
      <c r="R135">
        <f t="shared" si="27"/>
        <v>1164.0009865</v>
      </c>
      <c r="S135">
        <f t="shared" si="28"/>
        <v>535.00098649999995</v>
      </c>
      <c r="T135">
        <f t="shared" si="29"/>
        <v>324.00098650000001</v>
      </c>
      <c r="U135">
        <f t="shared" si="30"/>
        <v>305.00098650000001</v>
      </c>
      <c r="V135">
        <f t="shared" si="31"/>
        <v>297.09027221428568</v>
      </c>
      <c r="W135">
        <f t="shared" si="32"/>
        <v>-297.08829921428566</v>
      </c>
    </row>
    <row r="136" spans="1:23" ht="15" customHeight="1" x14ac:dyDescent="0.35">
      <c r="A136" t="str">
        <f>'Raw Data'!B134</f>
        <v>Applied Materials Inc</v>
      </c>
      <c r="B136" t="str">
        <f>'Raw Data'!A134</f>
        <v>amat</v>
      </c>
      <c r="C136" t="str">
        <f>IF('Raw Data'!E134="N/A","Unclassified",TRIM(SUBSTITUTE('Raw Data'!E134," and "," &amp; ")))</f>
        <v>Semiconductors</v>
      </c>
      <c r="D136" s="17">
        <f>'Raw Data'!N134</f>
        <v>525</v>
      </c>
      <c r="E136" s="17">
        <f>'Raw Data'!O134</f>
        <v>317</v>
      </c>
      <c r="F136" s="17">
        <f>'Raw Data'!P134</f>
        <v>300</v>
      </c>
      <c r="G136" s="17">
        <f>'Raw Data'!Q134</f>
        <v>1142</v>
      </c>
      <c r="H136" s="18">
        <f>INDEX('Industry Stats'!$F$2:$F$49,MATCH($C136,'Industry Stats'!$A$2:$A$49,0))</f>
        <v>1030.5833333333333</v>
      </c>
      <c r="I136" s="19">
        <f t="shared" si="22"/>
        <v>111.41666666666674</v>
      </c>
      <c r="J136" s="20">
        <f t="shared" si="23"/>
        <v>0.10811029352308571</v>
      </c>
      <c r="K136" s="18">
        <f>INDEX('Industry Stats'!$C$2:$C$49,MATCH($C136,'Industry Stats'!$A$2:$A$49,0))</f>
        <v>448.45833333333331</v>
      </c>
      <c r="L136" s="19">
        <f t="shared" si="24"/>
        <v>76.541666666666686</v>
      </c>
      <c r="M136" s="18">
        <f>INDEX('Industry Stats'!$D$2:$D$49,MATCH($C136,'Industry Stats'!$A$2:$A$49,0))</f>
        <v>296.70833333333331</v>
      </c>
      <c r="N136" s="19">
        <f t="shared" si="25"/>
        <v>20.291666666666686</v>
      </c>
      <c r="O136" s="18">
        <f>INDEX('Industry Stats'!$E$2:$E$49,MATCH($C136,'Industry Stats'!$A$2:$A$49,0))</f>
        <v>285.41666666666669</v>
      </c>
      <c r="P136" s="19">
        <f t="shared" si="26"/>
        <v>14.583333333333314</v>
      </c>
      <c r="R136">
        <f t="shared" si="27"/>
        <v>1142.0009864000001</v>
      </c>
      <c r="S136">
        <f t="shared" si="28"/>
        <v>525.00098639999999</v>
      </c>
      <c r="T136">
        <f t="shared" si="29"/>
        <v>317.00098639999999</v>
      </c>
      <c r="U136">
        <f t="shared" si="30"/>
        <v>300.00098639999999</v>
      </c>
      <c r="V136">
        <f t="shared" si="31"/>
        <v>111.41765306666674</v>
      </c>
      <c r="W136">
        <f t="shared" si="32"/>
        <v>-111.41568026666674</v>
      </c>
    </row>
    <row r="137" spans="1:23" ht="15" customHeight="1" x14ac:dyDescent="0.35">
      <c r="A137" t="str">
        <f>'Raw Data'!B135</f>
        <v>Advanced Micro Devices Inc</v>
      </c>
      <c r="B137" t="str">
        <f>'Raw Data'!A135</f>
        <v>amd</v>
      </c>
      <c r="C137" t="str">
        <f>IF('Raw Data'!E135="N/A","Unclassified",TRIM(SUBSTITUTE('Raw Data'!E135," and "," &amp; ")))</f>
        <v>Semiconductors</v>
      </c>
      <c r="D137" s="17">
        <f>'Raw Data'!N135</f>
        <v>200</v>
      </c>
      <c r="E137" s="17">
        <f>'Raw Data'!O135</f>
        <v>208</v>
      </c>
      <c r="F137" s="17">
        <f>'Raw Data'!P135</f>
        <v>200</v>
      </c>
      <c r="G137" s="17">
        <f>'Raw Data'!Q135</f>
        <v>608</v>
      </c>
      <c r="H137" s="18">
        <f>INDEX('Industry Stats'!$F$2:$F$49,MATCH($C137,'Industry Stats'!$A$2:$A$49,0))</f>
        <v>1030.5833333333333</v>
      </c>
      <c r="I137" s="19">
        <f t="shared" si="22"/>
        <v>-422.58333333333326</v>
      </c>
      <c r="J137" s="20">
        <f t="shared" si="23"/>
        <v>-0.41004285598770918</v>
      </c>
      <c r="K137" s="18">
        <f>INDEX('Industry Stats'!$C$2:$C$49,MATCH($C137,'Industry Stats'!$A$2:$A$49,0))</f>
        <v>448.45833333333331</v>
      </c>
      <c r="L137" s="19">
        <f t="shared" si="24"/>
        <v>-248.45833333333331</v>
      </c>
      <c r="M137" s="18">
        <f>INDEX('Industry Stats'!$D$2:$D$49,MATCH($C137,'Industry Stats'!$A$2:$A$49,0))</f>
        <v>296.70833333333331</v>
      </c>
      <c r="N137" s="19">
        <f t="shared" si="25"/>
        <v>-88.708333333333314</v>
      </c>
      <c r="O137" s="18">
        <f>INDEX('Industry Stats'!$E$2:$E$49,MATCH($C137,'Industry Stats'!$A$2:$A$49,0))</f>
        <v>285.41666666666669</v>
      </c>
      <c r="P137" s="19">
        <f t="shared" si="26"/>
        <v>-85.416666666666686</v>
      </c>
      <c r="R137">
        <f t="shared" si="27"/>
        <v>608.00098630000002</v>
      </c>
      <c r="S137">
        <f t="shared" si="28"/>
        <v>200.00098629999999</v>
      </c>
      <c r="T137">
        <f t="shared" si="29"/>
        <v>208.00098629999999</v>
      </c>
      <c r="U137">
        <f t="shared" si="30"/>
        <v>200.00098629999999</v>
      </c>
      <c r="V137">
        <f t="shared" si="31"/>
        <v>-422.58234703333324</v>
      </c>
      <c r="W137">
        <f t="shared" si="32"/>
        <v>422.58431963333328</v>
      </c>
    </row>
    <row r="138" spans="1:23" ht="15" customHeight="1" x14ac:dyDescent="0.35">
      <c r="A138" t="str">
        <f>'Raw Data'!B136</f>
        <v>Activision Blizzard Inc</v>
      </c>
      <c r="B138" t="str">
        <f>'Raw Data'!A136</f>
        <v>atvi</v>
      </c>
      <c r="C138" t="str">
        <f>IF('Raw Data'!E136="N/A","Unclassified",TRIM(SUBSTITUTE('Raw Data'!E136," and "," &amp; ")))</f>
        <v>Media</v>
      </c>
      <c r="D138" s="17">
        <f>'Raw Data'!N136</f>
        <v>280</v>
      </c>
      <c r="E138" s="17">
        <f>'Raw Data'!O136</f>
        <v>347</v>
      </c>
      <c r="F138" s="17">
        <f>'Raw Data'!P136</f>
        <v>330</v>
      </c>
      <c r="G138" s="17">
        <f>'Raw Data'!Q136</f>
        <v>957</v>
      </c>
      <c r="H138" s="18">
        <f>INDEX('Industry Stats'!$F$2:$F$49,MATCH($C138,'Industry Stats'!$A$2:$A$49,0))</f>
        <v>935.26086956521738</v>
      </c>
      <c r="I138" s="19">
        <f t="shared" si="22"/>
        <v>21.739130434782624</v>
      </c>
      <c r="J138" s="20">
        <f t="shared" si="23"/>
        <v>2.324392171447168E-2</v>
      </c>
      <c r="K138" s="18">
        <f>INDEX('Industry Stats'!$C$2:$C$49,MATCH($C138,'Industry Stats'!$A$2:$A$49,0))</f>
        <v>346.91304347826087</v>
      </c>
      <c r="L138" s="19">
        <f t="shared" si="24"/>
        <v>-66.913043478260875</v>
      </c>
      <c r="M138" s="18">
        <f>INDEX('Industry Stats'!$D$2:$D$49,MATCH($C138,'Industry Stats'!$A$2:$A$49,0))</f>
        <v>313</v>
      </c>
      <c r="N138" s="19">
        <f t="shared" si="25"/>
        <v>34</v>
      </c>
      <c r="O138" s="18">
        <f>INDEX('Industry Stats'!$E$2:$E$49,MATCH($C138,'Industry Stats'!$A$2:$A$49,0))</f>
        <v>275.3478260869565</v>
      </c>
      <c r="P138" s="19">
        <f t="shared" si="26"/>
        <v>54.652173913043498</v>
      </c>
      <c r="R138">
        <f t="shared" si="27"/>
        <v>957.00098620000006</v>
      </c>
      <c r="S138">
        <f t="shared" si="28"/>
        <v>280.0009862</v>
      </c>
      <c r="T138">
        <f t="shared" si="29"/>
        <v>347.0009862</v>
      </c>
      <c r="U138">
        <f t="shared" si="30"/>
        <v>330.0009862</v>
      </c>
      <c r="V138">
        <f t="shared" si="31"/>
        <v>21.740116634782623</v>
      </c>
      <c r="W138">
        <f t="shared" si="32"/>
        <v>-21.738144234782624</v>
      </c>
    </row>
    <row r="139" spans="1:23" ht="15" customHeight="1" x14ac:dyDescent="0.35">
      <c r="A139" t="str">
        <f>'Raw Data'!B137</f>
        <v>Broadcom Inc</v>
      </c>
      <c r="B139" t="str">
        <f>'Raw Data'!A137</f>
        <v>avgo</v>
      </c>
      <c r="C139" t="str">
        <f>IF('Raw Data'!E137="N/A","Unclassified",TRIM(SUBSTITUTE('Raw Data'!E137," and "," &amp; ")))</f>
        <v>Semiconductors</v>
      </c>
      <c r="D139" s="17">
        <f>'Raw Data'!N137</f>
        <v>210</v>
      </c>
      <c r="E139" s="17">
        <f>'Raw Data'!O137</f>
        <v>212</v>
      </c>
      <c r="F139" s="17">
        <f>'Raw Data'!P137</f>
        <v>200</v>
      </c>
      <c r="G139" s="17">
        <f>'Raw Data'!Q137</f>
        <v>622</v>
      </c>
      <c r="H139" s="18">
        <f>INDEX('Industry Stats'!$F$2:$F$49,MATCH($C139,'Industry Stats'!$A$2:$A$49,0))</f>
        <v>1030.5833333333333</v>
      </c>
      <c r="I139" s="19">
        <f t="shared" si="22"/>
        <v>-408.58333333333326</v>
      </c>
      <c r="J139" s="20">
        <f t="shared" si="23"/>
        <v>-0.39645831648742619</v>
      </c>
      <c r="K139" s="18">
        <f>INDEX('Industry Stats'!$C$2:$C$49,MATCH($C139,'Industry Stats'!$A$2:$A$49,0))</f>
        <v>448.45833333333331</v>
      </c>
      <c r="L139" s="19">
        <f t="shared" si="24"/>
        <v>-238.45833333333331</v>
      </c>
      <c r="M139" s="18">
        <f>INDEX('Industry Stats'!$D$2:$D$49,MATCH($C139,'Industry Stats'!$A$2:$A$49,0))</f>
        <v>296.70833333333331</v>
      </c>
      <c r="N139" s="19">
        <f t="shared" si="25"/>
        <v>-84.708333333333314</v>
      </c>
      <c r="O139" s="18">
        <f>INDEX('Industry Stats'!$E$2:$E$49,MATCH($C139,'Industry Stats'!$A$2:$A$49,0))</f>
        <v>285.41666666666669</v>
      </c>
      <c r="P139" s="19">
        <f t="shared" si="26"/>
        <v>-85.416666666666686</v>
      </c>
      <c r="R139">
        <f t="shared" si="27"/>
        <v>622.00098609999998</v>
      </c>
      <c r="S139">
        <f t="shared" si="28"/>
        <v>210.00098610000001</v>
      </c>
      <c r="T139">
        <f t="shared" si="29"/>
        <v>212.00098610000001</v>
      </c>
      <c r="U139">
        <f t="shared" si="30"/>
        <v>200.00098610000001</v>
      </c>
      <c r="V139">
        <f t="shared" si="31"/>
        <v>-408.58234723333328</v>
      </c>
      <c r="W139">
        <f t="shared" si="32"/>
        <v>408.58431943333323</v>
      </c>
    </row>
    <row r="140" spans="1:23" ht="15" customHeight="1" x14ac:dyDescent="0.35">
      <c r="A140" t="str">
        <f>'Raw Data'!B138</f>
        <v>ANSYS Inc</v>
      </c>
      <c r="B140" t="str">
        <f>'Raw Data'!A138</f>
        <v>anss</v>
      </c>
      <c r="C140" t="str">
        <f>IF('Raw Data'!E138="N/A","Unclassified",TRIM(SUBSTITUTE('Raw Data'!E138," and "," &amp; ")))</f>
        <v>Technology</v>
      </c>
      <c r="D140" s="17">
        <f>'Raw Data'!N138</f>
        <v>580</v>
      </c>
      <c r="E140" s="17">
        <f>'Raw Data'!O138</f>
        <v>337</v>
      </c>
      <c r="F140" s="17">
        <f>'Raw Data'!P138</f>
        <v>285</v>
      </c>
      <c r="G140" s="17">
        <f>'Raw Data'!Q138</f>
        <v>1202</v>
      </c>
      <c r="H140" s="18">
        <f>INDEX('Industry Stats'!$F$2:$F$49,MATCH($C140,'Industry Stats'!$A$2:$A$49,0))</f>
        <v>1031.3174603174602</v>
      </c>
      <c r="I140" s="19">
        <f t="shared" si="22"/>
        <v>170.68253968253975</v>
      </c>
      <c r="J140" s="20">
        <f t="shared" si="23"/>
        <v>0.16549951518323003</v>
      </c>
      <c r="K140" s="18">
        <f>INDEX('Industry Stats'!$C$2:$C$49,MATCH($C140,'Industry Stats'!$A$2:$A$49,0))</f>
        <v>438.11111111111109</v>
      </c>
      <c r="L140" s="19">
        <f t="shared" si="24"/>
        <v>141.88888888888891</v>
      </c>
      <c r="M140" s="18">
        <f>INDEX('Industry Stats'!$D$2:$D$49,MATCH($C140,'Industry Stats'!$A$2:$A$49,0))</f>
        <v>307.90476190476193</v>
      </c>
      <c r="N140" s="19">
        <f t="shared" si="25"/>
        <v>29.095238095238074</v>
      </c>
      <c r="O140" s="18">
        <f>INDEX('Industry Stats'!$E$2:$E$49,MATCH($C140,'Industry Stats'!$A$2:$A$49,0))</f>
        <v>285.30158730158729</v>
      </c>
      <c r="P140" s="19">
        <f t="shared" si="26"/>
        <v>-0.30158730158728986</v>
      </c>
      <c r="R140">
        <f t="shared" si="27"/>
        <v>1202.000986</v>
      </c>
      <c r="S140">
        <f t="shared" si="28"/>
        <v>580.00098600000001</v>
      </c>
      <c r="T140">
        <f t="shared" si="29"/>
        <v>337.00098600000001</v>
      </c>
      <c r="U140">
        <f t="shared" si="30"/>
        <v>285.00098600000001</v>
      </c>
      <c r="V140">
        <f t="shared" si="31"/>
        <v>170.68352568253977</v>
      </c>
      <c r="W140">
        <f t="shared" si="32"/>
        <v>-170.68155368253974</v>
      </c>
    </row>
    <row r="141" spans="1:23" ht="15" customHeight="1" x14ac:dyDescent="0.35">
      <c r="A141" t="str">
        <f>'Raw Data'!B139</f>
        <v>Amazon.com Inc</v>
      </c>
      <c r="B141" t="str">
        <f>'Raw Data'!A139</f>
        <v>amzn</v>
      </c>
      <c r="C141" t="str">
        <f>IF('Raw Data'!E139="N/A","Unclassified",TRIM(SUBSTITUTE('Raw Data'!E139," and "," &amp; ")))</f>
        <v>Retail</v>
      </c>
      <c r="D141" s="17">
        <f>'Raw Data'!N139</f>
        <v>668</v>
      </c>
      <c r="E141" s="17">
        <f>'Raw Data'!O139</f>
        <v>305</v>
      </c>
      <c r="F141" s="17">
        <f>'Raw Data'!P139</f>
        <v>460</v>
      </c>
      <c r="G141" s="17">
        <f>'Raw Data'!Q139</f>
        <v>1433</v>
      </c>
      <c r="H141" s="18">
        <f>INDEX('Industry Stats'!$F$2:$F$49,MATCH($C141,'Industry Stats'!$A$2:$A$49,0))</f>
        <v>918.57692307692309</v>
      </c>
      <c r="I141" s="19">
        <f t="shared" si="22"/>
        <v>514.42307692307691</v>
      </c>
      <c r="J141" s="20">
        <f t="shared" si="23"/>
        <v>0.56002177280911103</v>
      </c>
      <c r="K141" s="18">
        <f>INDEX('Industry Stats'!$C$2:$C$49,MATCH($C141,'Industry Stats'!$A$2:$A$49,0))</f>
        <v>380.30769230769232</v>
      </c>
      <c r="L141" s="19">
        <f t="shared" si="24"/>
        <v>287.69230769230768</v>
      </c>
      <c r="M141" s="18">
        <f>INDEX('Industry Stats'!$D$2:$D$49,MATCH($C141,'Industry Stats'!$A$2:$A$49,0))</f>
        <v>274.96153846153845</v>
      </c>
      <c r="N141" s="19">
        <f t="shared" si="25"/>
        <v>30.038461538461547</v>
      </c>
      <c r="O141" s="18">
        <f>INDEX('Industry Stats'!$E$2:$E$49,MATCH($C141,'Industry Stats'!$A$2:$A$49,0))</f>
        <v>263.30769230769232</v>
      </c>
      <c r="P141" s="19">
        <f t="shared" si="26"/>
        <v>196.69230769230768</v>
      </c>
      <c r="R141">
        <f t="shared" si="27"/>
        <v>1433.0009858999999</v>
      </c>
      <c r="S141">
        <f t="shared" si="28"/>
        <v>668.00098590000005</v>
      </c>
      <c r="T141">
        <f t="shared" si="29"/>
        <v>305.00098589999999</v>
      </c>
      <c r="U141">
        <f t="shared" si="30"/>
        <v>460.00098589999999</v>
      </c>
      <c r="V141">
        <f t="shared" si="31"/>
        <v>514.42406282307695</v>
      </c>
      <c r="W141">
        <f t="shared" si="32"/>
        <v>-514.42209102307686</v>
      </c>
    </row>
    <row r="142" spans="1:23" ht="15" customHeight="1" x14ac:dyDescent="0.35">
      <c r="A142" t="str">
        <f>'Raw Data'!B140</f>
        <v>Senmiao Technology Ltd</v>
      </c>
      <c r="B142" t="str">
        <f>'Raw Data'!A140</f>
        <v>aihs</v>
      </c>
      <c r="C142" t="str">
        <f>IF('Raw Data'!E140="N/A","Unclassified",TRIM(SUBSTITUTE('Raw Data'!E140," and "," &amp; ")))</f>
        <v>Financial Services</v>
      </c>
      <c r="D142" s="17">
        <f>'Raw Data'!N140</f>
        <v>220</v>
      </c>
      <c r="E142" s="17">
        <f>'Raw Data'!O140</f>
        <v>203</v>
      </c>
      <c r="F142" s="17">
        <f>'Raw Data'!P140</f>
        <v>200</v>
      </c>
      <c r="G142" s="17">
        <f>'Raw Data'!Q140</f>
        <v>623</v>
      </c>
      <c r="H142" s="18">
        <f>INDEX('Industry Stats'!$F$2:$F$49,MATCH($C142,'Industry Stats'!$A$2:$A$49,0))</f>
        <v>909.33333333333337</v>
      </c>
      <c r="I142" s="19">
        <f t="shared" si="22"/>
        <v>-286.33333333333337</v>
      </c>
      <c r="J142" s="20">
        <f t="shared" si="23"/>
        <v>-0.31488269794721413</v>
      </c>
      <c r="K142" s="18">
        <f>INDEX('Industry Stats'!$C$2:$C$49,MATCH($C142,'Industry Stats'!$A$2:$A$49,0))</f>
        <v>367.63636363636363</v>
      </c>
      <c r="L142" s="19">
        <f t="shared" si="24"/>
        <v>-147.63636363636363</v>
      </c>
      <c r="M142" s="18">
        <f>INDEX('Industry Stats'!$D$2:$D$49,MATCH($C142,'Industry Stats'!$A$2:$A$49,0))</f>
        <v>276.45454545454544</v>
      </c>
      <c r="N142" s="19">
        <f t="shared" si="25"/>
        <v>-73.454545454545439</v>
      </c>
      <c r="O142" s="18">
        <f>INDEX('Industry Stats'!$E$2:$E$49,MATCH($C142,'Industry Stats'!$A$2:$A$49,0))</f>
        <v>265.24242424242425</v>
      </c>
      <c r="P142" s="19">
        <f t="shared" si="26"/>
        <v>-65.242424242424249</v>
      </c>
      <c r="R142">
        <f t="shared" si="27"/>
        <v>623.00098579999997</v>
      </c>
      <c r="S142">
        <f t="shared" si="28"/>
        <v>220.0009858</v>
      </c>
      <c r="T142">
        <f t="shared" si="29"/>
        <v>203.0009858</v>
      </c>
      <c r="U142">
        <f t="shared" si="30"/>
        <v>200.0009858</v>
      </c>
      <c r="V142">
        <f t="shared" si="31"/>
        <v>-286.33234753333335</v>
      </c>
      <c r="W142">
        <f t="shared" si="32"/>
        <v>286.33431913333339</v>
      </c>
    </row>
    <row r="143" spans="1:23" ht="15" customHeight="1" x14ac:dyDescent="0.35">
      <c r="A143" t="str">
        <f>'Raw Data'!B141</f>
        <v>APA Corp (US)</v>
      </c>
      <c r="B143" t="str">
        <f>'Raw Data'!A141</f>
        <v>apa</v>
      </c>
      <c r="C143" t="str">
        <f>IF('Raw Data'!E141="N/A","Unclassified",TRIM(SUBSTITUTE('Raw Data'!E141," and "," &amp; ")))</f>
        <v>Energy</v>
      </c>
      <c r="D143" s="17">
        <f>'Raw Data'!N141</f>
        <v>510</v>
      </c>
      <c r="E143" s="17">
        <f>'Raw Data'!O141</f>
        <v>316</v>
      </c>
      <c r="F143" s="17">
        <f>'Raw Data'!P141</f>
        <v>325</v>
      </c>
      <c r="G143" s="17">
        <f>'Raw Data'!Q141</f>
        <v>1151</v>
      </c>
      <c r="H143" s="18">
        <f>INDEX('Industry Stats'!$F$2:$F$49,MATCH($C143,'Industry Stats'!$A$2:$A$49,0))</f>
        <v>1117.7619047619048</v>
      </c>
      <c r="I143" s="19">
        <f t="shared" si="22"/>
        <v>33.238095238095184</v>
      </c>
      <c r="J143" s="20">
        <f t="shared" si="23"/>
        <v>2.9736292761896599E-2</v>
      </c>
      <c r="K143" s="18">
        <f>INDEX('Industry Stats'!$C$2:$C$49,MATCH($C143,'Industry Stats'!$A$2:$A$49,0))</f>
        <v>515.09523809523807</v>
      </c>
      <c r="L143" s="19">
        <f t="shared" si="24"/>
        <v>-5.0952380952380736</v>
      </c>
      <c r="M143" s="18">
        <f>INDEX('Industry Stats'!$D$2:$D$49,MATCH($C143,'Industry Stats'!$A$2:$A$49,0))</f>
        <v>308.95238095238096</v>
      </c>
      <c r="N143" s="19">
        <f t="shared" si="25"/>
        <v>7.0476190476190368</v>
      </c>
      <c r="O143" s="18">
        <f>INDEX('Industry Stats'!$E$2:$E$49,MATCH($C143,'Industry Stats'!$A$2:$A$49,0))</f>
        <v>293.71428571428572</v>
      </c>
      <c r="P143" s="19">
        <f t="shared" si="26"/>
        <v>31.285714285714278</v>
      </c>
      <c r="R143">
        <f t="shared" si="27"/>
        <v>1151.0009857</v>
      </c>
      <c r="S143">
        <f t="shared" si="28"/>
        <v>510.0009857</v>
      </c>
      <c r="T143">
        <f t="shared" si="29"/>
        <v>316.0009857</v>
      </c>
      <c r="U143">
        <f t="shared" si="30"/>
        <v>325.0009857</v>
      </c>
      <c r="V143">
        <f t="shared" si="31"/>
        <v>33.239080938095185</v>
      </c>
      <c r="W143">
        <f t="shared" si="32"/>
        <v>-33.237109538095183</v>
      </c>
    </row>
    <row r="144" spans="1:23" ht="15" customHeight="1" x14ac:dyDescent="0.35">
      <c r="A144" t="str">
        <f>'Raw Data'!B142</f>
        <v>Biogen Inc</v>
      </c>
      <c r="B144" t="str">
        <f>'Raw Data'!A142</f>
        <v>biib</v>
      </c>
      <c r="C144" t="str">
        <f>IF('Raw Data'!E142="N/A","Unclassified",TRIM(SUBSTITUTE('Raw Data'!E142," and "," &amp; ")))</f>
        <v>Biotechnology</v>
      </c>
      <c r="D144" s="17">
        <f>'Raw Data'!N142</f>
        <v>380</v>
      </c>
      <c r="E144" s="17">
        <f>'Raw Data'!O142</f>
        <v>303</v>
      </c>
      <c r="F144" s="17">
        <f>'Raw Data'!P142</f>
        <v>364</v>
      </c>
      <c r="G144" s="17">
        <f>'Raw Data'!Q142</f>
        <v>1047</v>
      </c>
      <c r="H144" s="18">
        <f>INDEX('Industry Stats'!$F$2:$F$49,MATCH($C144,'Industry Stats'!$A$2:$A$49,0))</f>
        <v>866.91071428571433</v>
      </c>
      <c r="I144" s="19">
        <f t="shared" si="22"/>
        <v>180.08928571428567</v>
      </c>
      <c r="J144" s="20">
        <f t="shared" si="23"/>
        <v>0.20773683234803381</v>
      </c>
      <c r="K144" s="18">
        <f>INDEX('Industry Stats'!$C$2:$C$49,MATCH($C144,'Industry Stats'!$A$2:$A$49,0))</f>
        <v>306.53571428571428</v>
      </c>
      <c r="L144" s="19">
        <f t="shared" si="24"/>
        <v>73.464285714285722</v>
      </c>
      <c r="M144" s="18">
        <f>INDEX('Industry Stats'!$D$2:$D$49,MATCH($C144,'Industry Stats'!$A$2:$A$49,0))</f>
        <v>268.85714285714283</v>
      </c>
      <c r="N144" s="19">
        <f t="shared" si="25"/>
        <v>34.142857142857167</v>
      </c>
      <c r="O144" s="18">
        <f>INDEX('Industry Stats'!$E$2:$E$49,MATCH($C144,'Industry Stats'!$A$2:$A$49,0))</f>
        <v>291.51785714285717</v>
      </c>
      <c r="P144" s="19">
        <f t="shared" si="26"/>
        <v>72.482142857142833</v>
      </c>
      <c r="R144">
        <f t="shared" si="27"/>
        <v>1047.0009855999999</v>
      </c>
      <c r="S144">
        <f t="shared" si="28"/>
        <v>380.00098559999998</v>
      </c>
      <c r="T144">
        <f t="shared" si="29"/>
        <v>303.00098559999998</v>
      </c>
      <c r="U144">
        <f t="shared" si="30"/>
        <v>364.00098559999998</v>
      </c>
      <c r="V144">
        <f t="shared" si="31"/>
        <v>180.09027131428567</v>
      </c>
      <c r="W144">
        <f t="shared" si="32"/>
        <v>-180.08830011428566</v>
      </c>
    </row>
    <row r="145" spans="1:23" ht="15" customHeight="1" x14ac:dyDescent="0.35">
      <c r="A145" t="str">
        <f>'Raw Data'!B143</f>
        <v>Booking Holdings Inc</v>
      </c>
      <c r="B145" t="str">
        <f>'Raw Data'!A143</f>
        <v>bkng</v>
      </c>
      <c r="C145" t="str">
        <f>IF('Raw Data'!E143="N/A","Unclassified",TRIM(SUBSTITUTE('Raw Data'!E143," and "," &amp; ")))</f>
        <v>Hotels Restaurants &amp; Leisure</v>
      </c>
      <c r="D145" s="17">
        <f>'Raw Data'!N143</f>
        <v>558</v>
      </c>
      <c r="E145" s="17">
        <f>'Raw Data'!O143</f>
        <v>306</v>
      </c>
      <c r="F145" s="17">
        <f>'Raw Data'!P143</f>
        <v>310</v>
      </c>
      <c r="G145" s="17">
        <f>'Raw Data'!Q143</f>
        <v>1174</v>
      </c>
      <c r="H145" s="18">
        <f>INDEX('Industry Stats'!$F$2:$F$49,MATCH($C145,'Industry Stats'!$A$2:$A$49,0))</f>
        <v>918.86363636363637</v>
      </c>
      <c r="I145" s="19">
        <f t="shared" si="22"/>
        <v>255.13636363636363</v>
      </c>
      <c r="J145" s="20">
        <f t="shared" si="23"/>
        <v>0.27766510017313872</v>
      </c>
      <c r="K145" s="18">
        <f>INDEX('Industry Stats'!$C$2:$C$49,MATCH($C145,'Industry Stats'!$A$2:$A$49,0))</f>
        <v>374.63636363636363</v>
      </c>
      <c r="L145" s="19">
        <f t="shared" si="24"/>
        <v>183.36363636363637</v>
      </c>
      <c r="M145" s="18">
        <f>INDEX('Industry Stats'!$D$2:$D$49,MATCH($C145,'Industry Stats'!$A$2:$A$49,0))</f>
        <v>283.04545454545456</v>
      </c>
      <c r="N145" s="19">
        <f t="shared" si="25"/>
        <v>22.954545454545439</v>
      </c>
      <c r="O145" s="18">
        <f>INDEX('Industry Stats'!$E$2:$E$49,MATCH($C145,'Industry Stats'!$A$2:$A$49,0))</f>
        <v>261.18181818181819</v>
      </c>
      <c r="P145" s="19">
        <f t="shared" si="26"/>
        <v>48.818181818181813</v>
      </c>
      <c r="R145">
        <f t="shared" si="27"/>
        <v>1174.0009855000001</v>
      </c>
      <c r="S145">
        <f t="shared" si="28"/>
        <v>558.00098549999996</v>
      </c>
      <c r="T145">
        <f t="shared" si="29"/>
        <v>306.00098550000001</v>
      </c>
      <c r="U145">
        <f t="shared" si="30"/>
        <v>310.00098550000001</v>
      </c>
      <c r="V145">
        <f t="shared" si="31"/>
        <v>255.13734913636364</v>
      </c>
      <c r="W145">
        <f t="shared" si="32"/>
        <v>-255.13537813636361</v>
      </c>
    </row>
    <row r="146" spans="1:23" ht="15" customHeight="1" x14ac:dyDescent="0.35">
      <c r="A146" t="str">
        <f>'Raw Data'!B144</f>
        <v>Cadence Design Systems Inc</v>
      </c>
      <c r="B146" t="str">
        <f>'Raw Data'!A144</f>
        <v>cdns</v>
      </c>
      <c r="C146" t="str">
        <f>IF('Raw Data'!E144="N/A","Unclassified",TRIM(SUBSTITUTE('Raw Data'!E144," and "," &amp; ")))</f>
        <v>Technology</v>
      </c>
      <c r="D146" s="17">
        <f>'Raw Data'!N144</f>
        <v>500</v>
      </c>
      <c r="E146" s="17">
        <f>'Raw Data'!O144</f>
        <v>308</v>
      </c>
      <c r="F146" s="17">
        <f>'Raw Data'!P144</f>
        <v>295</v>
      </c>
      <c r="G146" s="17">
        <f>'Raw Data'!Q144</f>
        <v>1103</v>
      </c>
      <c r="H146" s="18">
        <f>INDEX('Industry Stats'!$F$2:$F$49,MATCH($C146,'Industry Stats'!$A$2:$A$49,0))</f>
        <v>1031.3174603174602</v>
      </c>
      <c r="I146" s="19">
        <f t="shared" si="22"/>
        <v>71.682539682539755</v>
      </c>
      <c r="J146" s="20">
        <f t="shared" si="23"/>
        <v>6.9505794714727731E-2</v>
      </c>
      <c r="K146" s="18">
        <f>INDEX('Industry Stats'!$C$2:$C$49,MATCH($C146,'Industry Stats'!$A$2:$A$49,0))</f>
        <v>438.11111111111109</v>
      </c>
      <c r="L146" s="19">
        <f t="shared" si="24"/>
        <v>61.888888888888914</v>
      </c>
      <c r="M146" s="18">
        <f>INDEX('Industry Stats'!$D$2:$D$49,MATCH($C146,'Industry Stats'!$A$2:$A$49,0))</f>
        <v>307.90476190476193</v>
      </c>
      <c r="N146" s="19">
        <f t="shared" si="25"/>
        <v>9.5238095238073583E-2</v>
      </c>
      <c r="O146" s="18">
        <f>INDEX('Industry Stats'!$E$2:$E$49,MATCH($C146,'Industry Stats'!$A$2:$A$49,0))</f>
        <v>285.30158730158729</v>
      </c>
      <c r="P146" s="19">
        <f t="shared" si="26"/>
        <v>9.6984126984127101</v>
      </c>
      <c r="R146">
        <f t="shared" si="27"/>
        <v>1103.0009854</v>
      </c>
      <c r="S146">
        <f t="shared" si="28"/>
        <v>500.00098539999999</v>
      </c>
      <c r="T146">
        <f t="shared" si="29"/>
        <v>308.00098539999999</v>
      </c>
      <c r="U146">
        <f t="shared" si="30"/>
        <v>295.00098539999999</v>
      </c>
      <c r="V146">
        <f t="shared" si="31"/>
        <v>71.683525082539759</v>
      </c>
      <c r="W146">
        <f t="shared" si="32"/>
        <v>-71.68155428253975</v>
      </c>
    </row>
    <row r="147" spans="1:23" ht="15" customHeight="1" x14ac:dyDescent="0.35">
      <c r="A147" t="str">
        <f>'Raw Data'!B145</f>
        <v>CDW Corp</v>
      </c>
      <c r="B147" t="str">
        <f>'Raw Data'!A145</f>
        <v>cdw</v>
      </c>
      <c r="C147" t="str">
        <f>IF('Raw Data'!E145="N/A","Unclassified",TRIM(SUBSTITUTE('Raw Data'!E145," and "," &amp; ")))</f>
        <v>Electrical Equipment</v>
      </c>
      <c r="D147" s="17">
        <f>'Raw Data'!N145</f>
        <v>225</v>
      </c>
      <c r="E147" s="17">
        <f>'Raw Data'!O145</f>
        <v>209</v>
      </c>
      <c r="F147" s="17">
        <f>'Raw Data'!P145</f>
        <v>200</v>
      </c>
      <c r="G147" s="17">
        <f>'Raw Data'!Q145</f>
        <v>634</v>
      </c>
      <c r="H147" s="18">
        <f>INDEX('Industry Stats'!$F$2:$F$49,MATCH($C147,'Industry Stats'!$A$2:$A$49,0))</f>
        <v>933</v>
      </c>
      <c r="I147" s="19">
        <f t="shared" si="22"/>
        <v>-299</v>
      </c>
      <c r="J147" s="20">
        <f t="shared" si="23"/>
        <v>-0.32047159699892819</v>
      </c>
      <c r="K147" s="18">
        <f>INDEX('Industry Stats'!$C$2:$C$49,MATCH($C147,'Industry Stats'!$A$2:$A$49,0))</f>
        <v>381.7037037037037</v>
      </c>
      <c r="L147" s="19">
        <f t="shared" si="24"/>
        <v>-156.7037037037037</v>
      </c>
      <c r="M147" s="18">
        <f>INDEX('Industry Stats'!$D$2:$D$49,MATCH($C147,'Industry Stats'!$A$2:$A$49,0))</f>
        <v>272.11111111111109</v>
      </c>
      <c r="N147" s="19">
        <f t="shared" si="25"/>
        <v>-63.111111111111086</v>
      </c>
      <c r="O147" s="18">
        <f>INDEX('Industry Stats'!$E$2:$E$49,MATCH($C147,'Industry Stats'!$A$2:$A$49,0))</f>
        <v>279.18518518518516</v>
      </c>
      <c r="P147" s="19">
        <f t="shared" si="26"/>
        <v>-79.185185185185162</v>
      </c>
      <c r="R147">
        <f t="shared" si="27"/>
        <v>634.00098530000002</v>
      </c>
      <c r="S147">
        <f t="shared" si="28"/>
        <v>225.0009853</v>
      </c>
      <c r="T147">
        <f t="shared" si="29"/>
        <v>209.0009853</v>
      </c>
      <c r="U147">
        <f t="shared" si="30"/>
        <v>200.0009853</v>
      </c>
      <c r="V147">
        <f t="shared" si="31"/>
        <v>-298.99901469999998</v>
      </c>
      <c r="W147">
        <f t="shared" si="32"/>
        <v>299.00098530000002</v>
      </c>
    </row>
    <row r="148" spans="1:23" ht="15" customHeight="1" x14ac:dyDescent="0.35">
      <c r="A148" t="str">
        <f>'Raw Data'!B146</f>
        <v>CH Robinson Worldwide Inc</v>
      </c>
      <c r="B148" t="str">
        <f>'Raw Data'!A146</f>
        <v>chrw</v>
      </c>
      <c r="C148" t="str">
        <f>IF('Raw Data'!E146="N/A","Unclassified",TRIM(SUBSTITUTE('Raw Data'!E146," and "," &amp; ")))</f>
        <v>Logistics &amp; Transportation</v>
      </c>
      <c r="D148" s="17">
        <f>'Raw Data'!N146</f>
        <v>575</v>
      </c>
      <c r="E148" s="17">
        <f>'Raw Data'!O146</f>
        <v>330</v>
      </c>
      <c r="F148" s="17">
        <f>'Raw Data'!P146</f>
        <v>338</v>
      </c>
      <c r="G148" s="17">
        <f>'Raw Data'!Q146</f>
        <v>1243</v>
      </c>
      <c r="H148" s="18">
        <f>INDEX('Industry Stats'!$F$2:$F$49,MATCH($C148,'Industry Stats'!$A$2:$A$49,0))</f>
        <v>1025.1666666666667</v>
      </c>
      <c r="I148" s="19">
        <f t="shared" si="22"/>
        <v>217.83333333333326</v>
      </c>
      <c r="J148" s="20">
        <f t="shared" si="23"/>
        <v>0.21248577467078514</v>
      </c>
      <c r="K148" s="18">
        <f>INDEX('Industry Stats'!$C$2:$C$49,MATCH($C148,'Industry Stats'!$A$2:$A$49,0))</f>
        <v>452.33333333333331</v>
      </c>
      <c r="L148" s="19">
        <f t="shared" si="24"/>
        <v>122.66666666666669</v>
      </c>
      <c r="M148" s="18">
        <f>INDEX('Industry Stats'!$D$2:$D$49,MATCH($C148,'Industry Stats'!$A$2:$A$49,0))</f>
        <v>289.5</v>
      </c>
      <c r="N148" s="19">
        <f t="shared" si="25"/>
        <v>40.5</v>
      </c>
      <c r="O148" s="18">
        <f>INDEX('Industry Stats'!$E$2:$E$49,MATCH($C148,'Industry Stats'!$A$2:$A$49,0))</f>
        <v>283.33333333333331</v>
      </c>
      <c r="P148" s="19">
        <f t="shared" si="26"/>
        <v>54.666666666666686</v>
      </c>
      <c r="R148">
        <f t="shared" si="27"/>
        <v>1243.0009852000001</v>
      </c>
      <c r="S148">
        <f t="shared" si="28"/>
        <v>575.00098519999995</v>
      </c>
      <c r="T148">
        <f t="shared" si="29"/>
        <v>330.0009852</v>
      </c>
      <c r="U148">
        <f t="shared" si="30"/>
        <v>338.0009852</v>
      </c>
      <c r="V148">
        <f t="shared" si="31"/>
        <v>217.83431853333326</v>
      </c>
      <c r="W148">
        <f t="shared" si="32"/>
        <v>-217.83234813333326</v>
      </c>
    </row>
    <row r="149" spans="1:23" ht="15" customHeight="1" x14ac:dyDescent="0.35">
      <c r="A149" t="str">
        <f>'Raw Data'!B147</f>
        <v>Cincinnati Financial Corp</v>
      </c>
      <c r="B149" t="str">
        <f>'Raw Data'!A147</f>
        <v>cinf</v>
      </c>
      <c r="C149" t="str">
        <f>IF('Raw Data'!E147="N/A","Unclassified",TRIM(SUBSTITUTE('Raw Data'!E147," and "," &amp; ")))</f>
        <v>Insurance</v>
      </c>
      <c r="D149" s="17">
        <f>'Raw Data'!N147</f>
        <v>235</v>
      </c>
      <c r="E149" s="17">
        <f>'Raw Data'!O147</f>
        <v>275</v>
      </c>
      <c r="F149" s="17">
        <f>'Raw Data'!P147</f>
        <v>250</v>
      </c>
      <c r="G149" s="17">
        <f>'Raw Data'!Q147</f>
        <v>760</v>
      </c>
      <c r="H149" s="18">
        <f>INDEX('Industry Stats'!$F$2:$F$49,MATCH($C149,'Industry Stats'!$A$2:$A$49,0))</f>
        <v>1012.3703703703703</v>
      </c>
      <c r="I149" s="19">
        <f t="shared" si="22"/>
        <v>-252.37037037037032</v>
      </c>
      <c r="J149" s="20">
        <f t="shared" si="23"/>
        <v>-0.24928660276578615</v>
      </c>
      <c r="K149" s="18">
        <f>INDEX('Industry Stats'!$C$2:$C$49,MATCH($C149,'Industry Stats'!$A$2:$A$49,0))</f>
        <v>425.25925925925924</v>
      </c>
      <c r="L149" s="19">
        <f t="shared" si="24"/>
        <v>-190.25925925925924</v>
      </c>
      <c r="M149" s="18">
        <f>INDEX('Industry Stats'!$D$2:$D$49,MATCH($C149,'Industry Stats'!$A$2:$A$49,0))</f>
        <v>295.66666666666669</v>
      </c>
      <c r="N149" s="19">
        <f t="shared" si="25"/>
        <v>-20.666666666666686</v>
      </c>
      <c r="O149" s="18">
        <f>INDEX('Industry Stats'!$E$2:$E$49,MATCH($C149,'Industry Stats'!$A$2:$A$49,0))</f>
        <v>291.44444444444446</v>
      </c>
      <c r="P149" s="19">
        <f t="shared" si="26"/>
        <v>-41.444444444444457</v>
      </c>
      <c r="R149">
        <f t="shared" si="27"/>
        <v>760.00098509999998</v>
      </c>
      <c r="S149">
        <f t="shared" si="28"/>
        <v>235.00098510000001</v>
      </c>
      <c r="T149">
        <f t="shared" si="29"/>
        <v>275.00098509999998</v>
      </c>
      <c r="U149">
        <f t="shared" si="30"/>
        <v>250.00098510000001</v>
      </c>
      <c r="V149">
        <f t="shared" si="31"/>
        <v>-252.36938527037032</v>
      </c>
      <c r="W149">
        <f t="shared" si="32"/>
        <v>252.37135547037033</v>
      </c>
    </row>
    <row r="150" spans="1:23" ht="15" customHeight="1" x14ac:dyDescent="0.35">
      <c r="A150" t="str">
        <f>'Raw Data'!B148</f>
        <v>Charter Communications Inc</v>
      </c>
      <c r="B150" t="str">
        <f>'Raw Data'!A148</f>
        <v>chtr</v>
      </c>
      <c r="C150" t="str">
        <f>IF('Raw Data'!E148="N/A","Unclassified",TRIM(SUBSTITUTE('Raw Data'!E148," and "," &amp; ")))</f>
        <v>Media</v>
      </c>
      <c r="D150" s="17">
        <f>'Raw Data'!N148</f>
        <v>500</v>
      </c>
      <c r="E150" s="17">
        <f>'Raw Data'!O148</f>
        <v>300</v>
      </c>
      <c r="F150" s="17">
        <f>'Raw Data'!P148</f>
        <v>300</v>
      </c>
      <c r="G150" s="17">
        <f>'Raw Data'!Q148</f>
        <v>1100</v>
      </c>
      <c r="H150" s="18">
        <f>INDEX('Industry Stats'!$F$2:$F$49,MATCH($C150,'Industry Stats'!$A$2:$A$49,0))</f>
        <v>935.26086956521738</v>
      </c>
      <c r="I150" s="19">
        <f t="shared" si="22"/>
        <v>164.73913043478262</v>
      </c>
      <c r="J150" s="20">
        <f t="shared" si="23"/>
        <v>0.17614243875226629</v>
      </c>
      <c r="K150" s="18">
        <f>INDEX('Industry Stats'!$C$2:$C$49,MATCH($C150,'Industry Stats'!$A$2:$A$49,0))</f>
        <v>346.91304347826087</v>
      </c>
      <c r="L150" s="19">
        <f t="shared" si="24"/>
        <v>153.08695652173913</v>
      </c>
      <c r="M150" s="18">
        <f>INDEX('Industry Stats'!$D$2:$D$49,MATCH($C150,'Industry Stats'!$A$2:$A$49,0))</f>
        <v>313</v>
      </c>
      <c r="N150" s="19">
        <f t="shared" si="25"/>
        <v>-13</v>
      </c>
      <c r="O150" s="18">
        <f>INDEX('Industry Stats'!$E$2:$E$49,MATCH($C150,'Industry Stats'!$A$2:$A$49,0))</f>
        <v>275.3478260869565</v>
      </c>
      <c r="P150" s="19">
        <f t="shared" si="26"/>
        <v>24.652173913043498</v>
      </c>
      <c r="R150">
        <f t="shared" si="27"/>
        <v>1100.0009849999999</v>
      </c>
      <c r="S150">
        <f t="shared" si="28"/>
        <v>500.00098500000001</v>
      </c>
      <c r="T150">
        <f t="shared" si="29"/>
        <v>300.00098500000001</v>
      </c>
      <c r="U150">
        <f t="shared" si="30"/>
        <v>300.00098500000001</v>
      </c>
      <c r="V150">
        <f t="shared" si="31"/>
        <v>164.74011543478261</v>
      </c>
      <c r="W150">
        <f t="shared" si="32"/>
        <v>-164.73814543478264</v>
      </c>
    </row>
    <row r="151" spans="1:23" ht="15" customHeight="1" x14ac:dyDescent="0.35">
      <c r="A151" t="str">
        <f>'Raw Data'!B149</f>
        <v>Comcast Corp</v>
      </c>
      <c r="B151" t="str">
        <f>'Raw Data'!A149</f>
        <v>cmcsa</v>
      </c>
      <c r="C151" t="str">
        <f>IF('Raw Data'!E149="N/A","Unclassified",TRIM(SUBSTITUTE('Raw Data'!E149," and "," &amp; ")))</f>
        <v>Media</v>
      </c>
      <c r="D151" s="17">
        <f>'Raw Data'!N149</f>
        <v>507</v>
      </c>
      <c r="E151" s="17">
        <f>'Raw Data'!O149</f>
        <v>343</v>
      </c>
      <c r="F151" s="17">
        <f>'Raw Data'!P149</f>
        <v>315</v>
      </c>
      <c r="G151" s="17">
        <f>'Raw Data'!Q149</f>
        <v>1165</v>
      </c>
      <c r="H151" s="18">
        <f>INDEX('Industry Stats'!$F$2:$F$49,MATCH($C151,'Industry Stats'!$A$2:$A$49,0))</f>
        <v>935.26086956521738</v>
      </c>
      <c r="I151" s="19">
        <f t="shared" si="22"/>
        <v>229.73913043478262</v>
      </c>
      <c r="J151" s="20">
        <f t="shared" si="23"/>
        <v>0.24564176467853657</v>
      </c>
      <c r="K151" s="18">
        <f>INDEX('Industry Stats'!$C$2:$C$49,MATCH($C151,'Industry Stats'!$A$2:$A$49,0))</f>
        <v>346.91304347826087</v>
      </c>
      <c r="L151" s="19">
        <f t="shared" si="24"/>
        <v>160.08695652173913</v>
      </c>
      <c r="M151" s="18">
        <f>INDEX('Industry Stats'!$D$2:$D$49,MATCH($C151,'Industry Stats'!$A$2:$A$49,0))</f>
        <v>313</v>
      </c>
      <c r="N151" s="19">
        <f t="shared" si="25"/>
        <v>30</v>
      </c>
      <c r="O151" s="18">
        <f>INDEX('Industry Stats'!$E$2:$E$49,MATCH($C151,'Industry Stats'!$A$2:$A$49,0))</f>
        <v>275.3478260869565</v>
      </c>
      <c r="P151" s="19">
        <f t="shared" si="26"/>
        <v>39.652173913043498</v>
      </c>
      <c r="R151">
        <f t="shared" si="27"/>
        <v>1165.0009849</v>
      </c>
      <c r="S151">
        <f t="shared" si="28"/>
        <v>507.00098489999999</v>
      </c>
      <c r="T151">
        <f t="shared" si="29"/>
        <v>343.00098489999999</v>
      </c>
      <c r="U151">
        <f t="shared" si="30"/>
        <v>315.00098489999999</v>
      </c>
      <c r="V151">
        <f t="shared" si="31"/>
        <v>229.74011533478262</v>
      </c>
      <c r="W151">
        <f t="shared" si="32"/>
        <v>-229.73814553478263</v>
      </c>
    </row>
    <row r="152" spans="1:23" ht="15" customHeight="1" x14ac:dyDescent="0.35">
      <c r="A152" t="str">
        <f>'Raw Data'!B150</f>
        <v>Copart Inc</v>
      </c>
      <c r="B152" t="str">
        <f>'Raw Data'!A150</f>
        <v>cprt</v>
      </c>
      <c r="C152" t="str">
        <f>IF('Raw Data'!E150="N/A","Unclassified",TRIM(SUBSTITUTE('Raw Data'!E150," and "," &amp; ")))</f>
        <v>Commercial Services &amp; Supplies</v>
      </c>
      <c r="D152" s="17">
        <f>'Raw Data'!N150</f>
        <v>270</v>
      </c>
      <c r="E152" s="17">
        <f>'Raw Data'!O150</f>
        <v>204</v>
      </c>
      <c r="F152" s="17">
        <f>'Raw Data'!P150</f>
        <v>205</v>
      </c>
      <c r="G152" s="17">
        <f>'Raw Data'!Q150</f>
        <v>679</v>
      </c>
      <c r="H152" s="18">
        <f>INDEX('Industry Stats'!$F$2:$F$49,MATCH($C152,'Industry Stats'!$A$2:$A$49,0))</f>
        <v>995.85714285714289</v>
      </c>
      <c r="I152" s="19">
        <f t="shared" si="22"/>
        <v>-316.85714285714289</v>
      </c>
      <c r="J152" s="20">
        <f t="shared" si="23"/>
        <v>-0.31817529766174152</v>
      </c>
      <c r="K152" s="18">
        <f>INDEX('Industry Stats'!$C$2:$C$49,MATCH($C152,'Industry Stats'!$A$2:$A$49,0))</f>
        <v>419.42857142857144</v>
      </c>
      <c r="L152" s="19">
        <f t="shared" si="24"/>
        <v>-149.42857142857144</v>
      </c>
      <c r="M152" s="18">
        <f>INDEX('Industry Stats'!$D$2:$D$49,MATCH($C152,'Industry Stats'!$A$2:$A$49,0))</f>
        <v>301.28571428571428</v>
      </c>
      <c r="N152" s="19">
        <f t="shared" si="25"/>
        <v>-97.285714285714278</v>
      </c>
      <c r="O152" s="18">
        <f>INDEX('Industry Stats'!$E$2:$E$49,MATCH($C152,'Industry Stats'!$A$2:$A$49,0))</f>
        <v>275.14285714285717</v>
      </c>
      <c r="P152" s="19">
        <f t="shared" si="26"/>
        <v>-70.142857142857167</v>
      </c>
      <c r="R152">
        <f t="shared" si="27"/>
        <v>679.00098479999997</v>
      </c>
      <c r="S152">
        <f t="shared" si="28"/>
        <v>270.00098480000003</v>
      </c>
      <c r="T152">
        <f t="shared" si="29"/>
        <v>204.0009848</v>
      </c>
      <c r="U152">
        <f t="shared" si="30"/>
        <v>205.0009848</v>
      </c>
      <c r="V152">
        <f t="shared" si="31"/>
        <v>-316.85615805714286</v>
      </c>
      <c r="W152">
        <f t="shared" si="32"/>
        <v>316.85812765714292</v>
      </c>
    </row>
    <row r="153" spans="1:23" ht="15" customHeight="1" x14ac:dyDescent="0.35">
      <c r="A153" t="str">
        <f>'Raw Data'!B151</f>
        <v>Costco Wholesale Corp</v>
      </c>
      <c r="B153" t="str">
        <f>'Raw Data'!A151</f>
        <v>cost</v>
      </c>
      <c r="C153" t="str">
        <f>IF('Raw Data'!E151="N/A","Unclassified",TRIM(SUBSTITUTE('Raw Data'!E151," and "," &amp; ")))</f>
        <v>Retail</v>
      </c>
      <c r="D153" s="17">
        <f>'Raw Data'!N151</f>
        <v>537</v>
      </c>
      <c r="E153" s="17">
        <f>'Raw Data'!O151</f>
        <v>306</v>
      </c>
      <c r="F153" s="17">
        <f>'Raw Data'!P151</f>
        <v>225</v>
      </c>
      <c r="G153" s="17">
        <f>'Raw Data'!Q151</f>
        <v>1068</v>
      </c>
      <c r="H153" s="18">
        <f>INDEX('Industry Stats'!$F$2:$F$49,MATCH($C153,'Industry Stats'!$A$2:$A$49,0))</f>
        <v>918.57692307692309</v>
      </c>
      <c r="I153" s="19">
        <f t="shared" si="22"/>
        <v>149.42307692307691</v>
      </c>
      <c r="J153" s="20">
        <f t="shared" si="23"/>
        <v>0.16266800653184271</v>
      </c>
      <c r="K153" s="18">
        <f>INDEX('Industry Stats'!$C$2:$C$49,MATCH($C153,'Industry Stats'!$A$2:$A$49,0))</f>
        <v>380.30769230769232</v>
      </c>
      <c r="L153" s="19">
        <f t="shared" si="24"/>
        <v>156.69230769230768</v>
      </c>
      <c r="M153" s="18">
        <f>INDEX('Industry Stats'!$D$2:$D$49,MATCH($C153,'Industry Stats'!$A$2:$A$49,0))</f>
        <v>274.96153846153845</v>
      </c>
      <c r="N153" s="19">
        <f t="shared" si="25"/>
        <v>31.038461538461547</v>
      </c>
      <c r="O153" s="18">
        <f>INDEX('Industry Stats'!$E$2:$E$49,MATCH($C153,'Industry Stats'!$A$2:$A$49,0))</f>
        <v>263.30769230769232</v>
      </c>
      <c r="P153" s="19">
        <f t="shared" si="26"/>
        <v>-38.307692307692321</v>
      </c>
      <c r="R153">
        <f t="shared" si="27"/>
        <v>1068.0009846999999</v>
      </c>
      <c r="S153">
        <f t="shared" si="28"/>
        <v>537.0009847</v>
      </c>
      <c r="T153">
        <f t="shared" si="29"/>
        <v>306.0009847</v>
      </c>
      <c r="U153">
        <f t="shared" si="30"/>
        <v>225.0009847</v>
      </c>
      <c r="V153">
        <f t="shared" si="31"/>
        <v>149.42406162307691</v>
      </c>
      <c r="W153">
        <f t="shared" si="32"/>
        <v>-149.4220922230769</v>
      </c>
    </row>
    <row r="154" spans="1:23" ht="15" customHeight="1" x14ac:dyDescent="0.35">
      <c r="A154" t="str">
        <f>'Raw Data'!B152</f>
        <v>CSX Corp</v>
      </c>
      <c r="B154" t="str">
        <f>'Raw Data'!A152</f>
        <v>csx</v>
      </c>
      <c r="C154" t="str">
        <f>IF('Raw Data'!E152="N/A","Unclassified",TRIM(SUBSTITUTE('Raw Data'!E152," and "," &amp; ")))</f>
        <v>Road &amp; Rail</v>
      </c>
      <c r="D154" s="17">
        <f>'Raw Data'!N152</f>
        <v>510</v>
      </c>
      <c r="E154" s="17">
        <f>'Raw Data'!O152</f>
        <v>310</v>
      </c>
      <c r="F154" s="17">
        <f>'Raw Data'!P152</f>
        <v>325</v>
      </c>
      <c r="G154" s="17">
        <f>'Raw Data'!Q152</f>
        <v>1145</v>
      </c>
      <c r="H154" s="18">
        <f>INDEX('Industry Stats'!$F$2:$F$49,MATCH($C154,'Industry Stats'!$A$2:$A$49,0))</f>
        <v>1076.3333333333333</v>
      </c>
      <c r="I154" s="19">
        <f t="shared" si="22"/>
        <v>68.666666666666742</v>
      </c>
      <c r="J154" s="20">
        <f t="shared" si="23"/>
        <v>6.3796841127284065E-2</v>
      </c>
      <c r="K154" s="18">
        <f>INDEX('Industry Stats'!$C$2:$C$49,MATCH($C154,'Industry Stats'!$A$2:$A$49,0))</f>
        <v>452.83333333333331</v>
      </c>
      <c r="L154" s="19">
        <f t="shared" si="24"/>
        <v>57.166666666666686</v>
      </c>
      <c r="M154" s="18">
        <f>INDEX('Industry Stats'!$D$2:$D$49,MATCH($C154,'Industry Stats'!$A$2:$A$49,0))</f>
        <v>326.33333333333331</v>
      </c>
      <c r="N154" s="19">
        <f t="shared" si="25"/>
        <v>-16.333333333333314</v>
      </c>
      <c r="O154" s="18">
        <f>INDEX('Industry Stats'!$E$2:$E$49,MATCH($C154,'Industry Stats'!$A$2:$A$49,0))</f>
        <v>297.16666666666669</v>
      </c>
      <c r="P154" s="19">
        <f t="shared" si="26"/>
        <v>27.833333333333314</v>
      </c>
      <c r="R154">
        <f t="shared" si="27"/>
        <v>1145.0009846</v>
      </c>
      <c r="S154">
        <f t="shared" si="28"/>
        <v>510.00098459999998</v>
      </c>
      <c r="T154">
        <f t="shared" si="29"/>
        <v>310.00098459999998</v>
      </c>
      <c r="U154">
        <f t="shared" si="30"/>
        <v>325.00098459999998</v>
      </c>
      <c r="V154">
        <f t="shared" si="31"/>
        <v>68.667651266666738</v>
      </c>
      <c r="W154">
        <f t="shared" si="32"/>
        <v>-68.665682066666747</v>
      </c>
    </row>
    <row r="155" spans="1:23" ht="15" customHeight="1" x14ac:dyDescent="0.35">
      <c r="A155" t="str">
        <f>'Raw Data'!B153</f>
        <v>Cognizant Technology Solutions Corp</v>
      </c>
      <c r="B155" t="str">
        <f>'Raw Data'!A153</f>
        <v>ctsh</v>
      </c>
      <c r="C155" t="str">
        <f>IF('Raw Data'!E153="N/A","Unclassified",TRIM(SUBSTITUTE('Raw Data'!E153," and "," &amp; ")))</f>
        <v>Technology</v>
      </c>
      <c r="D155" s="17">
        <f>'Raw Data'!N153</f>
        <v>605</v>
      </c>
      <c r="E155" s="17">
        <f>'Raw Data'!O153</f>
        <v>365</v>
      </c>
      <c r="F155" s="17">
        <f>'Raw Data'!P153</f>
        <v>300</v>
      </c>
      <c r="G155" s="17">
        <f>'Raw Data'!Q153</f>
        <v>1270</v>
      </c>
      <c r="H155" s="18">
        <f>INDEX('Industry Stats'!$F$2:$F$49,MATCH($C155,'Industry Stats'!$A$2:$A$49,0))</f>
        <v>1031.3174603174602</v>
      </c>
      <c r="I155" s="19">
        <f t="shared" si="22"/>
        <v>238.68253968253975</v>
      </c>
      <c r="J155" s="20">
        <f t="shared" si="23"/>
        <v>0.23143459590907001</v>
      </c>
      <c r="K155" s="18">
        <f>INDEX('Industry Stats'!$C$2:$C$49,MATCH($C155,'Industry Stats'!$A$2:$A$49,0))</f>
        <v>438.11111111111109</v>
      </c>
      <c r="L155" s="19">
        <f t="shared" si="24"/>
        <v>166.88888888888891</v>
      </c>
      <c r="M155" s="18">
        <f>INDEX('Industry Stats'!$D$2:$D$49,MATCH($C155,'Industry Stats'!$A$2:$A$49,0))</f>
        <v>307.90476190476193</v>
      </c>
      <c r="N155" s="19">
        <f t="shared" si="25"/>
        <v>57.095238095238074</v>
      </c>
      <c r="O155" s="18">
        <f>INDEX('Industry Stats'!$E$2:$E$49,MATCH($C155,'Industry Stats'!$A$2:$A$49,0))</f>
        <v>285.30158730158729</v>
      </c>
      <c r="P155" s="19">
        <f t="shared" si="26"/>
        <v>14.69841269841271</v>
      </c>
      <c r="R155">
        <f t="shared" si="27"/>
        <v>1270.0009845</v>
      </c>
      <c r="S155">
        <f t="shared" si="28"/>
        <v>605.00098449999996</v>
      </c>
      <c r="T155">
        <f t="shared" si="29"/>
        <v>365.00098450000002</v>
      </c>
      <c r="U155">
        <f t="shared" si="30"/>
        <v>300.00098450000002</v>
      </c>
      <c r="V155">
        <f t="shared" si="31"/>
        <v>238.68352418253974</v>
      </c>
      <c r="W155">
        <f t="shared" si="32"/>
        <v>-238.68155518253977</v>
      </c>
    </row>
    <row r="156" spans="1:23" ht="15" customHeight="1" x14ac:dyDescent="0.35">
      <c r="A156" t="str">
        <f>'Raw Data'!B154</f>
        <v>CME Group Inc</v>
      </c>
      <c r="B156" t="str">
        <f>'Raw Data'!A154</f>
        <v>cme</v>
      </c>
      <c r="C156" t="str">
        <f>IF('Raw Data'!E154="N/A","Unclassified",TRIM(SUBSTITUTE('Raw Data'!E154," and "," &amp; ")))</f>
        <v>Financial Services</v>
      </c>
      <c r="D156" s="17">
        <f>'Raw Data'!N154</f>
        <v>375</v>
      </c>
      <c r="E156" s="17">
        <f>'Raw Data'!O154</f>
        <v>237</v>
      </c>
      <c r="F156" s="17">
        <f>'Raw Data'!P154</f>
        <v>200</v>
      </c>
      <c r="G156" s="17">
        <f>'Raw Data'!Q154</f>
        <v>812</v>
      </c>
      <c r="H156" s="18">
        <f>INDEX('Industry Stats'!$F$2:$F$49,MATCH($C156,'Industry Stats'!$A$2:$A$49,0))</f>
        <v>909.33333333333337</v>
      </c>
      <c r="I156" s="19">
        <f t="shared" si="22"/>
        <v>-97.333333333333371</v>
      </c>
      <c r="J156" s="20">
        <f t="shared" si="23"/>
        <v>-0.10703812316715547</v>
      </c>
      <c r="K156" s="18">
        <f>INDEX('Industry Stats'!$C$2:$C$49,MATCH($C156,'Industry Stats'!$A$2:$A$49,0))</f>
        <v>367.63636363636363</v>
      </c>
      <c r="L156" s="19">
        <f t="shared" si="24"/>
        <v>7.363636363636374</v>
      </c>
      <c r="M156" s="18">
        <f>INDEX('Industry Stats'!$D$2:$D$49,MATCH($C156,'Industry Stats'!$A$2:$A$49,0))</f>
        <v>276.45454545454544</v>
      </c>
      <c r="N156" s="19">
        <f t="shared" si="25"/>
        <v>-39.454545454545439</v>
      </c>
      <c r="O156" s="18">
        <f>INDEX('Industry Stats'!$E$2:$E$49,MATCH($C156,'Industry Stats'!$A$2:$A$49,0))</f>
        <v>265.24242424242425</v>
      </c>
      <c r="P156" s="19">
        <f t="shared" si="26"/>
        <v>-65.242424242424249</v>
      </c>
      <c r="R156">
        <f t="shared" si="27"/>
        <v>812.00098439999999</v>
      </c>
      <c r="S156">
        <f t="shared" si="28"/>
        <v>375.00098439999999</v>
      </c>
      <c r="T156">
        <f t="shared" si="29"/>
        <v>237.00098439999999</v>
      </c>
      <c r="U156">
        <f t="shared" si="30"/>
        <v>200.00098439999999</v>
      </c>
      <c r="V156">
        <f t="shared" si="31"/>
        <v>-97.332348933333378</v>
      </c>
      <c r="W156">
        <f t="shared" si="32"/>
        <v>97.334317733333364</v>
      </c>
    </row>
    <row r="157" spans="1:23" ht="15" customHeight="1" x14ac:dyDescent="0.35">
      <c r="A157" t="str">
        <f>'Raw Data'!B155</f>
        <v>Cisco Systems Inc</v>
      </c>
      <c r="B157" t="str">
        <f>'Raw Data'!A155</f>
        <v>csco</v>
      </c>
      <c r="C157" t="str">
        <f>IF('Raw Data'!E155="N/A","Unclassified",TRIM(SUBSTITUTE('Raw Data'!E155," and "," &amp; ")))</f>
        <v>Communications</v>
      </c>
      <c r="D157" s="17">
        <f>'Raw Data'!N155</f>
        <v>280</v>
      </c>
      <c r="E157" s="17">
        <f>'Raw Data'!O155</f>
        <v>234</v>
      </c>
      <c r="F157" s="17">
        <f>'Raw Data'!P155</f>
        <v>220</v>
      </c>
      <c r="G157" s="17">
        <f>'Raw Data'!Q155</f>
        <v>734</v>
      </c>
      <c r="H157" s="18">
        <f>INDEX('Industry Stats'!$F$2:$F$49,MATCH($C157,'Industry Stats'!$A$2:$A$49,0))</f>
        <v>938.22222222222217</v>
      </c>
      <c r="I157" s="19">
        <f t="shared" si="22"/>
        <v>-204.22222222222217</v>
      </c>
      <c r="J157" s="20">
        <f t="shared" si="23"/>
        <v>-0.21766935101847462</v>
      </c>
      <c r="K157" s="18">
        <f>INDEX('Industry Stats'!$C$2:$C$49,MATCH($C157,'Industry Stats'!$A$2:$A$49,0))</f>
        <v>385</v>
      </c>
      <c r="L157" s="19">
        <f t="shared" si="24"/>
        <v>-105</v>
      </c>
      <c r="M157" s="18">
        <f>INDEX('Industry Stats'!$D$2:$D$49,MATCH($C157,'Industry Stats'!$A$2:$A$49,0))</f>
        <v>278.77777777777777</v>
      </c>
      <c r="N157" s="19">
        <f t="shared" si="25"/>
        <v>-44.777777777777771</v>
      </c>
      <c r="O157" s="18">
        <f>INDEX('Industry Stats'!$E$2:$E$49,MATCH($C157,'Industry Stats'!$A$2:$A$49,0))</f>
        <v>274.44444444444446</v>
      </c>
      <c r="P157" s="19">
        <f t="shared" si="26"/>
        <v>-54.444444444444457</v>
      </c>
      <c r="R157">
        <f t="shared" si="27"/>
        <v>734.00098430000003</v>
      </c>
      <c r="S157">
        <f t="shared" si="28"/>
        <v>280.00098430000003</v>
      </c>
      <c r="T157">
        <f t="shared" si="29"/>
        <v>234.0009843</v>
      </c>
      <c r="U157">
        <f t="shared" si="30"/>
        <v>220.0009843</v>
      </c>
      <c r="V157">
        <f t="shared" si="31"/>
        <v>-204.22123792222217</v>
      </c>
      <c r="W157">
        <f t="shared" si="32"/>
        <v>204.22320652222217</v>
      </c>
    </row>
    <row r="158" spans="1:23" ht="15" customHeight="1" x14ac:dyDescent="0.35">
      <c r="A158" t="str">
        <f>'Raw Data'!B156</f>
        <v>Cintas Corp</v>
      </c>
      <c r="B158" t="str">
        <f>'Raw Data'!A156</f>
        <v>ctas</v>
      </c>
      <c r="C158" t="str">
        <f>IF('Raw Data'!E156="N/A","Unclassified",TRIM(SUBSTITUTE('Raw Data'!E156," and "," &amp; ")))</f>
        <v>Commercial Services &amp; Supplies</v>
      </c>
      <c r="D158" s="17">
        <f>'Raw Data'!N156</f>
        <v>500</v>
      </c>
      <c r="E158" s="17">
        <f>'Raw Data'!O156</f>
        <v>300</v>
      </c>
      <c r="F158" s="17">
        <f>'Raw Data'!P156</f>
        <v>300</v>
      </c>
      <c r="G158" s="17">
        <f>'Raw Data'!Q156</f>
        <v>1100</v>
      </c>
      <c r="H158" s="18">
        <f>INDEX('Industry Stats'!$F$2:$F$49,MATCH($C158,'Industry Stats'!$A$2:$A$49,0))</f>
        <v>995.85714285714289</v>
      </c>
      <c r="I158" s="19">
        <f t="shared" si="22"/>
        <v>104.14285714285711</v>
      </c>
      <c r="J158" s="20">
        <f t="shared" si="23"/>
        <v>0.10457610098981492</v>
      </c>
      <c r="K158" s="18">
        <f>INDEX('Industry Stats'!$C$2:$C$49,MATCH($C158,'Industry Stats'!$A$2:$A$49,0))</f>
        <v>419.42857142857144</v>
      </c>
      <c r="L158" s="19">
        <f t="shared" si="24"/>
        <v>80.571428571428555</v>
      </c>
      <c r="M158" s="18">
        <f>INDEX('Industry Stats'!$D$2:$D$49,MATCH($C158,'Industry Stats'!$A$2:$A$49,0))</f>
        <v>301.28571428571428</v>
      </c>
      <c r="N158" s="19">
        <f t="shared" si="25"/>
        <v>-1.2857142857142776</v>
      </c>
      <c r="O158" s="18">
        <f>INDEX('Industry Stats'!$E$2:$E$49,MATCH($C158,'Industry Stats'!$A$2:$A$49,0))</f>
        <v>275.14285714285717</v>
      </c>
      <c r="P158" s="19">
        <f t="shared" si="26"/>
        <v>24.857142857142833</v>
      </c>
      <c r="R158">
        <f t="shared" si="27"/>
        <v>1100.0009841999999</v>
      </c>
      <c r="S158">
        <f t="shared" si="28"/>
        <v>500.0009842</v>
      </c>
      <c r="T158">
        <f t="shared" si="29"/>
        <v>300.0009842</v>
      </c>
      <c r="U158">
        <f t="shared" si="30"/>
        <v>300.0009842</v>
      </c>
      <c r="V158">
        <f t="shared" si="31"/>
        <v>104.14384134285712</v>
      </c>
      <c r="W158">
        <f t="shared" si="32"/>
        <v>-104.14187294285711</v>
      </c>
    </row>
    <row r="159" spans="1:23" ht="15" customHeight="1" x14ac:dyDescent="0.35">
      <c r="A159" t="str">
        <f>'Raw Data'!B157</f>
        <v>Citrix Systems Inc</v>
      </c>
      <c r="B159" t="str">
        <f>'Raw Data'!A157</f>
        <v>ctxs</v>
      </c>
      <c r="C159" t="str">
        <f>IF('Raw Data'!E157="N/A","Unclassified",TRIM(SUBSTITUTE('Raw Data'!E157," and "," &amp; ")))</f>
        <v>Technology</v>
      </c>
      <c r="D159" s="17">
        <f>'Raw Data'!N157</f>
        <v>530</v>
      </c>
      <c r="E159" s="17">
        <f>'Raw Data'!O157</f>
        <v>305</v>
      </c>
      <c r="F159" s="17">
        <f>'Raw Data'!P157</f>
        <v>305</v>
      </c>
      <c r="G159" s="17">
        <f>'Raw Data'!Q157</f>
        <v>1140</v>
      </c>
      <c r="H159" s="18">
        <f>INDEX('Industry Stats'!$F$2:$F$49,MATCH($C159,'Industry Stats'!$A$2:$A$49,0))</f>
        <v>1031.3174603174602</v>
      </c>
      <c r="I159" s="19">
        <f t="shared" si="22"/>
        <v>108.68253968253975</v>
      </c>
      <c r="J159" s="20">
        <f t="shared" si="23"/>
        <v>0.10538223569790536</v>
      </c>
      <c r="K159" s="18">
        <f>INDEX('Industry Stats'!$C$2:$C$49,MATCH($C159,'Industry Stats'!$A$2:$A$49,0))</f>
        <v>438.11111111111109</v>
      </c>
      <c r="L159" s="19">
        <f t="shared" si="24"/>
        <v>91.888888888888914</v>
      </c>
      <c r="M159" s="18">
        <f>INDEX('Industry Stats'!$D$2:$D$49,MATCH($C159,'Industry Stats'!$A$2:$A$49,0))</f>
        <v>307.90476190476193</v>
      </c>
      <c r="N159" s="19">
        <f t="shared" si="25"/>
        <v>-2.9047619047619264</v>
      </c>
      <c r="O159" s="18">
        <f>INDEX('Industry Stats'!$E$2:$E$49,MATCH($C159,'Industry Stats'!$A$2:$A$49,0))</f>
        <v>285.30158730158729</v>
      </c>
      <c r="P159" s="19">
        <f t="shared" si="26"/>
        <v>19.69841269841271</v>
      </c>
      <c r="R159">
        <f t="shared" si="27"/>
        <v>1140.0009841000001</v>
      </c>
      <c r="S159">
        <f t="shared" si="28"/>
        <v>530.00098409999998</v>
      </c>
      <c r="T159">
        <f t="shared" si="29"/>
        <v>305.00098409999998</v>
      </c>
      <c r="U159">
        <f t="shared" si="30"/>
        <v>305.00098409999998</v>
      </c>
      <c r="V159">
        <f t="shared" si="31"/>
        <v>108.68352378253975</v>
      </c>
      <c r="W159">
        <f t="shared" si="32"/>
        <v>-108.68155558253976</v>
      </c>
    </row>
    <row r="160" spans="1:23" ht="15" customHeight="1" x14ac:dyDescent="0.35">
      <c r="A160" t="str">
        <f>'Raw Data'!B158</f>
        <v>Caesars Entertainment Inc</v>
      </c>
      <c r="B160" t="str">
        <f>'Raw Data'!A158</f>
        <v>czr</v>
      </c>
      <c r="C160" t="str">
        <f>IF('Raw Data'!E158="N/A","Unclassified",TRIM(SUBSTITUTE('Raw Data'!E158," and "," &amp; ")))</f>
        <v>Hotels Restaurants &amp; Leisure</v>
      </c>
      <c r="D160" s="17">
        <f>'Raw Data'!N158</f>
        <v>265</v>
      </c>
      <c r="E160" s="17">
        <f>'Raw Data'!O158</f>
        <v>228</v>
      </c>
      <c r="F160" s="17">
        <f>'Raw Data'!P158</f>
        <v>200</v>
      </c>
      <c r="G160" s="17">
        <f>'Raw Data'!Q158</f>
        <v>693</v>
      </c>
      <c r="H160" s="18">
        <f>INDEX('Industry Stats'!$F$2:$F$49,MATCH($C160,'Industry Stats'!$A$2:$A$49,0))</f>
        <v>918.86363636363637</v>
      </c>
      <c r="I160" s="19">
        <f t="shared" si="22"/>
        <v>-225.86363636363637</v>
      </c>
      <c r="J160" s="20">
        <f t="shared" si="23"/>
        <v>-0.24580756863715064</v>
      </c>
      <c r="K160" s="18">
        <f>INDEX('Industry Stats'!$C$2:$C$49,MATCH($C160,'Industry Stats'!$A$2:$A$49,0))</f>
        <v>374.63636363636363</v>
      </c>
      <c r="L160" s="19">
        <f t="shared" si="24"/>
        <v>-109.63636363636363</v>
      </c>
      <c r="M160" s="18">
        <f>INDEX('Industry Stats'!$D$2:$D$49,MATCH($C160,'Industry Stats'!$A$2:$A$49,0))</f>
        <v>283.04545454545456</v>
      </c>
      <c r="N160" s="19">
        <f t="shared" si="25"/>
        <v>-55.045454545454561</v>
      </c>
      <c r="O160" s="18">
        <f>INDEX('Industry Stats'!$E$2:$E$49,MATCH($C160,'Industry Stats'!$A$2:$A$49,0))</f>
        <v>261.18181818181819</v>
      </c>
      <c r="P160" s="19">
        <f t="shared" si="26"/>
        <v>-61.181818181818187</v>
      </c>
      <c r="R160">
        <f t="shared" si="27"/>
        <v>693.00098400000002</v>
      </c>
      <c r="S160">
        <f t="shared" si="28"/>
        <v>265.00098400000002</v>
      </c>
      <c r="T160">
        <f t="shared" si="29"/>
        <v>228.00098399999999</v>
      </c>
      <c r="U160">
        <f t="shared" si="30"/>
        <v>200.00098399999999</v>
      </c>
      <c r="V160">
        <f t="shared" si="31"/>
        <v>-225.86265236363639</v>
      </c>
      <c r="W160">
        <f t="shared" si="32"/>
        <v>225.86462036363636</v>
      </c>
    </row>
    <row r="161" spans="1:23" ht="15" customHeight="1" x14ac:dyDescent="0.35">
      <c r="A161" t="str">
        <f>'Raw Data'!B159</f>
        <v>DISH Network Corp</v>
      </c>
      <c r="B161" t="str">
        <f>'Raw Data'!A159</f>
        <v>dish</v>
      </c>
      <c r="C161" t="str">
        <f>IF('Raw Data'!E159="N/A","Unclassified",TRIM(SUBSTITUTE('Raw Data'!E159," and "," &amp; ")))</f>
        <v>Media</v>
      </c>
      <c r="D161" s="17">
        <f>'Raw Data'!N159</f>
        <v>210</v>
      </c>
      <c r="E161" s="17">
        <f>'Raw Data'!O159</f>
        <v>263</v>
      </c>
      <c r="F161" s="17">
        <f>'Raw Data'!P159</f>
        <v>205</v>
      </c>
      <c r="G161" s="17">
        <f>'Raw Data'!Q159</f>
        <v>678</v>
      </c>
      <c r="H161" s="18">
        <f>INDEX('Industry Stats'!$F$2:$F$49,MATCH($C161,'Industry Stats'!$A$2:$A$49,0))</f>
        <v>935.26086956521738</v>
      </c>
      <c r="I161" s="19">
        <f t="shared" si="22"/>
        <v>-257.26086956521738</v>
      </c>
      <c r="J161" s="20">
        <f t="shared" si="23"/>
        <v>-0.27506856956905767</v>
      </c>
      <c r="K161" s="18">
        <f>INDEX('Industry Stats'!$C$2:$C$49,MATCH($C161,'Industry Stats'!$A$2:$A$49,0))</f>
        <v>346.91304347826087</v>
      </c>
      <c r="L161" s="19">
        <f t="shared" si="24"/>
        <v>-136.91304347826087</v>
      </c>
      <c r="M161" s="18">
        <f>INDEX('Industry Stats'!$D$2:$D$49,MATCH($C161,'Industry Stats'!$A$2:$A$49,0))</f>
        <v>313</v>
      </c>
      <c r="N161" s="19">
        <f t="shared" si="25"/>
        <v>-50</v>
      </c>
      <c r="O161" s="18">
        <f>INDEX('Industry Stats'!$E$2:$E$49,MATCH($C161,'Industry Stats'!$A$2:$A$49,0))</f>
        <v>275.3478260869565</v>
      </c>
      <c r="P161" s="19">
        <f t="shared" si="26"/>
        <v>-70.347826086956502</v>
      </c>
      <c r="R161">
        <f t="shared" si="27"/>
        <v>678.00098390000005</v>
      </c>
      <c r="S161">
        <f t="shared" si="28"/>
        <v>210.00098389999999</v>
      </c>
      <c r="T161">
        <f t="shared" si="29"/>
        <v>263.00098389999999</v>
      </c>
      <c r="U161">
        <f t="shared" si="30"/>
        <v>205.00098389999999</v>
      </c>
      <c r="V161">
        <f t="shared" si="31"/>
        <v>-257.25988566521738</v>
      </c>
      <c r="W161">
        <f t="shared" si="32"/>
        <v>257.26185346521737</v>
      </c>
    </row>
    <row r="162" spans="1:23" ht="15" customHeight="1" x14ac:dyDescent="0.35">
      <c r="A162" t="str">
        <f>'Raw Data'!B160</f>
        <v>Dollar Tree Inc</v>
      </c>
      <c r="B162" t="str">
        <f>'Raw Data'!A160</f>
        <v>dltr</v>
      </c>
      <c r="C162" t="str">
        <f>IF('Raw Data'!E160="N/A","Unclassified",TRIM(SUBSTITUTE('Raw Data'!E160," and "," &amp; ")))</f>
        <v>Retail</v>
      </c>
      <c r="D162" s="17">
        <f>'Raw Data'!N160</f>
        <v>235</v>
      </c>
      <c r="E162" s="17">
        <f>'Raw Data'!O160</f>
        <v>208</v>
      </c>
      <c r="F162" s="17">
        <f>'Raw Data'!P160</f>
        <v>215</v>
      </c>
      <c r="G162" s="17">
        <f>'Raw Data'!Q160</f>
        <v>658</v>
      </c>
      <c r="H162" s="18">
        <f>INDEX('Industry Stats'!$F$2:$F$49,MATCH($C162,'Industry Stats'!$A$2:$A$49,0))</f>
        <v>918.57692307692309</v>
      </c>
      <c r="I162" s="19">
        <f t="shared" si="22"/>
        <v>-260.57692307692309</v>
      </c>
      <c r="J162" s="20">
        <f t="shared" si="23"/>
        <v>-0.28367458024536285</v>
      </c>
      <c r="K162" s="18">
        <f>INDEX('Industry Stats'!$C$2:$C$49,MATCH($C162,'Industry Stats'!$A$2:$A$49,0))</f>
        <v>380.30769230769232</v>
      </c>
      <c r="L162" s="19">
        <f t="shared" si="24"/>
        <v>-145.30769230769232</v>
      </c>
      <c r="M162" s="18">
        <f>INDEX('Industry Stats'!$D$2:$D$49,MATCH($C162,'Industry Stats'!$A$2:$A$49,0))</f>
        <v>274.96153846153845</v>
      </c>
      <c r="N162" s="19">
        <f t="shared" si="25"/>
        <v>-66.961538461538453</v>
      </c>
      <c r="O162" s="18">
        <f>INDEX('Industry Stats'!$E$2:$E$49,MATCH($C162,'Industry Stats'!$A$2:$A$49,0))</f>
        <v>263.30769230769232</v>
      </c>
      <c r="P162" s="19">
        <f t="shared" si="26"/>
        <v>-48.307692307692321</v>
      </c>
      <c r="R162">
        <f t="shared" si="27"/>
        <v>658.00098379999997</v>
      </c>
      <c r="S162">
        <f t="shared" si="28"/>
        <v>235.0009838</v>
      </c>
      <c r="T162">
        <f t="shared" si="29"/>
        <v>208.0009838</v>
      </c>
      <c r="U162">
        <f t="shared" si="30"/>
        <v>215.0009838</v>
      </c>
      <c r="V162">
        <f t="shared" si="31"/>
        <v>-260.57593927692312</v>
      </c>
      <c r="W162">
        <f t="shared" si="32"/>
        <v>260.57790687692307</v>
      </c>
    </row>
    <row r="163" spans="1:23" ht="15" customHeight="1" x14ac:dyDescent="0.35">
      <c r="A163" t="str">
        <f>'Raw Data'!B161</f>
        <v>Dexcom Inc</v>
      </c>
      <c r="B163" t="str">
        <f>'Raw Data'!A161</f>
        <v>dxcm</v>
      </c>
      <c r="C163" t="str">
        <f>IF('Raw Data'!E161="N/A","Unclassified",TRIM(SUBSTITUTE('Raw Data'!E161," and "," &amp; ")))</f>
        <v>Health Care</v>
      </c>
      <c r="D163" s="17">
        <f>'Raw Data'!N161</f>
        <v>215</v>
      </c>
      <c r="E163" s="17">
        <f>'Raw Data'!O161</f>
        <v>236</v>
      </c>
      <c r="F163" s="17">
        <f>'Raw Data'!P161</f>
        <v>215</v>
      </c>
      <c r="G163" s="17">
        <f>'Raw Data'!Q161</f>
        <v>666</v>
      </c>
      <c r="H163" s="18">
        <f>INDEX('Industry Stats'!$F$2:$F$49,MATCH($C163,'Industry Stats'!$A$2:$A$49,0))</f>
        <v>938.76470588235293</v>
      </c>
      <c r="I163" s="19">
        <f t="shared" si="22"/>
        <v>-272.76470588235293</v>
      </c>
      <c r="J163" s="20">
        <f t="shared" si="23"/>
        <v>-0.29055705244689517</v>
      </c>
      <c r="K163" s="18">
        <f>INDEX('Industry Stats'!$C$2:$C$49,MATCH($C163,'Industry Stats'!$A$2:$A$49,0))</f>
        <v>374.52941176470586</v>
      </c>
      <c r="L163" s="19">
        <f t="shared" si="24"/>
        <v>-159.52941176470586</v>
      </c>
      <c r="M163" s="18">
        <f>INDEX('Industry Stats'!$D$2:$D$49,MATCH($C163,'Industry Stats'!$A$2:$A$49,0))</f>
        <v>287.43137254901961</v>
      </c>
      <c r="N163" s="19">
        <f t="shared" si="25"/>
        <v>-51.431372549019613</v>
      </c>
      <c r="O163" s="18">
        <f>INDEX('Industry Stats'!$E$2:$E$49,MATCH($C163,'Industry Stats'!$A$2:$A$49,0))</f>
        <v>276.80392156862746</v>
      </c>
      <c r="P163" s="19">
        <f t="shared" si="26"/>
        <v>-61.803921568627459</v>
      </c>
      <c r="R163">
        <f t="shared" si="27"/>
        <v>666.00098370000001</v>
      </c>
      <c r="S163">
        <f t="shared" si="28"/>
        <v>215.00098370000001</v>
      </c>
      <c r="T163">
        <f t="shared" si="29"/>
        <v>236.00098370000001</v>
      </c>
      <c r="U163">
        <f t="shared" si="30"/>
        <v>215.00098370000001</v>
      </c>
      <c r="V163">
        <f t="shared" si="31"/>
        <v>-272.76372218235292</v>
      </c>
      <c r="W163">
        <f t="shared" si="32"/>
        <v>272.76568958235293</v>
      </c>
    </row>
    <row r="164" spans="1:23" ht="15" customHeight="1" x14ac:dyDescent="0.35">
      <c r="A164" t="str">
        <f>'Raw Data'!B162</f>
        <v>Electronic Arts Inc</v>
      </c>
      <c r="B164" t="str">
        <f>'Raw Data'!A162</f>
        <v>ea</v>
      </c>
      <c r="C164" t="str">
        <f>IF('Raw Data'!E162="N/A","Unclassified",TRIM(SUBSTITUTE('Raw Data'!E162," and "," &amp; ")))</f>
        <v>Media</v>
      </c>
      <c r="D164" s="17">
        <f>'Raw Data'!N162</f>
        <v>360</v>
      </c>
      <c r="E164" s="17">
        <f>'Raw Data'!O162</f>
        <v>300</v>
      </c>
      <c r="F164" s="17">
        <f>'Raw Data'!P162</f>
        <v>225</v>
      </c>
      <c r="G164" s="17">
        <f>'Raw Data'!Q162</f>
        <v>885</v>
      </c>
      <c r="H164" s="18">
        <f>INDEX('Industry Stats'!$F$2:$F$49,MATCH($C164,'Industry Stats'!$A$2:$A$49,0))</f>
        <v>935.26086956521738</v>
      </c>
      <c r="I164" s="19">
        <f t="shared" si="22"/>
        <v>-50.260869565217376</v>
      </c>
      <c r="J164" s="20">
        <f t="shared" si="23"/>
        <v>-5.3739947003858479E-2</v>
      </c>
      <c r="K164" s="18">
        <f>INDEX('Industry Stats'!$C$2:$C$49,MATCH($C164,'Industry Stats'!$A$2:$A$49,0))</f>
        <v>346.91304347826087</v>
      </c>
      <c r="L164" s="19">
        <f t="shared" si="24"/>
        <v>13.086956521739125</v>
      </c>
      <c r="M164" s="18">
        <f>INDEX('Industry Stats'!$D$2:$D$49,MATCH($C164,'Industry Stats'!$A$2:$A$49,0))</f>
        <v>313</v>
      </c>
      <c r="N164" s="19">
        <f t="shared" si="25"/>
        <v>-13</v>
      </c>
      <c r="O164" s="18">
        <f>INDEX('Industry Stats'!$E$2:$E$49,MATCH($C164,'Industry Stats'!$A$2:$A$49,0))</f>
        <v>275.3478260869565</v>
      </c>
      <c r="P164" s="19">
        <f t="shared" si="26"/>
        <v>-50.347826086956502</v>
      </c>
      <c r="R164">
        <f t="shared" si="27"/>
        <v>885.00098360000004</v>
      </c>
      <c r="S164">
        <f t="shared" si="28"/>
        <v>360.00098359999998</v>
      </c>
      <c r="T164">
        <f t="shared" si="29"/>
        <v>300.00098359999998</v>
      </c>
      <c r="U164">
        <f t="shared" si="30"/>
        <v>225.00098360000001</v>
      </c>
      <c r="V164">
        <f t="shared" si="31"/>
        <v>-50.259885965217379</v>
      </c>
      <c r="W164">
        <f t="shared" si="32"/>
        <v>50.261853165217374</v>
      </c>
    </row>
    <row r="165" spans="1:23" ht="15" customHeight="1" x14ac:dyDescent="0.35">
      <c r="A165" t="str">
        <f>'Raw Data'!B163</f>
        <v>Alliant Energy Corp</v>
      </c>
      <c r="B165" t="str">
        <f>'Raw Data'!A163</f>
        <v>lnt</v>
      </c>
      <c r="C165" t="str">
        <f>IF('Raw Data'!E163="N/A","Unclassified",TRIM(SUBSTITUTE('Raw Data'!E163," and "," &amp; ")))</f>
        <v>Utilities</v>
      </c>
      <c r="D165" s="17">
        <f>'Raw Data'!N163</f>
        <v>519</v>
      </c>
      <c r="E165" s="17">
        <f>'Raw Data'!O163</f>
        <v>307</v>
      </c>
      <c r="F165" s="17">
        <f>'Raw Data'!P163</f>
        <v>300</v>
      </c>
      <c r="G165" s="17">
        <f>'Raw Data'!Q163</f>
        <v>1126</v>
      </c>
      <c r="H165" s="18">
        <f>INDEX('Industry Stats'!$F$2:$F$49,MATCH($C165,'Industry Stats'!$A$2:$A$49,0))</f>
        <v>1190.6333333333334</v>
      </c>
      <c r="I165" s="19">
        <f t="shared" si="22"/>
        <v>-64.633333333333439</v>
      </c>
      <c r="J165" s="20">
        <f t="shared" si="23"/>
        <v>-5.4284834401859036E-2</v>
      </c>
      <c r="K165" s="18">
        <f>INDEX('Industry Stats'!$C$2:$C$49,MATCH($C165,'Industry Stats'!$A$2:$A$49,0))</f>
        <v>550.9666666666667</v>
      </c>
      <c r="L165" s="19">
        <f t="shared" si="24"/>
        <v>-31.966666666666697</v>
      </c>
      <c r="M165" s="18">
        <f>INDEX('Industry Stats'!$D$2:$D$49,MATCH($C165,'Industry Stats'!$A$2:$A$49,0))</f>
        <v>357.4</v>
      </c>
      <c r="N165" s="19">
        <f t="shared" si="25"/>
        <v>-50.399999999999977</v>
      </c>
      <c r="O165" s="18">
        <f>INDEX('Industry Stats'!$E$2:$E$49,MATCH($C165,'Industry Stats'!$A$2:$A$49,0))</f>
        <v>282.26666666666665</v>
      </c>
      <c r="P165" s="19">
        <f t="shared" si="26"/>
        <v>17.733333333333348</v>
      </c>
      <c r="R165">
        <f t="shared" si="27"/>
        <v>1126.0009835000001</v>
      </c>
      <c r="S165">
        <f t="shared" si="28"/>
        <v>519.00098349999996</v>
      </c>
      <c r="T165">
        <f t="shared" si="29"/>
        <v>307.00098350000002</v>
      </c>
      <c r="U165">
        <f t="shared" si="30"/>
        <v>300.00098350000002</v>
      </c>
      <c r="V165">
        <f t="shared" si="31"/>
        <v>-64.632349833333436</v>
      </c>
      <c r="W165">
        <f t="shared" si="32"/>
        <v>64.634316833333443</v>
      </c>
    </row>
    <row r="166" spans="1:23" ht="15" customHeight="1" x14ac:dyDescent="0.35">
      <c r="A166" t="str">
        <f>'Raw Data'!B164</f>
        <v>Diamondback Energy Inc</v>
      </c>
      <c r="B166" t="str">
        <f>'Raw Data'!A164</f>
        <v>fang</v>
      </c>
      <c r="C166" t="str">
        <f>IF('Raw Data'!E164="N/A","Unclassified",TRIM(SUBSTITUTE('Raw Data'!E164," and "," &amp; ")))</f>
        <v>Energy</v>
      </c>
      <c r="D166" s="17">
        <f>'Raw Data'!N164</f>
        <v>513</v>
      </c>
      <c r="E166" s="17">
        <f>'Raw Data'!O164</f>
        <v>271</v>
      </c>
      <c r="F166" s="17">
        <f>'Raw Data'!P164</f>
        <v>300</v>
      </c>
      <c r="G166" s="17">
        <f>'Raw Data'!Q164</f>
        <v>1084</v>
      </c>
      <c r="H166" s="18">
        <f>INDEX('Industry Stats'!$F$2:$F$49,MATCH($C166,'Industry Stats'!$A$2:$A$49,0))</f>
        <v>1117.7619047619048</v>
      </c>
      <c r="I166" s="19">
        <f t="shared" si="22"/>
        <v>-33.761904761904816</v>
      </c>
      <c r="J166" s="20">
        <f t="shared" si="23"/>
        <v>-3.0204916286797643E-2</v>
      </c>
      <c r="K166" s="18">
        <f>INDEX('Industry Stats'!$C$2:$C$49,MATCH($C166,'Industry Stats'!$A$2:$A$49,0))</f>
        <v>515.09523809523807</v>
      </c>
      <c r="L166" s="19">
        <f t="shared" si="24"/>
        <v>-2.0952380952380736</v>
      </c>
      <c r="M166" s="18">
        <f>INDEX('Industry Stats'!$D$2:$D$49,MATCH($C166,'Industry Stats'!$A$2:$A$49,0))</f>
        <v>308.95238095238096</v>
      </c>
      <c r="N166" s="19">
        <f t="shared" si="25"/>
        <v>-37.952380952380963</v>
      </c>
      <c r="O166" s="18">
        <f>INDEX('Industry Stats'!$E$2:$E$49,MATCH($C166,'Industry Stats'!$A$2:$A$49,0))</f>
        <v>293.71428571428572</v>
      </c>
      <c r="P166" s="19">
        <f t="shared" si="26"/>
        <v>6.2857142857142776</v>
      </c>
      <c r="R166">
        <f t="shared" si="27"/>
        <v>1084.0009834</v>
      </c>
      <c r="S166">
        <f t="shared" si="28"/>
        <v>513.0009834</v>
      </c>
      <c r="T166">
        <f t="shared" si="29"/>
        <v>271.0009834</v>
      </c>
      <c r="U166">
        <f t="shared" si="30"/>
        <v>300.0009834</v>
      </c>
      <c r="V166">
        <f t="shared" si="31"/>
        <v>-33.760921361904813</v>
      </c>
      <c r="W166">
        <f t="shared" si="32"/>
        <v>33.762888161904819</v>
      </c>
    </row>
    <row r="167" spans="1:23" ht="15" customHeight="1" x14ac:dyDescent="0.35">
      <c r="A167" t="str">
        <f>'Raw Data'!B165</f>
        <v>eBay Inc</v>
      </c>
      <c r="B167" t="str">
        <f>'Raw Data'!A165</f>
        <v>ebay</v>
      </c>
      <c r="C167" t="str">
        <f>IF('Raw Data'!E165="N/A","Unclassified",TRIM(SUBSTITUTE('Raw Data'!E165," and "," &amp; ")))</f>
        <v>Retail</v>
      </c>
      <c r="D167" s="17">
        <f>'Raw Data'!N165</f>
        <v>500</v>
      </c>
      <c r="E167" s="17">
        <f>'Raw Data'!O165</f>
        <v>302</v>
      </c>
      <c r="F167" s="17">
        <f>'Raw Data'!P165</f>
        <v>305</v>
      </c>
      <c r="G167" s="17">
        <f>'Raw Data'!Q165</f>
        <v>1107</v>
      </c>
      <c r="H167" s="18">
        <f>INDEX('Industry Stats'!$F$2:$F$49,MATCH($C167,'Industry Stats'!$A$2:$A$49,0))</f>
        <v>918.57692307692309</v>
      </c>
      <c r="I167" s="19">
        <f t="shared" si="22"/>
        <v>188.42307692307691</v>
      </c>
      <c r="J167" s="20">
        <f t="shared" si="23"/>
        <v>0.20512498429845494</v>
      </c>
      <c r="K167" s="18">
        <f>INDEX('Industry Stats'!$C$2:$C$49,MATCH($C167,'Industry Stats'!$A$2:$A$49,0))</f>
        <v>380.30769230769232</v>
      </c>
      <c r="L167" s="19">
        <f t="shared" si="24"/>
        <v>119.69230769230768</v>
      </c>
      <c r="M167" s="18">
        <f>INDEX('Industry Stats'!$D$2:$D$49,MATCH($C167,'Industry Stats'!$A$2:$A$49,0))</f>
        <v>274.96153846153845</v>
      </c>
      <c r="N167" s="19">
        <f t="shared" si="25"/>
        <v>27.038461538461547</v>
      </c>
      <c r="O167" s="18">
        <f>INDEX('Industry Stats'!$E$2:$E$49,MATCH($C167,'Industry Stats'!$A$2:$A$49,0))</f>
        <v>263.30769230769232</v>
      </c>
      <c r="P167" s="19">
        <f t="shared" si="26"/>
        <v>41.692307692307679</v>
      </c>
      <c r="R167">
        <f t="shared" si="27"/>
        <v>1107.0009832999999</v>
      </c>
      <c r="S167">
        <f t="shared" si="28"/>
        <v>500.00098329999997</v>
      </c>
      <c r="T167">
        <f t="shared" si="29"/>
        <v>302.00098329999997</v>
      </c>
      <c r="U167">
        <f t="shared" si="30"/>
        <v>305.00098329999997</v>
      </c>
      <c r="V167">
        <f t="shared" si="31"/>
        <v>188.42406022307691</v>
      </c>
      <c r="W167">
        <f t="shared" si="32"/>
        <v>-188.4220936230769</v>
      </c>
    </row>
    <row r="168" spans="1:23" ht="15" customHeight="1" x14ac:dyDescent="0.35">
      <c r="A168" t="str">
        <f>'Raw Data'!B166</f>
        <v>LKQ Corp</v>
      </c>
      <c r="B168" t="str">
        <f>'Raw Data'!A166</f>
        <v>lkq</v>
      </c>
      <c r="C168" t="str">
        <f>IF('Raw Data'!E166="N/A","Unclassified",TRIM(SUBSTITUTE('Raw Data'!E166," and "," &amp; ")))</f>
        <v>Distributors</v>
      </c>
      <c r="D168" s="17">
        <f>'Raw Data'!N166</f>
        <v>515</v>
      </c>
      <c r="E168" s="17">
        <f>'Raw Data'!O166</f>
        <v>300</v>
      </c>
      <c r="F168" s="17">
        <f>'Raw Data'!P166</f>
        <v>305</v>
      </c>
      <c r="G168" s="17">
        <f>'Raw Data'!Q166</f>
        <v>1120</v>
      </c>
      <c r="H168" s="18">
        <f>INDEX('Industry Stats'!$F$2:$F$49,MATCH($C168,'Industry Stats'!$A$2:$A$49,0))</f>
        <v>1109.6666666666667</v>
      </c>
      <c r="I168" s="19">
        <f t="shared" si="22"/>
        <v>10.333333333333258</v>
      </c>
      <c r="J168" s="20">
        <f t="shared" si="23"/>
        <v>9.3121057374586282E-3</v>
      </c>
      <c r="K168" s="18">
        <f>INDEX('Industry Stats'!$C$2:$C$49,MATCH($C168,'Industry Stats'!$A$2:$A$49,0))</f>
        <v>525</v>
      </c>
      <c r="L168" s="19">
        <f t="shared" si="24"/>
        <v>-10</v>
      </c>
      <c r="M168" s="18">
        <f>INDEX('Industry Stats'!$D$2:$D$49,MATCH($C168,'Industry Stats'!$A$2:$A$49,0))</f>
        <v>277</v>
      </c>
      <c r="N168" s="19">
        <f t="shared" si="25"/>
        <v>23</v>
      </c>
      <c r="O168" s="18">
        <f>INDEX('Industry Stats'!$E$2:$E$49,MATCH($C168,'Industry Stats'!$A$2:$A$49,0))</f>
        <v>307.66666666666669</v>
      </c>
      <c r="P168" s="19">
        <f t="shared" si="26"/>
        <v>-2.6666666666666856</v>
      </c>
      <c r="R168">
        <f t="shared" si="27"/>
        <v>1120.0009832000001</v>
      </c>
      <c r="S168">
        <f t="shared" si="28"/>
        <v>515.00098319999995</v>
      </c>
      <c r="T168">
        <f t="shared" si="29"/>
        <v>300.00098320000001</v>
      </c>
      <c r="U168">
        <f t="shared" si="30"/>
        <v>305.00098320000001</v>
      </c>
      <c r="V168">
        <f t="shared" si="31"/>
        <v>10.334316533333258</v>
      </c>
      <c r="W168">
        <f t="shared" si="32"/>
        <v>-10.332350133333257</v>
      </c>
    </row>
    <row r="169" spans="1:23" ht="15" customHeight="1" x14ac:dyDescent="0.35">
      <c r="A169" t="str">
        <f>'Raw Data'!B167</f>
        <v>Alphabet Inc</v>
      </c>
      <c r="B169" t="str">
        <f>'Raw Data'!A167</f>
        <v>googl</v>
      </c>
      <c r="C169" t="str">
        <f>IF('Raw Data'!E167="N/A","Unclassified",TRIM(SUBSTITUTE('Raw Data'!E167," and "," &amp; ")))</f>
        <v>Media</v>
      </c>
      <c r="D169" s="17">
        <f>'Raw Data'!N167</f>
        <v>295</v>
      </c>
      <c r="E169" s="17">
        <f>'Raw Data'!O167</f>
        <v>362</v>
      </c>
      <c r="F169" s="17">
        <f>'Raw Data'!P167</f>
        <v>355</v>
      </c>
      <c r="G169" s="17">
        <f>'Raw Data'!Q167</f>
        <v>1012</v>
      </c>
      <c r="H169" s="18">
        <f>INDEX('Industry Stats'!$F$2:$F$49,MATCH($C169,'Industry Stats'!$A$2:$A$49,0))</f>
        <v>935.26086956521738</v>
      </c>
      <c r="I169" s="19">
        <f t="shared" si="22"/>
        <v>76.739130434782624</v>
      </c>
      <c r="J169" s="20">
        <f t="shared" si="23"/>
        <v>8.2051043652085001E-2</v>
      </c>
      <c r="K169" s="18">
        <f>INDEX('Industry Stats'!$C$2:$C$49,MATCH($C169,'Industry Stats'!$A$2:$A$49,0))</f>
        <v>346.91304347826087</v>
      </c>
      <c r="L169" s="19">
        <f t="shared" si="24"/>
        <v>-51.913043478260875</v>
      </c>
      <c r="M169" s="18">
        <f>INDEX('Industry Stats'!$D$2:$D$49,MATCH($C169,'Industry Stats'!$A$2:$A$49,0))</f>
        <v>313</v>
      </c>
      <c r="N169" s="19">
        <f t="shared" si="25"/>
        <v>49</v>
      </c>
      <c r="O169" s="18">
        <f>INDEX('Industry Stats'!$E$2:$E$49,MATCH($C169,'Industry Stats'!$A$2:$A$49,0))</f>
        <v>275.3478260869565</v>
      </c>
      <c r="P169" s="19">
        <f t="shared" si="26"/>
        <v>79.652173913043498</v>
      </c>
      <c r="R169">
        <f t="shared" si="27"/>
        <v>1012.0009831</v>
      </c>
      <c r="S169">
        <f t="shared" si="28"/>
        <v>295.00098309999998</v>
      </c>
      <c r="T169">
        <f t="shared" si="29"/>
        <v>362.00098309999998</v>
      </c>
      <c r="U169">
        <f t="shared" si="30"/>
        <v>355.00098309999998</v>
      </c>
      <c r="V169">
        <f t="shared" si="31"/>
        <v>76.740113534782623</v>
      </c>
      <c r="W169">
        <f t="shared" si="32"/>
        <v>-76.738147334782624</v>
      </c>
    </row>
    <row r="170" spans="1:23" ht="15" customHeight="1" x14ac:dyDescent="0.35">
      <c r="A170" t="str">
        <f>'Raw Data'!B168</f>
        <v>Marriott International Inc</v>
      </c>
      <c r="B170" t="str">
        <f>'Raw Data'!A168</f>
        <v>mar</v>
      </c>
      <c r="C170" t="str">
        <f>IF('Raw Data'!E168="N/A","Unclassified",TRIM(SUBSTITUTE('Raw Data'!E168," and "," &amp; ")))</f>
        <v>Hotels Restaurants &amp; Leisure</v>
      </c>
      <c r="D170" s="17">
        <f>'Raw Data'!N168</f>
        <v>215</v>
      </c>
      <c r="E170" s="17">
        <f>'Raw Data'!O168</f>
        <v>200</v>
      </c>
      <c r="F170" s="17">
        <f>'Raw Data'!P168</f>
        <v>215</v>
      </c>
      <c r="G170" s="17">
        <f>'Raw Data'!Q168</f>
        <v>630</v>
      </c>
      <c r="H170" s="18">
        <f>INDEX('Industry Stats'!$F$2:$F$49,MATCH($C170,'Industry Stats'!$A$2:$A$49,0))</f>
        <v>918.86363636363637</v>
      </c>
      <c r="I170" s="19">
        <f t="shared" si="22"/>
        <v>-288.86363636363637</v>
      </c>
      <c r="J170" s="20">
        <f t="shared" si="23"/>
        <v>-0.31437051694286422</v>
      </c>
      <c r="K170" s="18">
        <f>INDEX('Industry Stats'!$C$2:$C$49,MATCH($C170,'Industry Stats'!$A$2:$A$49,0))</f>
        <v>374.63636363636363</v>
      </c>
      <c r="L170" s="19">
        <f t="shared" si="24"/>
        <v>-159.63636363636363</v>
      </c>
      <c r="M170" s="18">
        <f>INDEX('Industry Stats'!$D$2:$D$49,MATCH($C170,'Industry Stats'!$A$2:$A$49,0))</f>
        <v>283.04545454545456</v>
      </c>
      <c r="N170" s="19">
        <f t="shared" si="25"/>
        <v>-83.045454545454561</v>
      </c>
      <c r="O170" s="18">
        <f>INDEX('Industry Stats'!$E$2:$E$49,MATCH($C170,'Industry Stats'!$A$2:$A$49,0))</f>
        <v>261.18181818181819</v>
      </c>
      <c r="P170" s="19">
        <f t="shared" si="26"/>
        <v>-46.181818181818187</v>
      </c>
      <c r="R170">
        <f t="shared" si="27"/>
        <v>630.00098300000002</v>
      </c>
      <c r="S170">
        <f t="shared" si="28"/>
        <v>215.00098299999999</v>
      </c>
      <c r="T170">
        <f t="shared" si="29"/>
        <v>200.00098299999999</v>
      </c>
      <c r="U170">
        <f t="shared" si="30"/>
        <v>215.00098299999999</v>
      </c>
      <c r="V170">
        <f t="shared" si="31"/>
        <v>-288.86265336363635</v>
      </c>
      <c r="W170">
        <f t="shared" si="32"/>
        <v>288.86461936363639</v>
      </c>
    </row>
    <row r="171" spans="1:23" ht="15" customHeight="1" x14ac:dyDescent="0.35">
      <c r="A171" t="str">
        <f>'Raw Data'!B169</f>
        <v>Microchip Technology Inc</v>
      </c>
      <c r="B171" t="str">
        <f>'Raw Data'!A169</f>
        <v>mchp</v>
      </c>
      <c r="C171" t="str">
        <f>IF('Raw Data'!E169="N/A","Unclassified",TRIM(SUBSTITUTE('Raw Data'!E169," and "," &amp; ")))</f>
        <v>Semiconductors</v>
      </c>
      <c r="D171" s="17">
        <f>'Raw Data'!N169</f>
        <v>500</v>
      </c>
      <c r="E171" s="17">
        <f>'Raw Data'!O169</f>
        <v>300</v>
      </c>
      <c r="F171" s="17">
        <f>'Raw Data'!P169</f>
        <v>300</v>
      </c>
      <c r="G171" s="17">
        <f>'Raw Data'!Q169</f>
        <v>1100</v>
      </c>
      <c r="H171" s="18">
        <f>INDEX('Industry Stats'!$F$2:$F$49,MATCH($C171,'Industry Stats'!$A$2:$A$49,0))</f>
        <v>1030.5833333333333</v>
      </c>
      <c r="I171" s="19">
        <f t="shared" si="22"/>
        <v>69.416666666666742</v>
      </c>
      <c r="J171" s="20">
        <f t="shared" si="23"/>
        <v>6.7356675022236676E-2</v>
      </c>
      <c r="K171" s="18">
        <f>INDEX('Industry Stats'!$C$2:$C$49,MATCH($C171,'Industry Stats'!$A$2:$A$49,0))</f>
        <v>448.45833333333331</v>
      </c>
      <c r="L171" s="19">
        <f t="shared" si="24"/>
        <v>51.541666666666686</v>
      </c>
      <c r="M171" s="18">
        <f>INDEX('Industry Stats'!$D$2:$D$49,MATCH($C171,'Industry Stats'!$A$2:$A$49,0))</f>
        <v>296.70833333333331</v>
      </c>
      <c r="N171" s="19">
        <f t="shared" si="25"/>
        <v>3.2916666666666856</v>
      </c>
      <c r="O171" s="18">
        <f>INDEX('Industry Stats'!$E$2:$E$49,MATCH($C171,'Industry Stats'!$A$2:$A$49,0))</f>
        <v>285.41666666666669</v>
      </c>
      <c r="P171" s="19">
        <f t="shared" si="26"/>
        <v>14.583333333333314</v>
      </c>
      <c r="R171">
        <f t="shared" si="27"/>
        <v>1100.0009829000001</v>
      </c>
      <c r="S171">
        <f t="shared" si="28"/>
        <v>500.0009829</v>
      </c>
      <c r="T171">
        <f t="shared" si="29"/>
        <v>300.0009829</v>
      </c>
      <c r="U171">
        <f t="shared" si="30"/>
        <v>300.0009829</v>
      </c>
      <c r="V171">
        <f t="shared" si="31"/>
        <v>69.417649566666739</v>
      </c>
      <c r="W171">
        <f t="shared" si="32"/>
        <v>-69.415683766666746</v>
      </c>
    </row>
    <row r="172" spans="1:23" ht="15" customHeight="1" x14ac:dyDescent="0.35">
      <c r="A172" t="str">
        <f>'Raw Data'!B170</f>
        <v>Lam Research Corp</v>
      </c>
      <c r="B172" t="str">
        <f>'Raw Data'!A170</f>
        <v>lrcx</v>
      </c>
      <c r="C172" t="str">
        <f>IF('Raw Data'!E170="N/A","Unclassified",TRIM(SUBSTITUTE('Raw Data'!E170," and "," &amp; ")))</f>
        <v>Semiconductors</v>
      </c>
      <c r="D172" s="17">
        <f>'Raw Data'!N170</f>
        <v>510</v>
      </c>
      <c r="E172" s="17">
        <f>'Raw Data'!O170</f>
        <v>325</v>
      </c>
      <c r="F172" s="17">
        <f>'Raw Data'!P170</f>
        <v>315</v>
      </c>
      <c r="G172" s="17">
        <f>'Raw Data'!Q170</f>
        <v>1150</v>
      </c>
      <c r="H172" s="18">
        <f>INDEX('Industry Stats'!$F$2:$F$49,MATCH($C172,'Industry Stats'!$A$2:$A$49,0))</f>
        <v>1030.5833333333333</v>
      </c>
      <c r="I172" s="19">
        <f t="shared" si="22"/>
        <v>119.41666666666674</v>
      </c>
      <c r="J172" s="20">
        <f t="shared" si="23"/>
        <v>0.11587288752324744</v>
      </c>
      <c r="K172" s="18">
        <f>INDEX('Industry Stats'!$C$2:$C$49,MATCH($C172,'Industry Stats'!$A$2:$A$49,0))</f>
        <v>448.45833333333331</v>
      </c>
      <c r="L172" s="19">
        <f t="shared" si="24"/>
        <v>61.541666666666686</v>
      </c>
      <c r="M172" s="18">
        <f>INDEX('Industry Stats'!$D$2:$D$49,MATCH($C172,'Industry Stats'!$A$2:$A$49,0))</f>
        <v>296.70833333333331</v>
      </c>
      <c r="N172" s="19">
        <f t="shared" si="25"/>
        <v>28.291666666666686</v>
      </c>
      <c r="O172" s="18">
        <f>INDEX('Industry Stats'!$E$2:$E$49,MATCH($C172,'Industry Stats'!$A$2:$A$49,0))</f>
        <v>285.41666666666669</v>
      </c>
      <c r="P172" s="19">
        <f t="shared" si="26"/>
        <v>29.583333333333314</v>
      </c>
      <c r="R172">
        <f t="shared" si="27"/>
        <v>1150.0009828</v>
      </c>
      <c r="S172">
        <f t="shared" si="28"/>
        <v>510.00098279999997</v>
      </c>
      <c r="T172">
        <f t="shared" si="29"/>
        <v>325.00098279999997</v>
      </c>
      <c r="U172">
        <f t="shared" si="30"/>
        <v>315.00098279999997</v>
      </c>
      <c r="V172">
        <f t="shared" si="31"/>
        <v>119.41764946666675</v>
      </c>
      <c r="W172">
        <f t="shared" si="32"/>
        <v>-119.41568386666674</v>
      </c>
    </row>
    <row r="173" spans="1:23" ht="15" customHeight="1" x14ac:dyDescent="0.35">
      <c r="A173" t="str">
        <f>'Raw Data'!B171</f>
        <v>Mondelez International Inc</v>
      </c>
      <c r="B173" t="str">
        <f>'Raw Data'!A171</f>
        <v>mdlz</v>
      </c>
      <c r="C173" t="str">
        <f>IF('Raw Data'!E171="N/A","Unclassified",TRIM(SUBSTITUTE('Raw Data'!E171," and "," &amp; ")))</f>
        <v>Food Products</v>
      </c>
      <c r="D173" s="17">
        <f>'Raw Data'!N171</f>
        <v>520</v>
      </c>
      <c r="E173" s="17">
        <f>'Raw Data'!O171</f>
        <v>307</v>
      </c>
      <c r="F173" s="17">
        <f>'Raw Data'!P171</f>
        <v>300</v>
      </c>
      <c r="G173" s="17">
        <f>'Raw Data'!Q171</f>
        <v>1127</v>
      </c>
      <c r="H173" s="18">
        <f>INDEX('Industry Stats'!$F$2:$F$49,MATCH($C173,'Industry Stats'!$A$2:$A$49,0))</f>
        <v>1131.0714285714287</v>
      </c>
      <c r="I173" s="19">
        <f t="shared" si="22"/>
        <v>-4.0714285714286689</v>
      </c>
      <c r="J173" s="20">
        <f t="shared" si="23"/>
        <v>-3.5996210925166631E-3</v>
      </c>
      <c r="K173" s="18">
        <f>INDEX('Industry Stats'!$C$2:$C$49,MATCH($C173,'Industry Stats'!$A$2:$A$49,0))</f>
        <v>516.57142857142856</v>
      </c>
      <c r="L173" s="19">
        <f t="shared" si="24"/>
        <v>3.4285714285714448</v>
      </c>
      <c r="M173" s="18">
        <f>INDEX('Industry Stats'!$D$2:$D$49,MATCH($C173,'Industry Stats'!$A$2:$A$49,0))</f>
        <v>311.28571428571428</v>
      </c>
      <c r="N173" s="19">
        <f t="shared" si="25"/>
        <v>-4.2857142857142776</v>
      </c>
      <c r="O173" s="18">
        <f>INDEX('Industry Stats'!$E$2:$E$49,MATCH($C173,'Industry Stats'!$A$2:$A$49,0))</f>
        <v>303.21428571428572</v>
      </c>
      <c r="P173" s="19">
        <f t="shared" si="26"/>
        <v>-3.2142857142857224</v>
      </c>
      <c r="R173">
        <f t="shared" si="27"/>
        <v>1127.0009826999999</v>
      </c>
      <c r="S173">
        <f t="shared" si="28"/>
        <v>520.00098270000001</v>
      </c>
      <c r="T173">
        <f t="shared" si="29"/>
        <v>307.00098270000001</v>
      </c>
      <c r="U173">
        <f t="shared" si="30"/>
        <v>300.00098270000001</v>
      </c>
      <c r="V173">
        <f t="shared" si="31"/>
        <v>-4.0704458714286691</v>
      </c>
      <c r="W173">
        <f t="shared" si="32"/>
        <v>4.0724112714286687</v>
      </c>
    </row>
    <row r="174" spans="1:23" ht="15" customHeight="1" x14ac:dyDescent="0.35">
      <c r="A174" t="str">
        <f>'Raw Data'!B172</f>
        <v>Meta Platforms Inc</v>
      </c>
      <c r="B174" t="str">
        <f>'Raw Data'!A172</f>
        <v>meta</v>
      </c>
      <c r="C174" t="str">
        <f>IF('Raw Data'!E172="N/A","Unclassified",TRIM(SUBSTITUTE('Raw Data'!E172," and "," &amp; ")))</f>
        <v>Media</v>
      </c>
      <c r="D174" s="17">
        <f>'Raw Data'!N172</f>
        <v>205</v>
      </c>
      <c r="E174" s="17">
        <f>'Raw Data'!O172</f>
        <v>232</v>
      </c>
      <c r="F174" s="17">
        <f>'Raw Data'!P172</f>
        <v>215</v>
      </c>
      <c r="G174" s="17">
        <f>'Raw Data'!Q172</f>
        <v>652</v>
      </c>
      <c r="H174" s="18">
        <f>INDEX('Industry Stats'!$F$2:$F$49,MATCH($C174,'Industry Stats'!$A$2:$A$49,0))</f>
        <v>935.26086956521738</v>
      </c>
      <c r="I174" s="19">
        <f t="shared" si="22"/>
        <v>-283.26086956521738</v>
      </c>
      <c r="J174" s="20">
        <f t="shared" si="23"/>
        <v>-0.30286829993956577</v>
      </c>
      <c r="K174" s="18">
        <f>INDEX('Industry Stats'!$C$2:$C$49,MATCH($C174,'Industry Stats'!$A$2:$A$49,0))</f>
        <v>346.91304347826087</v>
      </c>
      <c r="L174" s="19">
        <f t="shared" si="24"/>
        <v>-141.91304347826087</v>
      </c>
      <c r="M174" s="18">
        <f>INDEX('Industry Stats'!$D$2:$D$49,MATCH($C174,'Industry Stats'!$A$2:$A$49,0))</f>
        <v>313</v>
      </c>
      <c r="N174" s="19">
        <f t="shared" si="25"/>
        <v>-81</v>
      </c>
      <c r="O174" s="18">
        <f>INDEX('Industry Stats'!$E$2:$E$49,MATCH($C174,'Industry Stats'!$A$2:$A$49,0))</f>
        <v>275.3478260869565</v>
      </c>
      <c r="P174" s="19">
        <f t="shared" si="26"/>
        <v>-60.347826086956502</v>
      </c>
      <c r="R174">
        <f t="shared" si="27"/>
        <v>652.00098260000004</v>
      </c>
      <c r="S174">
        <f t="shared" si="28"/>
        <v>205.00098259999999</v>
      </c>
      <c r="T174">
        <f t="shared" si="29"/>
        <v>232.00098259999999</v>
      </c>
      <c r="U174">
        <f t="shared" si="30"/>
        <v>215.00098259999999</v>
      </c>
      <c r="V174">
        <f t="shared" si="31"/>
        <v>-283.25988696521739</v>
      </c>
      <c r="W174">
        <f t="shared" si="32"/>
        <v>283.26185216521736</v>
      </c>
    </row>
    <row r="175" spans="1:23" ht="15" customHeight="1" x14ac:dyDescent="0.35">
      <c r="A175" t="str">
        <f>'Raw Data'!B173</f>
        <v>Marketaxess Holdings Inc</v>
      </c>
      <c r="B175" t="str">
        <f>'Raw Data'!A173</f>
        <v>mktx</v>
      </c>
      <c r="C175" t="str">
        <f>IF('Raw Data'!E173="N/A","Unclassified",TRIM(SUBSTITUTE('Raw Data'!E173," and "," &amp; ")))</f>
        <v>Financial Services</v>
      </c>
      <c r="D175" s="17">
        <f>'Raw Data'!N173</f>
        <v>230</v>
      </c>
      <c r="E175" s="17">
        <f>'Raw Data'!O173</f>
        <v>213</v>
      </c>
      <c r="F175" s="17">
        <f>'Raw Data'!P173</f>
        <v>210</v>
      </c>
      <c r="G175" s="17">
        <f>'Raw Data'!Q173</f>
        <v>653</v>
      </c>
      <c r="H175" s="18">
        <f>INDEX('Industry Stats'!$F$2:$F$49,MATCH($C175,'Industry Stats'!$A$2:$A$49,0))</f>
        <v>909.33333333333337</v>
      </c>
      <c r="I175" s="19">
        <f t="shared" si="22"/>
        <v>-256.33333333333337</v>
      </c>
      <c r="J175" s="20">
        <f t="shared" si="23"/>
        <v>-0.28189149560117305</v>
      </c>
      <c r="K175" s="18">
        <f>INDEX('Industry Stats'!$C$2:$C$49,MATCH($C175,'Industry Stats'!$A$2:$A$49,0))</f>
        <v>367.63636363636363</v>
      </c>
      <c r="L175" s="19">
        <f t="shared" si="24"/>
        <v>-137.63636363636363</v>
      </c>
      <c r="M175" s="18">
        <f>INDEX('Industry Stats'!$D$2:$D$49,MATCH($C175,'Industry Stats'!$A$2:$A$49,0))</f>
        <v>276.45454545454544</v>
      </c>
      <c r="N175" s="19">
        <f t="shared" si="25"/>
        <v>-63.454545454545439</v>
      </c>
      <c r="O175" s="18">
        <f>INDEX('Industry Stats'!$E$2:$E$49,MATCH($C175,'Industry Stats'!$A$2:$A$49,0))</f>
        <v>265.24242424242425</v>
      </c>
      <c r="P175" s="19">
        <f t="shared" si="26"/>
        <v>-55.242424242424249</v>
      </c>
      <c r="R175">
        <f t="shared" si="27"/>
        <v>653.00098249999996</v>
      </c>
      <c r="S175">
        <f t="shared" si="28"/>
        <v>230.00098249999999</v>
      </c>
      <c r="T175">
        <f t="shared" si="29"/>
        <v>213.00098249999999</v>
      </c>
      <c r="U175">
        <f t="shared" si="30"/>
        <v>210.00098249999999</v>
      </c>
      <c r="V175">
        <f t="shared" si="31"/>
        <v>-256.33235083333335</v>
      </c>
      <c r="W175">
        <f t="shared" si="32"/>
        <v>256.33431583333339</v>
      </c>
    </row>
    <row r="176" spans="1:23" ht="15" customHeight="1" x14ac:dyDescent="0.35">
      <c r="A176" t="str">
        <f>'Raw Data'!B174</f>
        <v>Monster Beverage Corp</v>
      </c>
      <c r="B176" t="str">
        <f>'Raw Data'!A174</f>
        <v>mnst</v>
      </c>
      <c r="C176" t="str">
        <f>IF('Raw Data'!E174="N/A","Unclassified",TRIM(SUBSTITUTE('Raw Data'!E174," and "," &amp; ")))</f>
        <v>Beverages</v>
      </c>
      <c r="D176" s="17">
        <f>'Raw Data'!N174</f>
        <v>515</v>
      </c>
      <c r="E176" s="17">
        <f>'Raw Data'!O174</f>
        <v>344</v>
      </c>
      <c r="F176" s="17">
        <f>'Raw Data'!P174</f>
        <v>300</v>
      </c>
      <c r="G176" s="17">
        <f>'Raw Data'!Q174</f>
        <v>1159</v>
      </c>
      <c r="H176" s="18">
        <f>INDEX('Industry Stats'!$F$2:$F$49,MATCH($C176,'Industry Stats'!$A$2:$A$49,0))</f>
        <v>1061</v>
      </c>
      <c r="I176" s="19">
        <f t="shared" si="22"/>
        <v>98</v>
      </c>
      <c r="J176" s="20">
        <f t="shared" si="23"/>
        <v>9.2365692742695571E-2</v>
      </c>
      <c r="K176" s="18">
        <f>INDEX('Industry Stats'!$C$2:$C$49,MATCH($C176,'Industry Stats'!$A$2:$A$49,0))</f>
        <v>473.25</v>
      </c>
      <c r="L176" s="19">
        <f t="shared" si="24"/>
        <v>41.75</v>
      </c>
      <c r="M176" s="18">
        <f>INDEX('Industry Stats'!$D$2:$D$49,MATCH($C176,'Industry Stats'!$A$2:$A$49,0))</f>
        <v>299.5</v>
      </c>
      <c r="N176" s="19">
        <f t="shared" si="25"/>
        <v>44.5</v>
      </c>
      <c r="O176" s="18">
        <f>INDEX('Industry Stats'!$E$2:$E$49,MATCH($C176,'Industry Stats'!$A$2:$A$49,0))</f>
        <v>288.25</v>
      </c>
      <c r="P176" s="19">
        <f t="shared" si="26"/>
        <v>11.75</v>
      </c>
      <c r="R176">
        <f t="shared" si="27"/>
        <v>1159.0009824000001</v>
      </c>
      <c r="S176">
        <f t="shared" si="28"/>
        <v>515.0009824</v>
      </c>
      <c r="T176">
        <f t="shared" si="29"/>
        <v>344.0009824</v>
      </c>
      <c r="U176">
        <f t="shared" si="30"/>
        <v>300.0009824</v>
      </c>
      <c r="V176">
        <f t="shared" si="31"/>
        <v>98.000982399999998</v>
      </c>
      <c r="W176">
        <f t="shared" si="32"/>
        <v>-97.999017600000002</v>
      </c>
    </row>
    <row r="177" spans="1:23" ht="15" customHeight="1" x14ac:dyDescent="0.35">
      <c r="A177" t="str">
        <f>'Raw Data'!B175</f>
        <v>Moderna Inc</v>
      </c>
      <c r="B177" t="str">
        <f>'Raw Data'!A175</f>
        <v>mrna</v>
      </c>
      <c r="C177" t="str">
        <f>IF('Raw Data'!E175="N/A","Unclassified",TRIM(SUBSTITUTE('Raw Data'!E175," and "," &amp; ")))</f>
        <v>Biotechnology</v>
      </c>
      <c r="D177" s="17">
        <f>'Raw Data'!N175</f>
        <v>500</v>
      </c>
      <c r="E177" s="17">
        <f>'Raw Data'!O175</f>
        <v>300</v>
      </c>
      <c r="F177" s="17">
        <f>'Raw Data'!P175</f>
        <v>300</v>
      </c>
      <c r="G177" s="17">
        <f>'Raw Data'!Q175</f>
        <v>1100</v>
      </c>
      <c r="H177" s="18">
        <f>INDEX('Industry Stats'!$F$2:$F$49,MATCH($C177,'Industry Stats'!$A$2:$A$49,0))</f>
        <v>866.91071428571433</v>
      </c>
      <c r="I177" s="19">
        <f t="shared" si="22"/>
        <v>233.08928571428567</v>
      </c>
      <c r="J177" s="20">
        <f t="shared" si="23"/>
        <v>0.26887346282983493</v>
      </c>
      <c r="K177" s="18">
        <f>INDEX('Industry Stats'!$C$2:$C$49,MATCH($C177,'Industry Stats'!$A$2:$A$49,0))</f>
        <v>306.53571428571428</v>
      </c>
      <c r="L177" s="19">
        <f t="shared" si="24"/>
        <v>193.46428571428572</v>
      </c>
      <c r="M177" s="18">
        <f>INDEX('Industry Stats'!$D$2:$D$49,MATCH($C177,'Industry Stats'!$A$2:$A$49,0))</f>
        <v>268.85714285714283</v>
      </c>
      <c r="N177" s="19">
        <f t="shared" si="25"/>
        <v>31.142857142857167</v>
      </c>
      <c r="O177" s="18">
        <f>INDEX('Industry Stats'!$E$2:$E$49,MATCH($C177,'Industry Stats'!$A$2:$A$49,0))</f>
        <v>291.51785714285717</v>
      </c>
      <c r="P177" s="19">
        <f t="shared" si="26"/>
        <v>8.4821428571428328</v>
      </c>
      <c r="R177">
        <f t="shared" si="27"/>
        <v>1100.0009823</v>
      </c>
      <c r="S177">
        <f t="shared" si="28"/>
        <v>500.00098229999998</v>
      </c>
      <c r="T177">
        <f t="shared" si="29"/>
        <v>300.00098229999998</v>
      </c>
      <c r="U177">
        <f t="shared" si="30"/>
        <v>300.00098229999998</v>
      </c>
      <c r="V177">
        <f t="shared" si="31"/>
        <v>233.09026801428567</v>
      </c>
      <c r="W177">
        <f t="shared" si="32"/>
        <v>-233.08830341428566</v>
      </c>
    </row>
    <row r="178" spans="1:23" ht="15" customHeight="1" x14ac:dyDescent="0.35">
      <c r="A178" t="str">
        <f>'Raw Data'!B176</f>
        <v>Match Group Inc</v>
      </c>
      <c r="B178" t="str">
        <f>'Raw Data'!A176</f>
        <v>mtch</v>
      </c>
      <c r="C178" t="str">
        <f>IF('Raw Data'!E176="N/A","Unclassified",TRIM(SUBSTITUTE('Raw Data'!E176," and "," &amp; ")))</f>
        <v>Media</v>
      </c>
      <c r="D178" s="17">
        <f>'Raw Data'!N176</f>
        <v>245</v>
      </c>
      <c r="E178" s="17">
        <f>'Raw Data'!O176</f>
        <v>389</v>
      </c>
      <c r="F178" s="17">
        <f>'Raw Data'!P176</f>
        <v>311</v>
      </c>
      <c r="G178" s="17">
        <f>'Raw Data'!Q176</f>
        <v>945</v>
      </c>
      <c r="H178" s="18">
        <f>INDEX('Industry Stats'!$F$2:$F$49,MATCH($C178,'Industry Stats'!$A$2:$A$49,0))</f>
        <v>935.26086956521738</v>
      </c>
      <c r="I178" s="19">
        <f t="shared" si="22"/>
        <v>9.7391304347826235</v>
      </c>
      <c r="J178" s="20">
        <f t="shared" si="23"/>
        <v>1.0413276928083323E-2</v>
      </c>
      <c r="K178" s="18">
        <f>INDEX('Industry Stats'!$C$2:$C$49,MATCH($C178,'Industry Stats'!$A$2:$A$49,0))</f>
        <v>346.91304347826087</v>
      </c>
      <c r="L178" s="19">
        <f t="shared" si="24"/>
        <v>-101.91304347826087</v>
      </c>
      <c r="M178" s="18">
        <f>INDEX('Industry Stats'!$D$2:$D$49,MATCH($C178,'Industry Stats'!$A$2:$A$49,0))</f>
        <v>313</v>
      </c>
      <c r="N178" s="19">
        <f t="shared" si="25"/>
        <v>76</v>
      </c>
      <c r="O178" s="18">
        <f>INDEX('Industry Stats'!$E$2:$E$49,MATCH($C178,'Industry Stats'!$A$2:$A$49,0))</f>
        <v>275.3478260869565</v>
      </c>
      <c r="P178" s="19">
        <f t="shared" si="26"/>
        <v>35.652173913043498</v>
      </c>
      <c r="R178">
        <f t="shared" si="27"/>
        <v>945.00098219999995</v>
      </c>
      <c r="S178">
        <f t="shared" si="28"/>
        <v>245.00098220000001</v>
      </c>
      <c r="T178">
        <f t="shared" si="29"/>
        <v>389.00098220000001</v>
      </c>
      <c r="U178">
        <f t="shared" si="30"/>
        <v>311.00098220000001</v>
      </c>
      <c r="V178">
        <f t="shared" si="31"/>
        <v>9.7401126347826228</v>
      </c>
      <c r="W178">
        <f t="shared" si="32"/>
        <v>-9.7381482347826243</v>
      </c>
    </row>
    <row r="179" spans="1:23" ht="15" customHeight="1" x14ac:dyDescent="0.35">
      <c r="A179" t="str">
        <f>'Raw Data'!B177</f>
        <v>Monolithic Power Systems Inc</v>
      </c>
      <c r="B179" t="str">
        <f>'Raw Data'!A177</f>
        <v>mpwr</v>
      </c>
      <c r="C179" t="str">
        <f>IF('Raw Data'!E177="N/A","Unclassified",TRIM(SUBSTITUTE('Raw Data'!E177," and "," &amp; ")))</f>
        <v>Semiconductors</v>
      </c>
      <c r="D179" s="17">
        <f>'Raw Data'!N177</f>
        <v>330</v>
      </c>
      <c r="E179" s="17">
        <f>'Raw Data'!O177</f>
        <v>287</v>
      </c>
      <c r="F179" s="17">
        <f>'Raw Data'!P177</f>
        <v>235</v>
      </c>
      <c r="G179" s="17">
        <f>'Raw Data'!Q177</f>
        <v>852</v>
      </c>
      <c r="H179" s="18">
        <f>INDEX('Industry Stats'!$F$2:$F$49,MATCH($C179,'Industry Stats'!$A$2:$A$49,0))</f>
        <v>1030.5833333333333</v>
      </c>
      <c r="I179" s="19">
        <f t="shared" si="22"/>
        <v>-178.58333333333326</v>
      </c>
      <c r="J179" s="20">
        <f t="shared" si="23"/>
        <v>-0.17328373898277669</v>
      </c>
      <c r="K179" s="18">
        <f>INDEX('Industry Stats'!$C$2:$C$49,MATCH($C179,'Industry Stats'!$A$2:$A$49,0))</f>
        <v>448.45833333333331</v>
      </c>
      <c r="L179" s="19">
        <f t="shared" si="24"/>
        <v>-118.45833333333331</v>
      </c>
      <c r="M179" s="18">
        <f>INDEX('Industry Stats'!$D$2:$D$49,MATCH($C179,'Industry Stats'!$A$2:$A$49,0))</f>
        <v>296.70833333333331</v>
      </c>
      <c r="N179" s="19">
        <f t="shared" si="25"/>
        <v>-9.7083333333333144</v>
      </c>
      <c r="O179" s="18">
        <f>INDEX('Industry Stats'!$E$2:$E$49,MATCH($C179,'Industry Stats'!$A$2:$A$49,0))</f>
        <v>285.41666666666669</v>
      </c>
      <c r="P179" s="19">
        <f t="shared" si="26"/>
        <v>-50.416666666666686</v>
      </c>
      <c r="R179">
        <f t="shared" si="27"/>
        <v>852.00098209999999</v>
      </c>
      <c r="S179">
        <f t="shared" si="28"/>
        <v>330.00098209999999</v>
      </c>
      <c r="T179">
        <f t="shared" si="29"/>
        <v>287.00098209999999</v>
      </c>
      <c r="U179">
        <f t="shared" si="30"/>
        <v>235.00098209999999</v>
      </c>
      <c r="V179">
        <f t="shared" si="31"/>
        <v>-178.58235123333327</v>
      </c>
      <c r="W179">
        <f t="shared" si="32"/>
        <v>178.58431543333324</v>
      </c>
    </row>
    <row r="180" spans="1:23" ht="15" customHeight="1" x14ac:dyDescent="0.35">
      <c r="A180" t="str">
        <f>'Raw Data'!B178</f>
        <v>Microsoft Corp</v>
      </c>
      <c r="B180" t="str">
        <f>'Raw Data'!A178</f>
        <v>msft</v>
      </c>
      <c r="C180" t="str">
        <f>IF('Raw Data'!E178="N/A","Unclassified",TRIM(SUBSTITUTE('Raw Data'!E178," and "," &amp; ")))</f>
        <v>Technology</v>
      </c>
      <c r="D180" s="17">
        <f>'Raw Data'!N178</f>
        <v>715</v>
      </c>
      <c r="E180" s="17">
        <f>'Raw Data'!O178</f>
        <v>443</v>
      </c>
      <c r="F180" s="17">
        <f>'Raw Data'!P178</f>
        <v>375</v>
      </c>
      <c r="G180" s="17">
        <f>'Raw Data'!Q178</f>
        <v>1533</v>
      </c>
      <c r="H180" s="18">
        <f>INDEX('Industry Stats'!$F$2:$F$49,MATCH($C180,'Industry Stats'!$A$2:$A$49,0))</f>
        <v>1031.3174603174602</v>
      </c>
      <c r="I180" s="19">
        <f t="shared" si="22"/>
        <v>501.68253968253975</v>
      </c>
      <c r="J180" s="20">
        <f t="shared" si="23"/>
        <v>0.48644821695165696</v>
      </c>
      <c r="K180" s="18">
        <f>INDEX('Industry Stats'!$C$2:$C$49,MATCH($C180,'Industry Stats'!$A$2:$A$49,0))</f>
        <v>438.11111111111109</v>
      </c>
      <c r="L180" s="19">
        <f t="shared" si="24"/>
        <v>276.88888888888891</v>
      </c>
      <c r="M180" s="18">
        <f>INDEX('Industry Stats'!$D$2:$D$49,MATCH($C180,'Industry Stats'!$A$2:$A$49,0))</f>
        <v>307.90476190476193</v>
      </c>
      <c r="N180" s="19">
        <f t="shared" si="25"/>
        <v>135.09523809523807</v>
      </c>
      <c r="O180" s="18">
        <f>INDEX('Industry Stats'!$E$2:$E$49,MATCH($C180,'Industry Stats'!$A$2:$A$49,0))</f>
        <v>285.30158730158729</v>
      </c>
      <c r="P180" s="19">
        <f t="shared" si="26"/>
        <v>89.69841269841271</v>
      </c>
      <c r="R180">
        <f t="shared" si="27"/>
        <v>1533.000982</v>
      </c>
      <c r="S180">
        <f t="shared" si="28"/>
        <v>715.00098200000002</v>
      </c>
      <c r="T180">
        <f t="shared" si="29"/>
        <v>443.00098200000002</v>
      </c>
      <c r="U180">
        <f t="shared" si="30"/>
        <v>375.00098200000002</v>
      </c>
      <c r="V180">
        <f t="shared" si="31"/>
        <v>501.68352168253978</v>
      </c>
      <c r="W180">
        <f t="shared" si="32"/>
        <v>-501.68155768253973</v>
      </c>
    </row>
    <row r="181" spans="1:23" ht="15" customHeight="1" x14ac:dyDescent="0.35">
      <c r="A181" t="str">
        <f>'Raw Data'!B179</f>
        <v>Micron Technology Inc</v>
      </c>
      <c r="B181" t="str">
        <f>'Raw Data'!A179</f>
        <v>mu</v>
      </c>
      <c r="C181" t="str">
        <f>IF('Raw Data'!E179="N/A","Unclassified",TRIM(SUBSTITUTE('Raw Data'!E179," and "," &amp; ")))</f>
        <v>Semiconductors</v>
      </c>
      <c r="D181" s="17">
        <f>'Raw Data'!N179</f>
        <v>530</v>
      </c>
      <c r="E181" s="17">
        <f>'Raw Data'!O179</f>
        <v>330</v>
      </c>
      <c r="F181" s="17">
        <f>'Raw Data'!P179</f>
        <v>300</v>
      </c>
      <c r="G181" s="17">
        <f>'Raw Data'!Q179</f>
        <v>1160</v>
      </c>
      <c r="H181" s="18">
        <f>INDEX('Industry Stats'!$F$2:$F$49,MATCH($C181,'Industry Stats'!$A$2:$A$49,0))</f>
        <v>1030.5833333333333</v>
      </c>
      <c r="I181" s="19">
        <f t="shared" si="22"/>
        <v>129.41666666666674</v>
      </c>
      <c r="J181" s="20">
        <f t="shared" si="23"/>
        <v>0.12557613002344958</v>
      </c>
      <c r="K181" s="18">
        <f>INDEX('Industry Stats'!$C$2:$C$49,MATCH($C181,'Industry Stats'!$A$2:$A$49,0))</f>
        <v>448.45833333333331</v>
      </c>
      <c r="L181" s="19">
        <f t="shared" si="24"/>
        <v>81.541666666666686</v>
      </c>
      <c r="M181" s="18">
        <f>INDEX('Industry Stats'!$D$2:$D$49,MATCH($C181,'Industry Stats'!$A$2:$A$49,0))</f>
        <v>296.70833333333331</v>
      </c>
      <c r="N181" s="19">
        <f t="shared" si="25"/>
        <v>33.291666666666686</v>
      </c>
      <c r="O181" s="18">
        <f>INDEX('Industry Stats'!$E$2:$E$49,MATCH($C181,'Industry Stats'!$A$2:$A$49,0))</f>
        <v>285.41666666666669</v>
      </c>
      <c r="P181" s="19">
        <f t="shared" si="26"/>
        <v>14.583333333333314</v>
      </c>
      <c r="R181">
        <f t="shared" si="27"/>
        <v>1160.0009818999999</v>
      </c>
      <c r="S181">
        <f t="shared" si="28"/>
        <v>530.00098190000006</v>
      </c>
      <c r="T181">
        <f t="shared" si="29"/>
        <v>330.0009819</v>
      </c>
      <c r="U181">
        <f t="shared" si="30"/>
        <v>300.0009819</v>
      </c>
      <c r="V181">
        <f t="shared" si="31"/>
        <v>129.41764856666674</v>
      </c>
      <c r="W181">
        <f t="shared" si="32"/>
        <v>-129.41568476666674</v>
      </c>
    </row>
    <row r="182" spans="1:23" ht="15" customHeight="1" x14ac:dyDescent="0.35">
      <c r="A182" t="str">
        <f>'Raw Data'!B180</f>
        <v>Nasdaq Inc</v>
      </c>
      <c r="B182" t="str">
        <f>'Raw Data'!A180</f>
        <v>ndaq</v>
      </c>
      <c r="C182" t="str">
        <f>IF('Raw Data'!E180="N/A","Unclassified",TRIM(SUBSTITUTE('Raw Data'!E180," and "," &amp; ")))</f>
        <v>Financial Services</v>
      </c>
      <c r="D182" s="17">
        <f>'Raw Data'!N180</f>
        <v>505</v>
      </c>
      <c r="E182" s="17">
        <f>'Raw Data'!O180</f>
        <v>310</v>
      </c>
      <c r="F182" s="17">
        <f>'Raw Data'!P180</f>
        <v>300</v>
      </c>
      <c r="G182" s="17">
        <f>'Raw Data'!Q180</f>
        <v>1115</v>
      </c>
      <c r="H182" s="18">
        <f>INDEX('Industry Stats'!$F$2:$F$49,MATCH($C182,'Industry Stats'!$A$2:$A$49,0))</f>
        <v>909.33333333333337</v>
      </c>
      <c r="I182" s="19">
        <f t="shared" si="22"/>
        <v>205.66666666666663</v>
      </c>
      <c r="J182" s="20">
        <f t="shared" si="23"/>
        <v>0.22617302052785918</v>
      </c>
      <c r="K182" s="18">
        <f>INDEX('Industry Stats'!$C$2:$C$49,MATCH($C182,'Industry Stats'!$A$2:$A$49,0))</f>
        <v>367.63636363636363</v>
      </c>
      <c r="L182" s="19">
        <f t="shared" si="24"/>
        <v>137.36363636363637</v>
      </c>
      <c r="M182" s="18">
        <f>INDEX('Industry Stats'!$D$2:$D$49,MATCH($C182,'Industry Stats'!$A$2:$A$49,0))</f>
        <v>276.45454545454544</v>
      </c>
      <c r="N182" s="19">
        <f t="shared" si="25"/>
        <v>33.545454545454561</v>
      </c>
      <c r="O182" s="18">
        <f>INDEX('Industry Stats'!$E$2:$E$49,MATCH($C182,'Industry Stats'!$A$2:$A$49,0))</f>
        <v>265.24242424242425</v>
      </c>
      <c r="P182" s="19">
        <f t="shared" si="26"/>
        <v>34.757575757575751</v>
      </c>
      <c r="R182">
        <f t="shared" si="27"/>
        <v>1115.0009818000001</v>
      </c>
      <c r="S182">
        <f t="shared" si="28"/>
        <v>505.00098179999998</v>
      </c>
      <c r="T182">
        <f t="shared" si="29"/>
        <v>310.00098179999998</v>
      </c>
      <c r="U182">
        <f t="shared" si="30"/>
        <v>300.00098179999998</v>
      </c>
      <c r="V182">
        <f t="shared" si="31"/>
        <v>205.66764846666663</v>
      </c>
      <c r="W182">
        <f t="shared" si="32"/>
        <v>-205.66568486666662</v>
      </c>
    </row>
    <row r="183" spans="1:23" ht="15" customHeight="1" x14ac:dyDescent="0.35">
      <c r="A183" t="str">
        <f>'Raw Data'!B181</f>
        <v>NortonLifeLock Inc</v>
      </c>
      <c r="B183" t="str">
        <f>'Raw Data'!A181</f>
        <v>nlok</v>
      </c>
      <c r="C183" t="str">
        <f>IF('Raw Data'!E181="N/A","Unclassified",TRIM(SUBSTITUTE('Raw Data'!E181," and "," &amp; ")))</f>
        <v>Technology</v>
      </c>
      <c r="D183" s="17">
        <f>'Raw Data'!N181</f>
        <v>505</v>
      </c>
      <c r="E183" s="17">
        <f>'Raw Data'!O181</f>
        <v>315</v>
      </c>
      <c r="F183" s="17">
        <f>'Raw Data'!P181</f>
        <v>305</v>
      </c>
      <c r="G183" s="17">
        <f>'Raw Data'!Q181</f>
        <v>1125</v>
      </c>
      <c r="H183" s="18">
        <f>INDEX('Industry Stats'!$F$2:$F$49,MATCH($C183,'Industry Stats'!$A$2:$A$49,0))</f>
        <v>1031.3174603174602</v>
      </c>
      <c r="I183" s="19">
        <f t="shared" si="22"/>
        <v>93.682539682539755</v>
      </c>
      <c r="J183" s="20">
        <f t="shared" si="23"/>
        <v>9.0837732596617135E-2</v>
      </c>
      <c r="K183" s="18">
        <f>INDEX('Industry Stats'!$C$2:$C$49,MATCH($C183,'Industry Stats'!$A$2:$A$49,0))</f>
        <v>438.11111111111109</v>
      </c>
      <c r="L183" s="19">
        <f t="shared" si="24"/>
        <v>66.888888888888914</v>
      </c>
      <c r="M183" s="18">
        <f>INDEX('Industry Stats'!$D$2:$D$49,MATCH($C183,'Industry Stats'!$A$2:$A$49,0))</f>
        <v>307.90476190476193</v>
      </c>
      <c r="N183" s="19">
        <f t="shared" si="25"/>
        <v>7.0952380952380736</v>
      </c>
      <c r="O183" s="18">
        <f>INDEX('Industry Stats'!$E$2:$E$49,MATCH($C183,'Industry Stats'!$A$2:$A$49,0))</f>
        <v>285.30158730158729</v>
      </c>
      <c r="P183" s="19">
        <f t="shared" si="26"/>
        <v>19.69841269841271</v>
      </c>
      <c r="R183">
        <f t="shared" si="27"/>
        <v>1125.0009817</v>
      </c>
      <c r="S183">
        <f t="shared" si="28"/>
        <v>505.00098170000001</v>
      </c>
      <c r="T183">
        <f t="shared" si="29"/>
        <v>315.00098170000001</v>
      </c>
      <c r="U183">
        <f t="shared" si="30"/>
        <v>305.00098170000001</v>
      </c>
      <c r="V183">
        <f t="shared" si="31"/>
        <v>93.683521382539752</v>
      </c>
      <c r="W183">
        <f t="shared" si="32"/>
        <v>-93.681557982539758</v>
      </c>
    </row>
    <row r="184" spans="1:23" ht="15" customHeight="1" x14ac:dyDescent="0.35">
      <c r="A184" t="str">
        <f>'Raw Data'!B182</f>
        <v>Northern Trust Corp</v>
      </c>
      <c r="B184" t="str">
        <f>'Raw Data'!A182</f>
        <v>ntrs</v>
      </c>
      <c r="C184" t="str">
        <f>IF('Raw Data'!E182="N/A","Unclassified",TRIM(SUBSTITUTE('Raw Data'!E182," and "," &amp; ")))</f>
        <v>Financial Services</v>
      </c>
      <c r="D184" s="17">
        <f>'Raw Data'!N182</f>
        <v>250</v>
      </c>
      <c r="E184" s="17">
        <f>'Raw Data'!O182</f>
        <v>226</v>
      </c>
      <c r="F184" s="17">
        <f>'Raw Data'!P182</f>
        <v>225</v>
      </c>
      <c r="G184" s="17">
        <f>'Raw Data'!Q182</f>
        <v>701</v>
      </c>
      <c r="H184" s="18">
        <f>INDEX('Industry Stats'!$F$2:$F$49,MATCH($C184,'Industry Stats'!$A$2:$A$49,0))</f>
        <v>909.33333333333337</v>
      </c>
      <c r="I184" s="19">
        <f t="shared" si="22"/>
        <v>-208.33333333333337</v>
      </c>
      <c r="J184" s="20">
        <f t="shared" si="23"/>
        <v>-0.22910557184750735</v>
      </c>
      <c r="K184" s="18">
        <f>INDEX('Industry Stats'!$C$2:$C$49,MATCH($C184,'Industry Stats'!$A$2:$A$49,0))</f>
        <v>367.63636363636363</v>
      </c>
      <c r="L184" s="19">
        <f t="shared" si="24"/>
        <v>-117.63636363636363</v>
      </c>
      <c r="M184" s="18">
        <f>INDEX('Industry Stats'!$D$2:$D$49,MATCH($C184,'Industry Stats'!$A$2:$A$49,0))</f>
        <v>276.45454545454544</v>
      </c>
      <c r="N184" s="19">
        <f t="shared" si="25"/>
        <v>-50.454545454545439</v>
      </c>
      <c r="O184" s="18">
        <f>INDEX('Industry Stats'!$E$2:$E$49,MATCH($C184,'Industry Stats'!$A$2:$A$49,0))</f>
        <v>265.24242424242425</v>
      </c>
      <c r="P184" s="19">
        <f t="shared" si="26"/>
        <v>-40.242424242424249</v>
      </c>
      <c r="R184">
        <f t="shared" si="27"/>
        <v>701.00098160000005</v>
      </c>
      <c r="S184">
        <f t="shared" si="28"/>
        <v>250.00098159999999</v>
      </c>
      <c r="T184">
        <f t="shared" si="29"/>
        <v>226.00098159999999</v>
      </c>
      <c r="U184">
        <f t="shared" si="30"/>
        <v>225.00098159999999</v>
      </c>
      <c r="V184">
        <f t="shared" si="31"/>
        <v>-208.33235173333338</v>
      </c>
      <c r="W184">
        <f t="shared" si="32"/>
        <v>208.33431493333336</v>
      </c>
    </row>
    <row r="185" spans="1:23" ht="15" customHeight="1" x14ac:dyDescent="0.35">
      <c r="A185" t="str">
        <f>'Raw Data'!B183</f>
        <v>Newell Brands Inc</v>
      </c>
      <c r="B185" t="str">
        <f>'Raw Data'!A183</f>
        <v>nwl</v>
      </c>
      <c r="C185" t="str">
        <f>IF('Raw Data'!E183="N/A","Unclassified",TRIM(SUBSTITUTE('Raw Data'!E183," and "," &amp; ")))</f>
        <v>Consumer products</v>
      </c>
      <c r="D185" s="17">
        <f>'Raw Data'!N183</f>
        <v>525</v>
      </c>
      <c r="E185" s="17">
        <f>'Raw Data'!O183</f>
        <v>303</v>
      </c>
      <c r="F185" s="17">
        <f>'Raw Data'!P183</f>
        <v>315</v>
      </c>
      <c r="G185" s="17">
        <f>'Raw Data'!Q183</f>
        <v>1143</v>
      </c>
      <c r="H185" s="18">
        <f>INDEX('Industry Stats'!$F$2:$F$49,MATCH($C185,'Industry Stats'!$A$2:$A$49,0))</f>
        <v>945.55</v>
      </c>
      <c r="I185" s="19">
        <f t="shared" si="22"/>
        <v>197.45000000000005</v>
      </c>
      <c r="J185" s="20">
        <f t="shared" si="23"/>
        <v>0.20882026333879758</v>
      </c>
      <c r="K185" s="18">
        <f>INDEX('Industry Stats'!$C$2:$C$49,MATCH($C185,'Industry Stats'!$A$2:$A$49,0))</f>
        <v>384.9</v>
      </c>
      <c r="L185" s="19">
        <f t="shared" si="24"/>
        <v>140.10000000000002</v>
      </c>
      <c r="M185" s="18">
        <f>INDEX('Industry Stats'!$D$2:$D$49,MATCH($C185,'Industry Stats'!$A$2:$A$49,0))</f>
        <v>285.7</v>
      </c>
      <c r="N185" s="19">
        <f t="shared" si="25"/>
        <v>17.300000000000011</v>
      </c>
      <c r="O185" s="18">
        <f>INDEX('Industry Stats'!$E$2:$E$49,MATCH($C185,'Industry Stats'!$A$2:$A$49,0))</f>
        <v>274.95</v>
      </c>
      <c r="P185" s="19">
        <f t="shared" si="26"/>
        <v>40.050000000000011</v>
      </c>
      <c r="R185">
        <f t="shared" si="27"/>
        <v>1143.0009815000001</v>
      </c>
      <c r="S185">
        <f t="shared" si="28"/>
        <v>525.00098149999997</v>
      </c>
      <c r="T185">
        <f t="shared" si="29"/>
        <v>303.00098150000002</v>
      </c>
      <c r="U185">
        <f t="shared" si="30"/>
        <v>315.00098150000002</v>
      </c>
      <c r="V185">
        <f t="shared" si="31"/>
        <v>197.45098150000004</v>
      </c>
      <c r="W185">
        <f t="shared" si="32"/>
        <v>-197.44901850000005</v>
      </c>
    </row>
    <row r="186" spans="1:23" ht="15" customHeight="1" x14ac:dyDescent="0.35">
      <c r="A186" t="str">
        <f>'Raw Data'!B184</f>
        <v>NVIDIA Corp</v>
      </c>
      <c r="B186" t="str">
        <f>'Raw Data'!A184</f>
        <v>nvda</v>
      </c>
      <c r="C186" t="str">
        <f>IF('Raw Data'!E184="N/A","Unclassified",TRIM(SUBSTITUTE('Raw Data'!E184," and "," &amp; ")))</f>
        <v>Semiconductors</v>
      </c>
      <c r="D186" s="17">
        <f>'Raw Data'!N184</f>
        <v>323</v>
      </c>
      <c r="E186" s="17">
        <f>'Raw Data'!O184</f>
        <v>301</v>
      </c>
      <c r="F186" s="17">
        <f>'Raw Data'!P184</f>
        <v>275</v>
      </c>
      <c r="G186" s="17">
        <f>'Raw Data'!Q184</f>
        <v>899</v>
      </c>
      <c r="H186" s="18">
        <f>INDEX('Industry Stats'!$F$2:$F$49,MATCH($C186,'Industry Stats'!$A$2:$A$49,0))</f>
        <v>1030.5833333333333</v>
      </c>
      <c r="I186" s="19">
        <f t="shared" si="22"/>
        <v>-131.58333333333326</v>
      </c>
      <c r="J186" s="20">
        <f t="shared" si="23"/>
        <v>-0.12767849923182656</v>
      </c>
      <c r="K186" s="18">
        <f>INDEX('Industry Stats'!$C$2:$C$49,MATCH($C186,'Industry Stats'!$A$2:$A$49,0))</f>
        <v>448.45833333333331</v>
      </c>
      <c r="L186" s="19">
        <f t="shared" si="24"/>
        <v>-125.45833333333331</v>
      </c>
      <c r="M186" s="18">
        <f>INDEX('Industry Stats'!$D$2:$D$49,MATCH($C186,'Industry Stats'!$A$2:$A$49,0))</f>
        <v>296.70833333333331</v>
      </c>
      <c r="N186" s="19">
        <f t="shared" si="25"/>
        <v>4.2916666666666856</v>
      </c>
      <c r="O186" s="18">
        <f>INDEX('Industry Stats'!$E$2:$E$49,MATCH($C186,'Industry Stats'!$A$2:$A$49,0))</f>
        <v>285.41666666666669</v>
      </c>
      <c r="P186" s="19">
        <f t="shared" si="26"/>
        <v>-10.416666666666686</v>
      </c>
      <c r="R186">
        <f t="shared" si="27"/>
        <v>899.0009814</v>
      </c>
      <c r="S186">
        <f t="shared" si="28"/>
        <v>323.0009814</v>
      </c>
      <c r="T186">
        <f t="shared" si="29"/>
        <v>301.0009814</v>
      </c>
      <c r="U186">
        <f t="shared" si="30"/>
        <v>275.0009814</v>
      </c>
      <c r="V186">
        <f t="shared" si="31"/>
        <v>-131.58235193333326</v>
      </c>
      <c r="W186">
        <f t="shared" si="32"/>
        <v>131.58431473333326</v>
      </c>
    </row>
    <row r="187" spans="1:23" ht="15" customHeight="1" x14ac:dyDescent="0.35">
      <c r="A187" t="str">
        <f>'Raw Data'!B185</f>
        <v>Allakos Inc</v>
      </c>
      <c r="B187" t="str">
        <f>'Raw Data'!A185</f>
        <v>allk</v>
      </c>
      <c r="C187" t="str">
        <f>IF('Raw Data'!E185="N/A","Unclassified",TRIM(SUBSTITUTE('Raw Data'!E185," and "," &amp; ")))</f>
        <v>Biotechnology</v>
      </c>
      <c r="D187" s="17">
        <f>'Raw Data'!N185</f>
        <v>200</v>
      </c>
      <c r="E187" s="17">
        <f>'Raw Data'!O185</f>
        <v>273</v>
      </c>
      <c r="F187" s="17">
        <f>'Raw Data'!P185</f>
        <v>300</v>
      </c>
      <c r="G187" s="17">
        <f>'Raw Data'!Q185</f>
        <v>773</v>
      </c>
      <c r="H187" s="18">
        <f>INDEX('Industry Stats'!$F$2:$F$49,MATCH($C187,'Industry Stats'!$A$2:$A$49,0))</f>
        <v>866.91071428571433</v>
      </c>
      <c r="I187" s="19">
        <f t="shared" si="22"/>
        <v>-93.910714285714334</v>
      </c>
      <c r="J187" s="20">
        <f t="shared" si="23"/>
        <v>-0.10832801202957963</v>
      </c>
      <c r="K187" s="18">
        <f>INDEX('Industry Stats'!$C$2:$C$49,MATCH($C187,'Industry Stats'!$A$2:$A$49,0))</f>
        <v>306.53571428571428</v>
      </c>
      <c r="L187" s="19">
        <f t="shared" si="24"/>
        <v>-106.53571428571428</v>
      </c>
      <c r="M187" s="18">
        <f>INDEX('Industry Stats'!$D$2:$D$49,MATCH($C187,'Industry Stats'!$A$2:$A$49,0))</f>
        <v>268.85714285714283</v>
      </c>
      <c r="N187" s="19">
        <f t="shared" si="25"/>
        <v>4.1428571428571672</v>
      </c>
      <c r="O187" s="18">
        <f>INDEX('Industry Stats'!$E$2:$E$49,MATCH($C187,'Industry Stats'!$A$2:$A$49,0))</f>
        <v>291.51785714285717</v>
      </c>
      <c r="P187" s="19">
        <f t="shared" si="26"/>
        <v>8.4821428571428328</v>
      </c>
      <c r="R187">
        <f t="shared" si="27"/>
        <v>773.00098130000003</v>
      </c>
      <c r="S187">
        <f t="shared" si="28"/>
        <v>200.00098130000001</v>
      </c>
      <c r="T187">
        <f t="shared" si="29"/>
        <v>273.00098129999998</v>
      </c>
      <c r="U187">
        <f t="shared" si="30"/>
        <v>300.00098129999998</v>
      </c>
      <c r="V187">
        <f t="shared" si="31"/>
        <v>-93.909732985714328</v>
      </c>
      <c r="W187">
        <f t="shared" si="32"/>
        <v>93.911695585714341</v>
      </c>
    </row>
    <row r="188" spans="1:23" ht="15" customHeight="1" x14ac:dyDescent="0.35">
      <c r="A188" t="str">
        <f>'Raw Data'!B186</f>
        <v>News Corp</v>
      </c>
      <c r="B188" t="str">
        <f>'Raw Data'!A186</f>
        <v>nwsa</v>
      </c>
      <c r="C188" t="str">
        <f>IF('Raw Data'!E186="N/A","Unclassified",TRIM(SUBSTITUTE('Raw Data'!E186," and "," &amp; ")))</f>
        <v>Media</v>
      </c>
      <c r="D188" s="17">
        <f>'Raw Data'!N186</f>
        <v>509</v>
      </c>
      <c r="E188" s="17">
        <f>'Raw Data'!O186</f>
        <v>300</v>
      </c>
      <c r="F188" s="17">
        <f>'Raw Data'!P186</f>
        <v>300</v>
      </c>
      <c r="G188" s="17">
        <f>'Raw Data'!Q186</f>
        <v>1109</v>
      </c>
      <c r="H188" s="18">
        <f>INDEX('Industry Stats'!$F$2:$F$49,MATCH($C188,'Industry Stats'!$A$2:$A$49,0))</f>
        <v>935.26086956521738</v>
      </c>
      <c r="I188" s="19">
        <f t="shared" si="22"/>
        <v>173.73913043478262</v>
      </c>
      <c r="J188" s="20">
        <f t="shared" si="23"/>
        <v>0.18576542234205756</v>
      </c>
      <c r="K188" s="18">
        <f>INDEX('Industry Stats'!$C$2:$C$49,MATCH($C188,'Industry Stats'!$A$2:$A$49,0))</f>
        <v>346.91304347826087</v>
      </c>
      <c r="L188" s="19">
        <f t="shared" si="24"/>
        <v>162.08695652173913</v>
      </c>
      <c r="M188" s="18">
        <f>INDEX('Industry Stats'!$D$2:$D$49,MATCH($C188,'Industry Stats'!$A$2:$A$49,0))</f>
        <v>313</v>
      </c>
      <c r="N188" s="19">
        <f t="shared" si="25"/>
        <v>-13</v>
      </c>
      <c r="O188" s="18">
        <f>INDEX('Industry Stats'!$E$2:$E$49,MATCH($C188,'Industry Stats'!$A$2:$A$49,0))</f>
        <v>275.3478260869565</v>
      </c>
      <c r="P188" s="19">
        <f t="shared" si="26"/>
        <v>24.652173913043498</v>
      </c>
      <c r="R188">
        <f t="shared" si="27"/>
        <v>1109.0009812000001</v>
      </c>
      <c r="S188">
        <f t="shared" si="28"/>
        <v>509.00098120000001</v>
      </c>
      <c r="T188">
        <f t="shared" si="29"/>
        <v>300.00098120000001</v>
      </c>
      <c r="U188">
        <f t="shared" si="30"/>
        <v>300.00098120000001</v>
      </c>
      <c r="V188">
        <f t="shared" si="31"/>
        <v>173.74011163478264</v>
      </c>
      <c r="W188">
        <f t="shared" si="32"/>
        <v>-173.73814923478261</v>
      </c>
    </row>
    <row r="189" spans="1:23" ht="15" customHeight="1" x14ac:dyDescent="0.35">
      <c r="A189" t="str">
        <f>'Raw Data'!B187</f>
        <v>Old Dominion Freight Line Inc</v>
      </c>
      <c r="B189" t="str">
        <f>'Raw Data'!A187</f>
        <v>odfl</v>
      </c>
      <c r="C189" t="str">
        <f>IF('Raw Data'!E187="N/A","Unclassified",TRIM(SUBSTITUTE('Raw Data'!E187," and "," &amp; ")))</f>
        <v>Road &amp; Rail</v>
      </c>
      <c r="D189" s="17">
        <f>'Raw Data'!N187</f>
        <v>467</v>
      </c>
      <c r="E189" s="17">
        <f>'Raw Data'!O187</f>
        <v>423</v>
      </c>
      <c r="F189" s="17">
        <f>'Raw Data'!P187</f>
        <v>280</v>
      </c>
      <c r="G189" s="17">
        <f>'Raw Data'!Q187</f>
        <v>1170</v>
      </c>
      <c r="H189" s="18">
        <f>INDEX('Industry Stats'!$F$2:$F$49,MATCH($C189,'Industry Stats'!$A$2:$A$49,0))</f>
        <v>1076.3333333333333</v>
      </c>
      <c r="I189" s="19">
        <f t="shared" si="22"/>
        <v>93.666666666666742</v>
      </c>
      <c r="J189" s="20">
        <f t="shared" si="23"/>
        <v>8.7023846392071919E-2</v>
      </c>
      <c r="K189" s="18">
        <f>INDEX('Industry Stats'!$C$2:$C$49,MATCH($C189,'Industry Stats'!$A$2:$A$49,0))</f>
        <v>452.83333333333331</v>
      </c>
      <c r="L189" s="19">
        <f t="shared" si="24"/>
        <v>14.166666666666686</v>
      </c>
      <c r="M189" s="18">
        <f>INDEX('Industry Stats'!$D$2:$D$49,MATCH($C189,'Industry Stats'!$A$2:$A$49,0))</f>
        <v>326.33333333333331</v>
      </c>
      <c r="N189" s="19">
        <f t="shared" si="25"/>
        <v>96.666666666666686</v>
      </c>
      <c r="O189" s="18">
        <f>INDEX('Industry Stats'!$E$2:$E$49,MATCH($C189,'Industry Stats'!$A$2:$A$49,0))</f>
        <v>297.16666666666669</v>
      </c>
      <c r="P189" s="19">
        <f t="shared" si="26"/>
        <v>-17.166666666666686</v>
      </c>
      <c r="R189">
        <f t="shared" si="27"/>
        <v>1170.0009811</v>
      </c>
      <c r="S189">
        <f t="shared" si="28"/>
        <v>467.00098109999999</v>
      </c>
      <c r="T189">
        <f t="shared" si="29"/>
        <v>423.00098109999999</v>
      </c>
      <c r="U189">
        <f t="shared" si="30"/>
        <v>280.00098109999999</v>
      </c>
      <c r="V189">
        <f t="shared" si="31"/>
        <v>93.667647766666747</v>
      </c>
      <c r="W189">
        <f t="shared" si="32"/>
        <v>-93.665685566666738</v>
      </c>
    </row>
    <row r="190" spans="1:23" ht="15" customHeight="1" x14ac:dyDescent="0.35">
      <c r="A190" t="str">
        <f>'Raw Data'!B188</f>
        <v>Paccar Inc</v>
      </c>
      <c r="B190" t="str">
        <f>'Raw Data'!A188</f>
        <v>pcar</v>
      </c>
      <c r="C190" t="str">
        <f>IF('Raw Data'!E188="N/A","Unclassified",TRIM(SUBSTITUTE('Raw Data'!E188," and "," &amp; ")))</f>
        <v>Machinery</v>
      </c>
      <c r="D190" s="17">
        <f>'Raw Data'!N188</f>
        <v>568</v>
      </c>
      <c r="E190" s="17">
        <f>'Raw Data'!O188</f>
        <v>343</v>
      </c>
      <c r="F190" s="17">
        <f>'Raw Data'!P188</f>
        <v>305</v>
      </c>
      <c r="G190" s="17">
        <f>'Raw Data'!Q188</f>
        <v>1216</v>
      </c>
      <c r="H190" s="18">
        <f>INDEX('Industry Stats'!$F$2:$F$49,MATCH($C190,'Industry Stats'!$A$2:$A$49,0))</f>
        <v>1048.047619047619</v>
      </c>
      <c r="I190" s="19">
        <f t="shared" si="22"/>
        <v>167.95238095238096</v>
      </c>
      <c r="J190" s="20">
        <f t="shared" si="23"/>
        <v>0.16025262392657549</v>
      </c>
      <c r="K190" s="18">
        <f>INDEX('Industry Stats'!$C$2:$C$49,MATCH($C190,'Industry Stats'!$A$2:$A$49,0))</f>
        <v>459.57142857142856</v>
      </c>
      <c r="L190" s="19">
        <f t="shared" si="24"/>
        <v>108.42857142857144</v>
      </c>
      <c r="M190" s="18">
        <f>INDEX('Industry Stats'!$D$2:$D$49,MATCH($C190,'Industry Stats'!$A$2:$A$49,0))</f>
        <v>313.66666666666669</v>
      </c>
      <c r="N190" s="19">
        <f t="shared" si="25"/>
        <v>29.333333333333314</v>
      </c>
      <c r="O190" s="18">
        <f>INDEX('Industry Stats'!$E$2:$E$49,MATCH($C190,'Industry Stats'!$A$2:$A$49,0))</f>
        <v>274.8095238095238</v>
      </c>
      <c r="P190" s="19">
        <f t="shared" si="26"/>
        <v>30.190476190476204</v>
      </c>
      <c r="R190">
        <f t="shared" si="27"/>
        <v>1216.0009809999999</v>
      </c>
      <c r="S190">
        <f t="shared" si="28"/>
        <v>568.00098100000002</v>
      </c>
      <c r="T190">
        <f t="shared" si="29"/>
        <v>343.00098100000002</v>
      </c>
      <c r="U190">
        <f t="shared" si="30"/>
        <v>305.00098100000002</v>
      </c>
      <c r="V190">
        <f t="shared" si="31"/>
        <v>167.95336195238096</v>
      </c>
      <c r="W190">
        <f t="shared" si="32"/>
        <v>-167.95139995238097</v>
      </c>
    </row>
    <row r="191" spans="1:23" ht="15" customHeight="1" x14ac:dyDescent="0.35">
      <c r="A191" t="str">
        <f>'Raw Data'!B189</f>
        <v>NXP Semiconductors NV</v>
      </c>
      <c r="B191" t="str">
        <f>'Raw Data'!A189</f>
        <v>nxpi</v>
      </c>
      <c r="C191" t="str">
        <f>IF('Raw Data'!E189="N/A","Unclassified",TRIM(SUBSTITUTE('Raw Data'!E189," and "," &amp; ")))</f>
        <v>Semiconductors</v>
      </c>
      <c r="D191" s="17">
        <f>'Raw Data'!N189</f>
        <v>505</v>
      </c>
      <c r="E191" s="17">
        <f>'Raw Data'!O189</f>
        <v>329</v>
      </c>
      <c r="F191" s="17">
        <f>'Raw Data'!P189</f>
        <v>305</v>
      </c>
      <c r="G191" s="17">
        <f>'Raw Data'!Q189</f>
        <v>1139</v>
      </c>
      <c r="H191" s="18">
        <f>INDEX('Industry Stats'!$F$2:$F$49,MATCH($C191,'Industry Stats'!$A$2:$A$49,0))</f>
        <v>1030.5833333333333</v>
      </c>
      <c r="I191" s="19">
        <f t="shared" si="22"/>
        <v>108.41666666666674</v>
      </c>
      <c r="J191" s="20">
        <f t="shared" si="23"/>
        <v>0.10519932077302507</v>
      </c>
      <c r="K191" s="18">
        <f>INDEX('Industry Stats'!$C$2:$C$49,MATCH($C191,'Industry Stats'!$A$2:$A$49,0))</f>
        <v>448.45833333333331</v>
      </c>
      <c r="L191" s="19">
        <f t="shared" si="24"/>
        <v>56.541666666666686</v>
      </c>
      <c r="M191" s="18">
        <f>INDEX('Industry Stats'!$D$2:$D$49,MATCH($C191,'Industry Stats'!$A$2:$A$49,0))</f>
        <v>296.70833333333331</v>
      </c>
      <c r="N191" s="19">
        <f t="shared" si="25"/>
        <v>32.291666666666686</v>
      </c>
      <c r="O191" s="18">
        <f>INDEX('Industry Stats'!$E$2:$E$49,MATCH($C191,'Industry Stats'!$A$2:$A$49,0))</f>
        <v>285.41666666666669</v>
      </c>
      <c r="P191" s="19">
        <f t="shared" si="26"/>
        <v>19.583333333333314</v>
      </c>
      <c r="R191">
        <f t="shared" si="27"/>
        <v>1139.0009809000001</v>
      </c>
      <c r="S191">
        <f t="shared" si="28"/>
        <v>505.0009809</v>
      </c>
      <c r="T191">
        <f t="shared" si="29"/>
        <v>329.0009809</v>
      </c>
      <c r="U191">
        <f t="shared" si="30"/>
        <v>305.0009809</v>
      </c>
      <c r="V191">
        <f t="shared" si="31"/>
        <v>108.41764756666674</v>
      </c>
      <c r="W191">
        <f t="shared" si="32"/>
        <v>-108.41568576666674</v>
      </c>
    </row>
    <row r="192" spans="1:23" ht="15" customHeight="1" x14ac:dyDescent="0.35">
      <c r="A192" t="str">
        <f>'Raw Data'!B190</f>
        <v>O'Reilly Automotive Inc</v>
      </c>
      <c r="B192" t="str">
        <f>'Raw Data'!A190</f>
        <v>orly</v>
      </c>
      <c r="C192" t="str">
        <f>IF('Raw Data'!E190="N/A","Unclassified",TRIM(SUBSTITUTE('Raw Data'!E190," and "," &amp; ")))</f>
        <v>Retail</v>
      </c>
      <c r="D192" s="17">
        <f>'Raw Data'!N190</f>
        <v>500</v>
      </c>
      <c r="E192" s="17">
        <f>'Raw Data'!O190</f>
        <v>300</v>
      </c>
      <c r="F192" s="17">
        <f>'Raw Data'!P190</f>
        <v>300</v>
      </c>
      <c r="G192" s="17">
        <f>'Raw Data'!Q190</f>
        <v>1100</v>
      </c>
      <c r="H192" s="18">
        <f>INDEX('Industry Stats'!$F$2:$F$49,MATCH($C192,'Industry Stats'!$A$2:$A$49,0))</f>
        <v>918.57692307692309</v>
      </c>
      <c r="I192" s="19">
        <f t="shared" si="22"/>
        <v>181.42307692307691</v>
      </c>
      <c r="J192" s="20">
        <f t="shared" si="23"/>
        <v>0.19750450110957582</v>
      </c>
      <c r="K192" s="18">
        <f>INDEX('Industry Stats'!$C$2:$C$49,MATCH($C192,'Industry Stats'!$A$2:$A$49,0))</f>
        <v>380.30769230769232</v>
      </c>
      <c r="L192" s="19">
        <f t="shared" si="24"/>
        <v>119.69230769230768</v>
      </c>
      <c r="M192" s="18">
        <f>INDEX('Industry Stats'!$D$2:$D$49,MATCH($C192,'Industry Stats'!$A$2:$A$49,0))</f>
        <v>274.96153846153845</v>
      </c>
      <c r="N192" s="19">
        <f t="shared" si="25"/>
        <v>25.038461538461547</v>
      </c>
      <c r="O192" s="18">
        <f>INDEX('Industry Stats'!$E$2:$E$49,MATCH($C192,'Industry Stats'!$A$2:$A$49,0))</f>
        <v>263.30769230769232</v>
      </c>
      <c r="P192" s="19">
        <f t="shared" si="26"/>
        <v>36.692307692307679</v>
      </c>
      <c r="R192">
        <f t="shared" si="27"/>
        <v>1100.0009808</v>
      </c>
      <c r="S192">
        <f t="shared" si="28"/>
        <v>500.00098079999998</v>
      </c>
      <c r="T192">
        <f t="shared" si="29"/>
        <v>300.00098079999998</v>
      </c>
      <c r="U192">
        <f t="shared" si="30"/>
        <v>300.00098079999998</v>
      </c>
      <c r="V192">
        <f t="shared" si="31"/>
        <v>181.42405772307691</v>
      </c>
      <c r="W192">
        <f t="shared" si="32"/>
        <v>-181.4220961230769</v>
      </c>
    </row>
    <row r="193" spans="1:23" ht="15" customHeight="1" x14ac:dyDescent="0.35">
      <c r="A193" t="str">
        <f>'Raw Data'!B191</f>
        <v>Paychex Inc</v>
      </c>
      <c r="B193" t="str">
        <f>'Raw Data'!A191</f>
        <v>payx</v>
      </c>
      <c r="C193" t="str">
        <f>IF('Raw Data'!E191="N/A","Unclassified",TRIM(SUBSTITUTE('Raw Data'!E191," and "," &amp; ")))</f>
        <v>Technology</v>
      </c>
      <c r="D193" s="17">
        <f>'Raw Data'!N191</f>
        <v>500</v>
      </c>
      <c r="E193" s="17">
        <f>'Raw Data'!O191</f>
        <v>300</v>
      </c>
      <c r="F193" s="17">
        <f>'Raw Data'!P191</f>
        <v>200</v>
      </c>
      <c r="G193" s="17">
        <f>'Raw Data'!Q191</f>
        <v>1000</v>
      </c>
      <c r="H193" s="18">
        <f>INDEX('Industry Stats'!$F$2:$F$49,MATCH($C193,'Industry Stats'!$A$2:$A$49,0))</f>
        <v>1031.3174603174602</v>
      </c>
      <c r="I193" s="19">
        <f t="shared" si="22"/>
        <v>-31.317460317460245</v>
      </c>
      <c r="J193" s="20">
        <f t="shared" si="23"/>
        <v>-3.0366459914118106E-2</v>
      </c>
      <c r="K193" s="18">
        <f>INDEX('Industry Stats'!$C$2:$C$49,MATCH($C193,'Industry Stats'!$A$2:$A$49,0))</f>
        <v>438.11111111111109</v>
      </c>
      <c r="L193" s="19">
        <f t="shared" si="24"/>
        <v>61.888888888888914</v>
      </c>
      <c r="M193" s="18">
        <f>INDEX('Industry Stats'!$D$2:$D$49,MATCH($C193,'Industry Stats'!$A$2:$A$49,0))</f>
        <v>307.90476190476193</v>
      </c>
      <c r="N193" s="19">
        <f t="shared" si="25"/>
        <v>-7.9047619047619264</v>
      </c>
      <c r="O193" s="18">
        <f>INDEX('Industry Stats'!$E$2:$E$49,MATCH($C193,'Industry Stats'!$A$2:$A$49,0))</f>
        <v>285.30158730158729</v>
      </c>
      <c r="P193" s="19">
        <f t="shared" si="26"/>
        <v>-85.30158730158729</v>
      </c>
      <c r="R193">
        <f t="shared" si="27"/>
        <v>1000.0009807</v>
      </c>
      <c r="S193">
        <f t="shared" si="28"/>
        <v>500.00098070000001</v>
      </c>
      <c r="T193">
        <f t="shared" si="29"/>
        <v>300.00098070000001</v>
      </c>
      <c r="U193">
        <f t="shared" si="30"/>
        <v>200.00098070000001</v>
      </c>
      <c r="V193">
        <f t="shared" si="31"/>
        <v>-31.316479617460246</v>
      </c>
      <c r="W193">
        <f t="shared" si="32"/>
        <v>31.318441017460245</v>
      </c>
    </row>
    <row r="194" spans="1:23" ht="15" customHeight="1" x14ac:dyDescent="0.35">
      <c r="A194" t="str">
        <f>'Raw Data'!B192</f>
        <v>Principal Financial Group Inc</v>
      </c>
      <c r="B194" t="str">
        <f>'Raw Data'!A192</f>
        <v>pfg</v>
      </c>
      <c r="C194" t="str">
        <f>IF('Raw Data'!E192="N/A","Unclassified",TRIM(SUBSTITUTE('Raw Data'!E192," and "," &amp; ")))</f>
        <v>Insurance</v>
      </c>
      <c r="D194" s="17">
        <f>'Raw Data'!N192</f>
        <v>555</v>
      </c>
      <c r="E194" s="17">
        <f>'Raw Data'!O192</f>
        <v>320</v>
      </c>
      <c r="F194" s="17">
        <f>'Raw Data'!P192</f>
        <v>300</v>
      </c>
      <c r="G194" s="17">
        <f>'Raw Data'!Q192</f>
        <v>1175</v>
      </c>
      <c r="H194" s="18">
        <f>INDEX('Industry Stats'!$F$2:$F$49,MATCH($C194,'Industry Stats'!$A$2:$A$49,0))</f>
        <v>1012.3703703703703</v>
      </c>
      <c r="I194" s="19">
        <f t="shared" si="22"/>
        <v>162.62962962962968</v>
      </c>
      <c r="J194" s="20">
        <f t="shared" si="23"/>
        <v>0.16064242335552797</v>
      </c>
      <c r="K194" s="18">
        <f>INDEX('Industry Stats'!$C$2:$C$49,MATCH($C194,'Industry Stats'!$A$2:$A$49,0))</f>
        <v>425.25925925925924</v>
      </c>
      <c r="L194" s="19">
        <f t="shared" si="24"/>
        <v>129.74074074074076</v>
      </c>
      <c r="M194" s="18">
        <f>INDEX('Industry Stats'!$D$2:$D$49,MATCH($C194,'Industry Stats'!$A$2:$A$49,0))</f>
        <v>295.66666666666669</v>
      </c>
      <c r="N194" s="19">
        <f t="shared" si="25"/>
        <v>24.333333333333314</v>
      </c>
      <c r="O194" s="18">
        <f>INDEX('Industry Stats'!$E$2:$E$49,MATCH($C194,'Industry Stats'!$A$2:$A$49,0))</f>
        <v>291.44444444444446</v>
      </c>
      <c r="P194" s="19">
        <f t="shared" si="26"/>
        <v>8.5555555555555429</v>
      </c>
      <c r="R194">
        <f t="shared" si="27"/>
        <v>1175.0009806</v>
      </c>
      <c r="S194">
        <f t="shared" si="28"/>
        <v>555.00098060000005</v>
      </c>
      <c r="T194">
        <f t="shared" si="29"/>
        <v>320.00098059999999</v>
      </c>
      <c r="U194">
        <f t="shared" si="30"/>
        <v>300.00098059999999</v>
      </c>
      <c r="V194">
        <f t="shared" si="31"/>
        <v>162.63061022962967</v>
      </c>
      <c r="W194">
        <f t="shared" si="32"/>
        <v>-162.62864902962968</v>
      </c>
    </row>
    <row r="195" spans="1:23" ht="15" customHeight="1" x14ac:dyDescent="0.35">
      <c r="A195" t="str">
        <f>'Raw Data'!B193</f>
        <v>Ross Stores Inc</v>
      </c>
      <c r="B195" t="str">
        <f>'Raw Data'!A193</f>
        <v>rost</v>
      </c>
      <c r="C195" t="str">
        <f>IF('Raw Data'!E193="N/A","Unclassified",TRIM(SUBSTITUTE('Raw Data'!E193," and "," &amp; ")))</f>
        <v>Retail</v>
      </c>
      <c r="D195" s="17">
        <f>'Raw Data'!N193</f>
        <v>375</v>
      </c>
      <c r="E195" s="17">
        <f>'Raw Data'!O193</f>
        <v>325</v>
      </c>
      <c r="F195" s="17">
        <f>'Raw Data'!P193</f>
        <v>300</v>
      </c>
      <c r="G195" s="17">
        <f>'Raw Data'!Q193</f>
        <v>1000</v>
      </c>
      <c r="H195" s="18">
        <f>INDEX('Industry Stats'!$F$2:$F$49,MATCH($C195,'Industry Stats'!$A$2:$A$49,0))</f>
        <v>918.57692307692309</v>
      </c>
      <c r="I195" s="19">
        <f t="shared" si="22"/>
        <v>81.423076923076906</v>
      </c>
      <c r="J195" s="20">
        <f t="shared" si="23"/>
        <v>8.8640455554159836E-2</v>
      </c>
      <c r="K195" s="18">
        <f>INDEX('Industry Stats'!$C$2:$C$49,MATCH($C195,'Industry Stats'!$A$2:$A$49,0))</f>
        <v>380.30769230769232</v>
      </c>
      <c r="L195" s="19">
        <f t="shared" si="24"/>
        <v>-5.3076923076923208</v>
      </c>
      <c r="M195" s="18">
        <f>INDEX('Industry Stats'!$D$2:$D$49,MATCH($C195,'Industry Stats'!$A$2:$A$49,0))</f>
        <v>274.96153846153845</v>
      </c>
      <c r="N195" s="19">
        <f t="shared" si="25"/>
        <v>50.038461538461547</v>
      </c>
      <c r="O195" s="18">
        <f>INDEX('Industry Stats'!$E$2:$E$49,MATCH($C195,'Industry Stats'!$A$2:$A$49,0))</f>
        <v>263.30769230769232</v>
      </c>
      <c r="P195" s="19">
        <f t="shared" si="26"/>
        <v>36.692307692307679</v>
      </c>
      <c r="R195">
        <f t="shared" si="27"/>
        <v>1000.0009805</v>
      </c>
      <c r="S195">
        <f t="shared" si="28"/>
        <v>375.00098050000003</v>
      </c>
      <c r="T195">
        <f t="shared" si="29"/>
        <v>325.00098050000003</v>
      </c>
      <c r="U195">
        <f t="shared" si="30"/>
        <v>300.00098050000003</v>
      </c>
      <c r="V195">
        <f t="shared" si="31"/>
        <v>81.424057423076903</v>
      </c>
      <c r="W195">
        <f t="shared" si="32"/>
        <v>-81.422096423076908</v>
      </c>
    </row>
    <row r="196" spans="1:23" ht="15" customHeight="1" x14ac:dyDescent="0.35">
      <c r="A196" t="str">
        <f>'Raw Data'!B194</f>
        <v>SBA Communications Corp</v>
      </c>
      <c r="B196" t="str">
        <f>'Raw Data'!A194</f>
        <v>sbac</v>
      </c>
      <c r="C196" t="str">
        <f>IF('Raw Data'!E194="N/A","Unclassified",TRIM(SUBSTITUTE('Raw Data'!E194," and "," &amp; ")))</f>
        <v>Real Estate</v>
      </c>
      <c r="D196" s="17">
        <f>'Raw Data'!N194</f>
        <v>250</v>
      </c>
      <c r="E196" s="17">
        <f>'Raw Data'!O194</f>
        <v>251</v>
      </c>
      <c r="F196" s="17">
        <f>'Raw Data'!P194</f>
        <v>215</v>
      </c>
      <c r="G196" s="17">
        <f>'Raw Data'!Q194</f>
        <v>716</v>
      </c>
      <c r="H196" s="18">
        <f>INDEX('Industry Stats'!$F$2:$F$49,MATCH($C196,'Industry Stats'!$A$2:$A$49,0))</f>
        <v>995.94444444444446</v>
      </c>
      <c r="I196" s="19">
        <f t="shared" ref="I196:I259" si="33">G196-H196</f>
        <v>-279.94444444444446</v>
      </c>
      <c r="J196" s="20">
        <f t="shared" ref="J196:J259" si="34">I196/H196</f>
        <v>-0.28108439783566685</v>
      </c>
      <c r="K196" s="18">
        <f>INDEX('Industry Stats'!$C$2:$C$49,MATCH($C196,'Industry Stats'!$A$2:$A$49,0))</f>
        <v>431.38888888888891</v>
      </c>
      <c r="L196" s="19">
        <f t="shared" ref="L196:L259" si="35">D196-K196</f>
        <v>-181.38888888888891</v>
      </c>
      <c r="M196" s="18">
        <f>INDEX('Industry Stats'!$D$2:$D$49,MATCH($C196,'Industry Stats'!$A$2:$A$49,0))</f>
        <v>290.91666666666669</v>
      </c>
      <c r="N196" s="19">
        <f t="shared" ref="N196:N259" si="36">E196-M196</f>
        <v>-39.916666666666686</v>
      </c>
      <c r="O196" s="18">
        <f>INDEX('Industry Stats'!$E$2:$E$49,MATCH($C196,'Industry Stats'!$A$2:$A$49,0))</f>
        <v>273.63888888888891</v>
      </c>
      <c r="P196" s="19">
        <f t="shared" ref="P196:P259" si="37">F196-O196</f>
        <v>-58.638888888888914</v>
      </c>
      <c r="R196">
        <f t="shared" ref="R196:R259" si="38">G196+(10000-ROW())/10000000</f>
        <v>716.0009804</v>
      </c>
      <c r="S196">
        <f t="shared" ref="S196:S259" si="39">D196+(10000-ROW())/10000000</f>
        <v>250.0009804</v>
      </c>
      <c r="T196">
        <f t="shared" ref="T196:T259" si="40">E196+(10000-ROW())/10000000</f>
        <v>251.0009804</v>
      </c>
      <c r="U196">
        <f t="shared" ref="U196:U259" si="41">F196+(10000-ROW())/10000000</f>
        <v>215.0009804</v>
      </c>
      <c r="V196">
        <f t="shared" ref="V196:V259" si="42">I196+(10000-ROW())/10000000</f>
        <v>-279.94346404444445</v>
      </c>
      <c r="W196">
        <f t="shared" ref="W196:W259" si="43">-I196+(10000-ROW())/10000000</f>
        <v>279.94542484444446</v>
      </c>
    </row>
    <row r="197" spans="1:23" ht="15" customHeight="1" x14ac:dyDescent="0.35">
      <c r="A197" t="str">
        <f>'Raw Data'!B195</f>
        <v>Qualcomm Inc</v>
      </c>
      <c r="B197" t="str">
        <f>'Raw Data'!A195</f>
        <v>qcom</v>
      </c>
      <c r="C197" t="str">
        <f>IF('Raw Data'!E195="N/A","Unclassified",TRIM(SUBSTITUTE('Raw Data'!E195," and "," &amp; ")))</f>
        <v>Semiconductors</v>
      </c>
      <c r="D197" s="17">
        <f>'Raw Data'!N195</f>
        <v>409</v>
      </c>
      <c r="E197" s="17">
        <f>'Raw Data'!O195</f>
        <v>300</v>
      </c>
      <c r="F197" s="17">
        <f>'Raw Data'!P195</f>
        <v>300</v>
      </c>
      <c r="G197" s="17">
        <f>'Raw Data'!Q195</f>
        <v>1009</v>
      </c>
      <c r="H197" s="18">
        <f>INDEX('Industry Stats'!$F$2:$F$49,MATCH($C197,'Industry Stats'!$A$2:$A$49,0))</f>
        <v>1030.5833333333333</v>
      </c>
      <c r="I197" s="19">
        <f t="shared" si="33"/>
        <v>-21.583333333333258</v>
      </c>
      <c r="J197" s="20">
        <f t="shared" si="34"/>
        <v>-2.0942831729602904E-2</v>
      </c>
      <c r="K197" s="18">
        <f>INDEX('Industry Stats'!$C$2:$C$49,MATCH($C197,'Industry Stats'!$A$2:$A$49,0))</f>
        <v>448.45833333333331</v>
      </c>
      <c r="L197" s="19">
        <f t="shared" si="35"/>
        <v>-39.458333333333314</v>
      </c>
      <c r="M197" s="18">
        <f>INDEX('Industry Stats'!$D$2:$D$49,MATCH($C197,'Industry Stats'!$A$2:$A$49,0))</f>
        <v>296.70833333333331</v>
      </c>
      <c r="N197" s="19">
        <f t="shared" si="36"/>
        <v>3.2916666666666856</v>
      </c>
      <c r="O197" s="18">
        <f>INDEX('Industry Stats'!$E$2:$E$49,MATCH($C197,'Industry Stats'!$A$2:$A$49,0))</f>
        <v>285.41666666666669</v>
      </c>
      <c r="P197" s="19">
        <f t="shared" si="37"/>
        <v>14.583333333333314</v>
      </c>
      <c r="R197">
        <f t="shared" si="38"/>
        <v>1009.0009803</v>
      </c>
      <c r="S197">
        <f t="shared" si="39"/>
        <v>409.00098029999998</v>
      </c>
      <c r="T197">
        <f t="shared" si="40"/>
        <v>300.00098029999998</v>
      </c>
      <c r="U197">
        <f t="shared" si="41"/>
        <v>300.00098029999998</v>
      </c>
      <c r="V197">
        <f t="shared" si="42"/>
        <v>-21.582353033333259</v>
      </c>
      <c r="W197">
        <f t="shared" si="43"/>
        <v>21.584313633333256</v>
      </c>
    </row>
    <row r="198" spans="1:23" ht="15" customHeight="1" x14ac:dyDescent="0.35">
      <c r="A198" t="str">
        <f>'Raw Data'!B196</f>
        <v>Pool Corp</v>
      </c>
      <c r="B198" t="str">
        <f>'Raw Data'!A196</f>
        <v>pool</v>
      </c>
      <c r="C198" t="str">
        <f>IF('Raw Data'!E196="N/A","Unclassified",TRIM(SUBSTITUTE('Raw Data'!E196," and "," &amp; ")))</f>
        <v>Distributors</v>
      </c>
      <c r="D198" s="17">
        <f>'Raw Data'!N196</f>
        <v>525</v>
      </c>
      <c r="E198" s="17">
        <f>'Raw Data'!O196</f>
        <v>306</v>
      </c>
      <c r="F198" s="17">
        <f>'Raw Data'!P196</f>
        <v>313</v>
      </c>
      <c r="G198" s="17">
        <f>'Raw Data'!Q196</f>
        <v>1144</v>
      </c>
      <c r="H198" s="18">
        <f>INDEX('Industry Stats'!$F$2:$F$49,MATCH($C198,'Industry Stats'!$A$2:$A$49,0))</f>
        <v>1109.6666666666667</v>
      </c>
      <c r="I198" s="19">
        <f t="shared" si="33"/>
        <v>34.333333333333258</v>
      </c>
      <c r="J198" s="20">
        <f t="shared" si="34"/>
        <v>3.0940222288975597E-2</v>
      </c>
      <c r="K198" s="18">
        <f>INDEX('Industry Stats'!$C$2:$C$49,MATCH($C198,'Industry Stats'!$A$2:$A$49,0))</f>
        <v>525</v>
      </c>
      <c r="L198" s="19">
        <f t="shared" si="35"/>
        <v>0</v>
      </c>
      <c r="M198" s="18">
        <f>INDEX('Industry Stats'!$D$2:$D$49,MATCH($C198,'Industry Stats'!$A$2:$A$49,0))</f>
        <v>277</v>
      </c>
      <c r="N198" s="19">
        <f t="shared" si="36"/>
        <v>29</v>
      </c>
      <c r="O198" s="18">
        <f>INDEX('Industry Stats'!$E$2:$E$49,MATCH($C198,'Industry Stats'!$A$2:$A$49,0))</f>
        <v>307.66666666666669</v>
      </c>
      <c r="P198" s="19">
        <f t="shared" si="37"/>
        <v>5.3333333333333144</v>
      </c>
      <c r="R198">
        <f t="shared" si="38"/>
        <v>1144.0009802</v>
      </c>
      <c r="S198">
        <f t="shared" si="39"/>
        <v>525.00098019999996</v>
      </c>
      <c r="T198">
        <f t="shared" si="40"/>
        <v>306.00098020000001</v>
      </c>
      <c r="U198">
        <f t="shared" si="41"/>
        <v>313.00098020000001</v>
      </c>
      <c r="V198">
        <f t="shared" si="42"/>
        <v>34.334313533333258</v>
      </c>
      <c r="W198">
        <f t="shared" si="43"/>
        <v>-34.332353133333257</v>
      </c>
    </row>
    <row r="199" spans="1:23" ht="15" customHeight="1" x14ac:dyDescent="0.35">
      <c r="A199" t="str">
        <f>'Raw Data'!B197</f>
        <v>PepsiCo Inc</v>
      </c>
      <c r="B199" t="str">
        <f>'Raw Data'!A197</f>
        <v>pep</v>
      </c>
      <c r="C199" t="str">
        <f>IF('Raw Data'!E197="N/A","Unclassified",TRIM(SUBSTITUTE('Raw Data'!E197," and "," &amp; ")))</f>
        <v>Beverages</v>
      </c>
      <c r="D199" s="17">
        <f>'Raw Data'!N197</f>
        <v>719</v>
      </c>
      <c r="E199" s="17">
        <f>'Raw Data'!O197</f>
        <v>340</v>
      </c>
      <c r="F199" s="17">
        <f>'Raw Data'!P197</f>
        <v>358</v>
      </c>
      <c r="G199" s="17">
        <f>'Raw Data'!Q197</f>
        <v>1417</v>
      </c>
      <c r="H199" s="18">
        <f>INDEX('Industry Stats'!$F$2:$F$49,MATCH($C199,'Industry Stats'!$A$2:$A$49,0))</f>
        <v>1061</v>
      </c>
      <c r="I199" s="19">
        <f t="shared" si="33"/>
        <v>356</v>
      </c>
      <c r="J199" s="20">
        <f t="shared" si="34"/>
        <v>0.33553251649387372</v>
      </c>
      <c r="K199" s="18">
        <f>INDEX('Industry Stats'!$C$2:$C$49,MATCH($C199,'Industry Stats'!$A$2:$A$49,0))</f>
        <v>473.25</v>
      </c>
      <c r="L199" s="19">
        <f t="shared" si="35"/>
        <v>245.75</v>
      </c>
      <c r="M199" s="18">
        <f>INDEX('Industry Stats'!$D$2:$D$49,MATCH($C199,'Industry Stats'!$A$2:$A$49,0))</f>
        <v>299.5</v>
      </c>
      <c r="N199" s="19">
        <f t="shared" si="36"/>
        <v>40.5</v>
      </c>
      <c r="O199" s="18">
        <f>INDEX('Industry Stats'!$E$2:$E$49,MATCH($C199,'Industry Stats'!$A$2:$A$49,0))</f>
        <v>288.25</v>
      </c>
      <c r="P199" s="19">
        <f t="shared" si="37"/>
        <v>69.75</v>
      </c>
      <c r="R199">
        <f t="shared" si="38"/>
        <v>1417.0009801000001</v>
      </c>
      <c r="S199">
        <f t="shared" si="39"/>
        <v>719.00098009999999</v>
      </c>
      <c r="T199">
        <f t="shared" si="40"/>
        <v>340.00098009999999</v>
      </c>
      <c r="U199">
        <f t="shared" si="41"/>
        <v>358.00098009999999</v>
      </c>
      <c r="V199">
        <f t="shared" si="42"/>
        <v>356.00098009999999</v>
      </c>
      <c r="W199">
        <f t="shared" si="43"/>
        <v>-355.99901990000001</v>
      </c>
    </row>
    <row r="200" spans="1:23" ht="15" customHeight="1" x14ac:dyDescent="0.35">
      <c r="A200" t="str">
        <f>'Raw Data'!B198</f>
        <v>Starbucks Corp</v>
      </c>
      <c r="B200" t="str">
        <f>'Raw Data'!A198</f>
        <v>sbux</v>
      </c>
      <c r="C200" t="str">
        <f>IF('Raw Data'!E198="N/A","Unclassified",TRIM(SUBSTITUTE('Raw Data'!E198," and "," &amp; ")))</f>
        <v>Hotels Restaurants &amp; Leisure</v>
      </c>
      <c r="D200" s="17">
        <f>'Raw Data'!N198</f>
        <v>475</v>
      </c>
      <c r="E200" s="17">
        <f>'Raw Data'!O198</f>
        <v>385</v>
      </c>
      <c r="F200" s="17">
        <f>'Raw Data'!P198</f>
        <v>295</v>
      </c>
      <c r="G200" s="17">
        <f>'Raw Data'!Q198</f>
        <v>1155</v>
      </c>
      <c r="H200" s="18">
        <f>INDEX('Industry Stats'!$F$2:$F$49,MATCH($C200,'Industry Stats'!$A$2:$A$49,0))</f>
        <v>918.86363636363637</v>
      </c>
      <c r="I200" s="19">
        <f t="shared" si="33"/>
        <v>236.13636363636363</v>
      </c>
      <c r="J200" s="20">
        <f t="shared" si="34"/>
        <v>0.25698738560474893</v>
      </c>
      <c r="K200" s="18">
        <f>INDEX('Industry Stats'!$C$2:$C$49,MATCH($C200,'Industry Stats'!$A$2:$A$49,0))</f>
        <v>374.63636363636363</v>
      </c>
      <c r="L200" s="19">
        <f t="shared" si="35"/>
        <v>100.36363636363637</v>
      </c>
      <c r="M200" s="18">
        <f>INDEX('Industry Stats'!$D$2:$D$49,MATCH($C200,'Industry Stats'!$A$2:$A$49,0))</f>
        <v>283.04545454545456</v>
      </c>
      <c r="N200" s="19">
        <f t="shared" si="36"/>
        <v>101.95454545454544</v>
      </c>
      <c r="O200" s="18">
        <f>INDEX('Industry Stats'!$E$2:$E$49,MATCH($C200,'Industry Stats'!$A$2:$A$49,0))</f>
        <v>261.18181818181819</v>
      </c>
      <c r="P200" s="19">
        <f t="shared" si="37"/>
        <v>33.818181818181813</v>
      </c>
      <c r="R200">
        <f t="shared" si="38"/>
        <v>1155.00098</v>
      </c>
      <c r="S200">
        <f t="shared" si="39"/>
        <v>475.00098000000003</v>
      </c>
      <c r="T200">
        <f t="shared" si="40"/>
        <v>385.00098000000003</v>
      </c>
      <c r="U200">
        <f t="shared" si="41"/>
        <v>295.00098000000003</v>
      </c>
      <c r="V200">
        <f t="shared" si="42"/>
        <v>236.13734363636362</v>
      </c>
      <c r="W200">
        <f t="shared" si="43"/>
        <v>-236.13538363636363</v>
      </c>
    </row>
    <row r="201" spans="1:23" ht="15" customHeight="1" x14ac:dyDescent="0.35">
      <c r="A201" t="str">
        <f>'Raw Data'!B199</f>
        <v>Regency Centers Corp</v>
      </c>
      <c r="B201" t="str">
        <f>'Raw Data'!A199</f>
        <v>reg</v>
      </c>
      <c r="C201" t="str">
        <f>IF('Raw Data'!E199="N/A","Unclassified",TRIM(SUBSTITUTE('Raw Data'!E199," and "," &amp; ")))</f>
        <v>Real Estate</v>
      </c>
      <c r="D201" s="17">
        <f>'Raw Data'!N199</f>
        <v>575</v>
      </c>
      <c r="E201" s="17">
        <f>'Raw Data'!O199</f>
        <v>372</v>
      </c>
      <c r="F201" s="17">
        <f>'Raw Data'!P199</f>
        <v>365</v>
      </c>
      <c r="G201" s="17">
        <f>'Raw Data'!Q199</f>
        <v>1312</v>
      </c>
      <c r="H201" s="18">
        <f>INDEX('Industry Stats'!$F$2:$F$49,MATCH($C201,'Industry Stats'!$A$2:$A$49,0))</f>
        <v>995.94444444444446</v>
      </c>
      <c r="I201" s="19">
        <f t="shared" si="33"/>
        <v>316.05555555555554</v>
      </c>
      <c r="J201" s="20">
        <f t="shared" si="34"/>
        <v>0.31734255592123611</v>
      </c>
      <c r="K201" s="18">
        <f>INDEX('Industry Stats'!$C$2:$C$49,MATCH($C201,'Industry Stats'!$A$2:$A$49,0))</f>
        <v>431.38888888888891</v>
      </c>
      <c r="L201" s="19">
        <f t="shared" si="35"/>
        <v>143.61111111111109</v>
      </c>
      <c r="M201" s="18">
        <f>INDEX('Industry Stats'!$D$2:$D$49,MATCH($C201,'Industry Stats'!$A$2:$A$49,0))</f>
        <v>290.91666666666669</v>
      </c>
      <c r="N201" s="19">
        <f t="shared" si="36"/>
        <v>81.083333333333314</v>
      </c>
      <c r="O201" s="18">
        <f>INDEX('Industry Stats'!$E$2:$E$49,MATCH($C201,'Industry Stats'!$A$2:$A$49,0))</f>
        <v>273.63888888888891</v>
      </c>
      <c r="P201" s="19">
        <f t="shared" si="37"/>
        <v>91.361111111111086</v>
      </c>
      <c r="R201">
        <f t="shared" si="38"/>
        <v>1312.0009798999999</v>
      </c>
      <c r="S201">
        <f t="shared" si="39"/>
        <v>575.00097989999995</v>
      </c>
      <c r="T201">
        <f t="shared" si="40"/>
        <v>372.0009799</v>
      </c>
      <c r="U201">
        <f t="shared" si="41"/>
        <v>365.0009799</v>
      </c>
      <c r="V201">
        <f t="shared" si="42"/>
        <v>316.05653545555555</v>
      </c>
      <c r="W201">
        <f t="shared" si="43"/>
        <v>-316.05457565555554</v>
      </c>
    </row>
    <row r="202" spans="1:23" ht="15" customHeight="1" x14ac:dyDescent="0.35">
      <c r="A202" t="str">
        <f>'Raw Data'!B200</f>
        <v>Qorvo Inc</v>
      </c>
      <c r="B202" t="str">
        <f>'Raw Data'!A200</f>
        <v>qrvo</v>
      </c>
      <c r="C202" t="str">
        <f>IF('Raw Data'!E200="N/A","Unclassified",TRIM(SUBSTITUTE('Raw Data'!E200," and "," &amp; ")))</f>
        <v>Semiconductors</v>
      </c>
      <c r="D202" s="17">
        <f>'Raw Data'!N200</f>
        <v>535</v>
      </c>
      <c r="E202" s="17">
        <f>'Raw Data'!O200</f>
        <v>310</v>
      </c>
      <c r="F202" s="17">
        <f>'Raw Data'!P200</f>
        <v>305</v>
      </c>
      <c r="G202" s="17">
        <f>'Raw Data'!Q200</f>
        <v>1150</v>
      </c>
      <c r="H202" s="18">
        <f>INDEX('Industry Stats'!$F$2:$F$49,MATCH($C202,'Industry Stats'!$A$2:$A$49,0))</f>
        <v>1030.5833333333333</v>
      </c>
      <c r="I202" s="19">
        <f t="shared" si="33"/>
        <v>119.41666666666674</v>
      </c>
      <c r="J202" s="20">
        <f t="shared" si="34"/>
        <v>0.11587288752324744</v>
      </c>
      <c r="K202" s="18">
        <f>INDEX('Industry Stats'!$C$2:$C$49,MATCH($C202,'Industry Stats'!$A$2:$A$49,0))</f>
        <v>448.45833333333331</v>
      </c>
      <c r="L202" s="19">
        <f t="shared" si="35"/>
        <v>86.541666666666686</v>
      </c>
      <c r="M202" s="18">
        <f>INDEX('Industry Stats'!$D$2:$D$49,MATCH($C202,'Industry Stats'!$A$2:$A$49,0))</f>
        <v>296.70833333333331</v>
      </c>
      <c r="N202" s="19">
        <f t="shared" si="36"/>
        <v>13.291666666666686</v>
      </c>
      <c r="O202" s="18">
        <f>INDEX('Industry Stats'!$E$2:$E$49,MATCH($C202,'Industry Stats'!$A$2:$A$49,0))</f>
        <v>285.41666666666669</v>
      </c>
      <c r="P202" s="19">
        <f t="shared" si="37"/>
        <v>19.583333333333314</v>
      </c>
      <c r="R202">
        <f t="shared" si="38"/>
        <v>1150.0009798000001</v>
      </c>
      <c r="S202">
        <f t="shared" si="39"/>
        <v>535.00097979999998</v>
      </c>
      <c r="T202">
        <f t="shared" si="40"/>
        <v>310.00097979999998</v>
      </c>
      <c r="U202">
        <f t="shared" si="41"/>
        <v>305.00097979999998</v>
      </c>
      <c r="V202">
        <f t="shared" si="42"/>
        <v>119.41764646666674</v>
      </c>
      <c r="W202">
        <f t="shared" si="43"/>
        <v>-119.41568686666675</v>
      </c>
    </row>
    <row r="203" spans="1:23" ht="15" customHeight="1" x14ac:dyDescent="0.35">
      <c r="A203" t="str">
        <f>'Raw Data'!B201</f>
        <v>PTC Inc</v>
      </c>
      <c r="B203" t="str">
        <f>'Raw Data'!A201</f>
        <v>ptc</v>
      </c>
      <c r="C203" t="str">
        <f>IF('Raw Data'!E201="N/A","Unclassified",TRIM(SUBSTITUTE('Raw Data'!E201," and "," &amp; ")))</f>
        <v>Technology</v>
      </c>
      <c r="D203" s="17">
        <f>'Raw Data'!N201</f>
        <v>550</v>
      </c>
      <c r="E203" s="17">
        <f>'Raw Data'!O201</f>
        <v>302</v>
      </c>
      <c r="F203" s="17">
        <f>'Raw Data'!P201</f>
        <v>308</v>
      </c>
      <c r="G203" s="17">
        <f>'Raw Data'!Q201</f>
        <v>1160</v>
      </c>
      <c r="H203" s="18">
        <f>INDEX('Industry Stats'!$F$2:$F$49,MATCH($C203,'Industry Stats'!$A$2:$A$49,0))</f>
        <v>1031.3174603174602</v>
      </c>
      <c r="I203" s="19">
        <f t="shared" si="33"/>
        <v>128.68253968253975</v>
      </c>
      <c r="J203" s="20">
        <f t="shared" si="34"/>
        <v>0.124774906499623</v>
      </c>
      <c r="K203" s="18">
        <f>INDEX('Industry Stats'!$C$2:$C$49,MATCH($C203,'Industry Stats'!$A$2:$A$49,0))</f>
        <v>438.11111111111109</v>
      </c>
      <c r="L203" s="19">
        <f t="shared" si="35"/>
        <v>111.88888888888891</v>
      </c>
      <c r="M203" s="18">
        <f>INDEX('Industry Stats'!$D$2:$D$49,MATCH($C203,'Industry Stats'!$A$2:$A$49,0))</f>
        <v>307.90476190476193</v>
      </c>
      <c r="N203" s="19">
        <f t="shared" si="36"/>
        <v>-5.9047619047619264</v>
      </c>
      <c r="O203" s="18">
        <f>INDEX('Industry Stats'!$E$2:$E$49,MATCH($C203,'Industry Stats'!$A$2:$A$49,0))</f>
        <v>285.30158730158729</v>
      </c>
      <c r="P203" s="19">
        <f t="shared" si="37"/>
        <v>22.69841269841271</v>
      </c>
      <c r="R203">
        <f t="shared" si="38"/>
        <v>1160.0009797</v>
      </c>
      <c r="S203">
        <f t="shared" si="39"/>
        <v>550.00097970000002</v>
      </c>
      <c r="T203">
        <f t="shared" si="40"/>
        <v>302.00097970000002</v>
      </c>
      <c r="U203">
        <f t="shared" si="41"/>
        <v>308.00097970000002</v>
      </c>
      <c r="V203">
        <f t="shared" si="42"/>
        <v>128.68351938253974</v>
      </c>
      <c r="W203">
        <f t="shared" si="43"/>
        <v>-128.68155998253977</v>
      </c>
    </row>
    <row r="204" spans="1:23" ht="15" customHeight="1" x14ac:dyDescent="0.35">
      <c r="A204" t="str">
        <f>'Raw Data'!B202</f>
        <v>PENN Entertainment Inc</v>
      </c>
      <c r="B204" t="str">
        <f>'Raw Data'!A202</f>
        <v>penn</v>
      </c>
      <c r="C204" t="str">
        <f>IF('Raw Data'!E202="N/A","Unclassified",TRIM(SUBSTITUTE('Raw Data'!E202," and "," &amp; ")))</f>
        <v>Hotels Restaurants &amp; Leisure</v>
      </c>
      <c r="D204" s="17">
        <f>'Raw Data'!N202</f>
        <v>371</v>
      </c>
      <c r="E204" s="17">
        <f>'Raw Data'!O202</f>
        <v>300</v>
      </c>
      <c r="F204" s="17">
        <f>'Raw Data'!P202</f>
        <v>220</v>
      </c>
      <c r="G204" s="17">
        <f>'Raw Data'!Q202</f>
        <v>891</v>
      </c>
      <c r="H204" s="18">
        <f>INDEX('Industry Stats'!$F$2:$F$49,MATCH($C204,'Industry Stats'!$A$2:$A$49,0))</f>
        <v>918.86363636363637</v>
      </c>
      <c r="I204" s="19">
        <f t="shared" si="33"/>
        <v>-27.863636363636374</v>
      </c>
      <c r="J204" s="20">
        <f t="shared" si="34"/>
        <v>-3.032401681919368E-2</v>
      </c>
      <c r="K204" s="18">
        <f>INDEX('Industry Stats'!$C$2:$C$49,MATCH($C204,'Industry Stats'!$A$2:$A$49,0))</f>
        <v>374.63636363636363</v>
      </c>
      <c r="L204" s="19">
        <f t="shared" si="35"/>
        <v>-3.636363636363626</v>
      </c>
      <c r="M204" s="18">
        <f>INDEX('Industry Stats'!$D$2:$D$49,MATCH($C204,'Industry Stats'!$A$2:$A$49,0))</f>
        <v>283.04545454545456</v>
      </c>
      <c r="N204" s="19">
        <f t="shared" si="36"/>
        <v>16.954545454545439</v>
      </c>
      <c r="O204" s="18">
        <f>INDEX('Industry Stats'!$E$2:$E$49,MATCH($C204,'Industry Stats'!$A$2:$A$49,0))</f>
        <v>261.18181818181819</v>
      </c>
      <c r="P204" s="19">
        <f t="shared" si="37"/>
        <v>-41.181818181818187</v>
      </c>
      <c r="R204">
        <f t="shared" si="38"/>
        <v>891.00097960000005</v>
      </c>
      <c r="S204">
        <f t="shared" si="39"/>
        <v>371.00097959999999</v>
      </c>
      <c r="T204">
        <f t="shared" si="40"/>
        <v>300.00097959999999</v>
      </c>
      <c r="U204">
        <f t="shared" si="41"/>
        <v>220.00097959999999</v>
      </c>
      <c r="V204">
        <f t="shared" si="42"/>
        <v>-27.862656763636373</v>
      </c>
      <c r="W204">
        <f t="shared" si="43"/>
        <v>27.864615963636375</v>
      </c>
    </row>
    <row r="205" spans="1:23" ht="15" customHeight="1" x14ac:dyDescent="0.35">
      <c r="A205" t="str">
        <f>'Raw Data'!B203</f>
        <v>PayPal Holdings Inc</v>
      </c>
      <c r="B205" t="str">
        <f>'Raw Data'!A203</f>
        <v>pypl</v>
      </c>
      <c r="C205" t="str">
        <f>IF('Raw Data'!E203="N/A","Unclassified",TRIM(SUBSTITUTE('Raw Data'!E203," and "," &amp; ")))</f>
        <v>Technology</v>
      </c>
      <c r="D205" s="17">
        <f>'Raw Data'!N203</f>
        <v>370</v>
      </c>
      <c r="E205" s="17">
        <f>'Raw Data'!O203</f>
        <v>244</v>
      </c>
      <c r="F205" s="17">
        <f>'Raw Data'!P203</f>
        <v>285</v>
      </c>
      <c r="G205" s="17">
        <f>'Raw Data'!Q203</f>
        <v>899</v>
      </c>
      <c r="H205" s="18">
        <f>INDEX('Industry Stats'!$F$2:$F$49,MATCH($C205,'Industry Stats'!$A$2:$A$49,0))</f>
        <v>1031.3174603174602</v>
      </c>
      <c r="I205" s="19">
        <f t="shared" si="33"/>
        <v>-132.31746031746025</v>
      </c>
      <c r="J205" s="20">
        <f t="shared" si="34"/>
        <v>-0.12829944746279218</v>
      </c>
      <c r="K205" s="18">
        <f>INDEX('Industry Stats'!$C$2:$C$49,MATCH($C205,'Industry Stats'!$A$2:$A$49,0))</f>
        <v>438.11111111111109</v>
      </c>
      <c r="L205" s="19">
        <f t="shared" si="35"/>
        <v>-68.111111111111086</v>
      </c>
      <c r="M205" s="18">
        <f>INDEX('Industry Stats'!$D$2:$D$49,MATCH($C205,'Industry Stats'!$A$2:$A$49,0))</f>
        <v>307.90476190476193</v>
      </c>
      <c r="N205" s="19">
        <f t="shared" si="36"/>
        <v>-63.904761904761926</v>
      </c>
      <c r="O205" s="18">
        <f>INDEX('Industry Stats'!$E$2:$E$49,MATCH($C205,'Industry Stats'!$A$2:$A$49,0))</f>
        <v>285.30158730158729</v>
      </c>
      <c r="P205" s="19">
        <f t="shared" si="37"/>
        <v>-0.30158730158728986</v>
      </c>
      <c r="R205">
        <f t="shared" si="38"/>
        <v>899.00097949999997</v>
      </c>
      <c r="S205">
        <f t="shared" si="39"/>
        <v>370.00097950000003</v>
      </c>
      <c r="T205">
        <f t="shared" si="40"/>
        <v>244.0009795</v>
      </c>
      <c r="U205">
        <f t="shared" si="41"/>
        <v>285.00097950000003</v>
      </c>
      <c r="V205">
        <f t="shared" si="42"/>
        <v>-132.31648081746025</v>
      </c>
      <c r="W205">
        <f t="shared" si="43"/>
        <v>132.31843981746024</v>
      </c>
    </row>
    <row r="206" spans="1:23" ht="15" customHeight="1" x14ac:dyDescent="0.35">
      <c r="A206" t="str">
        <f>'Raw Data'!B204</f>
        <v>Regeneron Pharmaceuticals Inc</v>
      </c>
      <c r="B206" t="str">
        <f>'Raw Data'!A204</f>
        <v>regn</v>
      </c>
      <c r="C206" t="str">
        <f>IF('Raw Data'!E204="N/A","Unclassified",TRIM(SUBSTITUTE('Raw Data'!E204," and "," &amp; ")))</f>
        <v>Biotechnology</v>
      </c>
      <c r="D206" s="17">
        <f>'Raw Data'!N204</f>
        <v>505</v>
      </c>
      <c r="E206" s="17">
        <f>'Raw Data'!O204</f>
        <v>327</v>
      </c>
      <c r="F206" s="17">
        <f>'Raw Data'!P204</f>
        <v>305</v>
      </c>
      <c r="G206" s="17">
        <f>'Raw Data'!Q204</f>
        <v>1137</v>
      </c>
      <c r="H206" s="18">
        <f>INDEX('Industry Stats'!$F$2:$F$49,MATCH($C206,'Industry Stats'!$A$2:$A$49,0))</f>
        <v>866.91071428571433</v>
      </c>
      <c r="I206" s="19">
        <f t="shared" si="33"/>
        <v>270.08928571428567</v>
      </c>
      <c r="J206" s="20">
        <f t="shared" si="34"/>
        <v>0.31155375203411118</v>
      </c>
      <c r="K206" s="18">
        <f>INDEX('Industry Stats'!$C$2:$C$49,MATCH($C206,'Industry Stats'!$A$2:$A$49,0))</f>
        <v>306.53571428571428</v>
      </c>
      <c r="L206" s="19">
        <f t="shared" si="35"/>
        <v>198.46428571428572</v>
      </c>
      <c r="M206" s="18">
        <f>INDEX('Industry Stats'!$D$2:$D$49,MATCH($C206,'Industry Stats'!$A$2:$A$49,0))</f>
        <v>268.85714285714283</v>
      </c>
      <c r="N206" s="19">
        <f t="shared" si="36"/>
        <v>58.142857142857167</v>
      </c>
      <c r="O206" s="18">
        <f>INDEX('Industry Stats'!$E$2:$E$49,MATCH($C206,'Industry Stats'!$A$2:$A$49,0))</f>
        <v>291.51785714285717</v>
      </c>
      <c r="P206" s="19">
        <f t="shared" si="37"/>
        <v>13.482142857142833</v>
      </c>
      <c r="R206">
        <f t="shared" si="38"/>
        <v>1137.0009794</v>
      </c>
      <c r="S206">
        <f t="shared" si="39"/>
        <v>505.00097940000001</v>
      </c>
      <c r="T206">
        <f t="shared" si="40"/>
        <v>327.00097940000001</v>
      </c>
      <c r="U206">
        <f t="shared" si="41"/>
        <v>305.00097940000001</v>
      </c>
      <c r="V206">
        <f t="shared" si="42"/>
        <v>270.09026511428567</v>
      </c>
      <c r="W206">
        <f t="shared" si="43"/>
        <v>-270.08830631428566</v>
      </c>
    </row>
    <row r="207" spans="1:23" ht="15" customHeight="1" x14ac:dyDescent="0.35">
      <c r="A207" t="str">
        <f>'Raw Data'!B205</f>
        <v>Amgen Inc</v>
      </c>
      <c r="B207" t="str">
        <f>'Raw Data'!A205</f>
        <v>amgn</v>
      </c>
      <c r="C207" t="str">
        <f>IF('Raw Data'!E205="N/A","Unclassified",TRIM(SUBSTITUTE('Raw Data'!E205," and "," &amp; ")))</f>
        <v>Biotechnology</v>
      </c>
      <c r="D207" s="17">
        <f>'Raw Data'!N205</f>
        <v>575</v>
      </c>
      <c r="E207" s="17">
        <f>'Raw Data'!O205</f>
        <v>312</v>
      </c>
      <c r="F207" s="17">
        <f>'Raw Data'!P205</f>
        <v>328</v>
      </c>
      <c r="G207" s="17">
        <f>'Raw Data'!Q205</f>
        <v>1215</v>
      </c>
      <c r="H207" s="18">
        <f>INDEX('Industry Stats'!$F$2:$F$49,MATCH($C207,'Industry Stats'!$A$2:$A$49,0))</f>
        <v>866.91071428571433</v>
      </c>
      <c r="I207" s="19">
        <f t="shared" si="33"/>
        <v>348.08928571428567</v>
      </c>
      <c r="J207" s="20">
        <f t="shared" si="34"/>
        <v>0.40152841576204495</v>
      </c>
      <c r="K207" s="18">
        <f>INDEX('Industry Stats'!$C$2:$C$49,MATCH($C207,'Industry Stats'!$A$2:$A$49,0))</f>
        <v>306.53571428571428</v>
      </c>
      <c r="L207" s="19">
        <f t="shared" si="35"/>
        <v>268.46428571428572</v>
      </c>
      <c r="M207" s="18">
        <f>INDEX('Industry Stats'!$D$2:$D$49,MATCH($C207,'Industry Stats'!$A$2:$A$49,0))</f>
        <v>268.85714285714283</v>
      </c>
      <c r="N207" s="19">
        <f t="shared" si="36"/>
        <v>43.142857142857167</v>
      </c>
      <c r="O207" s="18">
        <f>INDEX('Industry Stats'!$E$2:$E$49,MATCH($C207,'Industry Stats'!$A$2:$A$49,0))</f>
        <v>291.51785714285717</v>
      </c>
      <c r="P207" s="19">
        <f t="shared" si="37"/>
        <v>36.482142857142833</v>
      </c>
      <c r="R207">
        <f t="shared" si="38"/>
        <v>1215.0009792999999</v>
      </c>
      <c r="S207">
        <f t="shared" si="39"/>
        <v>575.00097930000004</v>
      </c>
      <c r="T207">
        <f t="shared" si="40"/>
        <v>312.00097929999998</v>
      </c>
      <c r="U207">
        <f t="shared" si="41"/>
        <v>328.00097929999998</v>
      </c>
      <c r="V207">
        <f t="shared" si="42"/>
        <v>348.09026501428565</v>
      </c>
      <c r="W207">
        <f t="shared" si="43"/>
        <v>-348.08830641428568</v>
      </c>
    </row>
    <row r="208" spans="1:23" ht="15" customHeight="1" x14ac:dyDescent="0.35">
      <c r="A208" t="str">
        <f>'Raw Data'!B206</f>
        <v>Synopsys Inc</v>
      </c>
      <c r="B208" t="str">
        <f>'Raw Data'!A206</f>
        <v>snps</v>
      </c>
      <c r="C208" t="str">
        <f>IF('Raw Data'!E206="N/A","Unclassified",TRIM(SUBSTITUTE('Raw Data'!E206," and "," &amp; ")))</f>
        <v>Technology</v>
      </c>
      <c r="D208" s="17">
        <f>'Raw Data'!N206</f>
        <v>525</v>
      </c>
      <c r="E208" s="17">
        <f>'Raw Data'!O206</f>
        <v>316</v>
      </c>
      <c r="F208" s="17">
        <f>'Raw Data'!P206</f>
        <v>315</v>
      </c>
      <c r="G208" s="17">
        <f>'Raw Data'!Q206</f>
        <v>1156</v>
      </c>
      <c r="H208" s="18">
        <f>INDEX('Industry Stats'!$F$2:$F$49,MATCH($C208,'Industry Stats'!$A$2:$A$49,0))</f>
        <v>1031.3174603174602</v>
      </c>
      <c r="I208" s="19">
        <f t="shared" si="33"/>
        <v>124.68253968253975</v>
      </c>
      <c r="J208" s="20">
        <f t="shared" si="34"/>
        <v>0.12089637233927947</v>
      </c>
      <c r="K208" s="18">
        <f>INDEX('Industry Stats'!$C$2:$C$49,MATCH($C208,'Industry Stats'!$A$2:$A$49,0))</f>
        <v>438.11111111111109</v>
      </c>
      <c r="L208" s="19">
        <f t="shared" si="35"/>
        <v>86.888888888888914</v>
      </c>
      <c r="M208" s="18">
        <f>INDEX('Industry Stats'!$D$2:$D$49,MATCH($C208,'Industry Stats'!$A$2:$A$49,0))</f>
        <v>307.90476190476193</v>
      </c>
      <c r="N208" s="19">
        <f t="shared" si="36"/>
        <v>8.0952380952380736</v>
      </c>
      <c r="O208" s="18">
        <f>INDEX('Industry Stats'!$E$2:$E$49,MATCH($C208,'Industry Stats'!$A$2:$A$49,0))</f>
        <v>285.30158730158729</v>
      </c>
      <c r="P208" s="19">
        <f t="shared" si="37"/>
        <v>29.69841269841271</v>
      </c>
      <c r="R208">
        <f t="shared" si="38"/>
        <v>1156.0009792000001</v>
      </c>
      <c r="S208">
        <f t="shared" si="39"/>
        <v>525.00097919999996</v>
      </c>
      <c r="T208">
        <f t="shared" si="40"/>
        <v>316.00097920000002</v>
      </c>
      <c r="U208">
        <f t="shared" si="41"/>
        <v>315.00097920000002</v>
      </c>
      <c r="V208">
        <f t="shared" si="42"/>
        <v>124.68351888253976</v>
      </c>
      <c r="W208">
        <f t="shared" si="43"/>
        <v>-124.68156048253975</v>
      </c>
    </row>
    <row r="209" spans="1:23" ht="15" customHeight="1" x14ac:dyDescent="0.35">
      <c r="A209" t="str">
        <f>'Raw Data'!B207</f>
        <v>Seagate Technology Holdings PLC</v>
      </c>
      <c r="B209" t="str">
        <f>'Raw Data'!A207</f>
        <v>stx</v>
      </c>
      <c r="C209" t="str">
        <f>IF('Raw Data'!E207="N/A","Unclassified",TRIM(SUBSTITUTE('Raw Data'!E207," and "," &amp; ")))</f>
        <v>Technology</v>
      </c>
      <c r="D209" s="17">
        <f>'Raw Data'!N207</f>
        <v>540</v>
      </c>
      <c r="E209" s="17">
        <f>'Raw Data'!O207</f>
        <v>355</v>
      </c>
      <c r="F209" s="17">
        <f>'Raw Data'!P207</f>
        <v>300</v>
      </c>
      <c r="G209" s="17">
        <f>'Raw Data'!Q207</f>
        <v>1195</v>
      </c>
      <c r="H209" s="18">
        <f>INDEX('Industry Stats'!$F$2:$F$49,MATCH($C209,'Industry Stats'!$A$2:$A$49,0))</f>
        <v>1031.3174603174602</v>
      </c>
      <c r="I209" s="19">
        <f t="shared" si="33"/>
        <v>163.68253968253975</v>
      </c>
      <c r="J209" s="20">
        <f t="shared" si="34"/>
        <v>0.15871208040262885</v>
      </c>
      <c r="K209" s="18">
        <f>INDEX('Industry Stats'!$C$2:$C$49,MATCH($C209,'Industry Stats'!$A$2:$A$49,0))</f>
        <v>438.11111111111109</v>
      </c>
      <c r="L209" s="19">
        <f t="shared" si="35"/>
        <v>101.88888888888891</v>
      </c>
      <c r="M209" s="18">
        <f>INDEX('Industry Stats'!$D$2:$D$49,MATCH($C209,'Industry Stats'!$A$2:$A$49,0))</f>
        <v>307.90476190476193</v>
      </c>
      <c r="N209" s="19">
        <f t="shared" si="36"/>
        <v>47.095238095238074</v>
      </c>
      <c r="O209" s="18">
        <f>INDEX('Industry Stats'!$E$2:$E$49,MATCH($C209,'Industry Stats'!$A$2:$A$49,0))</f>
        <v>285.30158730158729</v>
      </c>
      <c r="P209" s="19">
        <f t="shared" si="37"/>
        <v>14.69841269841271</v>
      </c>
      <c r="R209">
        <f t="shared" si="38"/>
        <v>1195.0009791</v>
      </c>
      <c r="S209">
        <f t="shared" si="39"/>
        <v>540.0009791</v>
      </c>
      <c r="T209">
        <f t="shared" si="40"/>
        <v>355.0009791</v>
      </c>
      <c r="U209">
        <f t="shared" si="41"/>
        <v>300.0009791</v>
      </c>
      <c r="V209">
        <f t="shared" si="42"/>
        <v>163.68351878253975</v>
      </c>
      <c r="W209">
        <f t="shared" si="43"/>
        <v>-163.68156058253976</v>
      </c>
    </row>
    <row r="210" spans="1:23" ht="15" customHeight="1" x14ac:dyDescent="0.35">
      <c r="A210" t="str">
        <f>'Raw Data'!B208</f>
        <v>Bio-Techne Corp</v>
      </c>
      <c r="B210" t="str">
        <f>'Raw Data'!A208</f>
        <v>tech</v>
      </c>
      <c r="C210" t="str">
        <f>IF('Raw Data'!E208="N/A","Unclassified",TRIM(SUBSTITUTE('Raw Data'!E208," and "," &amp; ")))</f>
        <v>Life Sciences Tools &amp; Services</v>
      </c>
      <c r="D210" s="17">
        <f>'Raw Data'!N208</f>
        <v>510</v>
      </c>
      <c r="E210" s="17">
        <f>'Raw Data'!O208</f>
        <v>268</v>
      </c>
      <c r="F210" s="17">
        <f>'Raw Data'!P208</f>
        <v>300</v>
      </c>
      <c r="G210" s="17">
        <f>'Raw Data'!Q208</f>
        <v>1078</v>
      </c>
      <c r="H210" s="18">
        <f>INDEX('Industry Stats'!$F$2:$F$49,MATCH($C210,'Industry Stats'!$A$2:$A$49,0))</f>
        <v>993.125</v>
      </c>
      <c r="I210" s="19">
        <f t="shared" si="33"/>
        <v>84.875</v>
      </c>
      <c r="J210" s="20">
        <f t="shared" si="34"/>
        <v>8.546255506607929E-2</v>
      </c>
      <c r="K210" s="18">
        <f>INDEX('Industry Stats'!$C$2:$C$49,MATCH($C210,'Industry Stats'!$A$2:$A$49,0))</f>
        <v>421.375</v>
      </c>
      <c r="L210" s="19">
        <f t="shared" si="35"/>
        <v>88.625</v>
      </c>
      <c r="M210" s="18">
        <f>INDEX('Industry Stats'!$D$2:$D$49,MATCH($C210,'Industry Stats'!$A$2:$A$49,0))</f>
        <v>294.5</v>
      </c>
      <c r="N210" s="19">
        <f t="shared" si="36"/>
        <v>-26.5</v>
      </c>
      <c r="O210" s="18">
        <f>INDEX('Industry Stats'!$E$2:$E$49,MATCH($C210,'Industry Stats'!$A$2:$A$49,0))</f>
        <v>277.25</v>
      </c>
      <c r="P210" s="19">
        <f t="shared" si="37"/>
        <v>22.75</v>
      </c>
      <c r="R210">
        <f t="shared" si="38"/>
        <v>1078.0009789999999</v>
      </c>
      <c r="S210">
        <f t="shared" si="39"/>
        <v>510.00097899999997</v>
      </c>
      <c r="T210">
        <f t="shared" si="40"/>
        <v>268.00097899999997</v>
      </c>
      <c r="U210">
        <f t="shared" si="41"/>
        <v>300.00097899999997</v>
      </c>
      <c r="V210">
        <f t="shared" si="42"/>
        <v>84.875979000000001</v>
      </c>
      <c r="W210">
        <f t="shared" si="43"/>
        <v>-84.874020999999999</v>
      </c>
    </row>
    <row r="211" spans="1:23" ht="15" customHeight="1" x14ac:dyDescent="0.35">
      <c r="A211" t="str">
        <f>'Raw Data'!B209</f>
        <v>Teradyne Inc</v>
      </c>
      <c r="B211" t="str">
        <f>'Raw Data'!A209</f>
        <v>ter</v>
      </c>
      <c r="C211" t="str">
        <f>IF('Raw Data'!E209="N/A","Unclassified",TRIM(SUBSTITUTE('Raw Data'!E209," and "," &amp; ")))</f>
        <v>Semiconductors</v>
      </c>
      <c r="D211" s="17">
        <f>'Raw Data'!N209</f>
        <v>507</v>
      </c>
      <c r="E211" s="17">
        <f>'Raw Data'!O209</f>
        <v>328</v>
      </c>
      <c r="F211" s="17">
        <f>'Raw Data'!P209</f>
        <v>315</v>
      </c>
      <c r="G211" s="17">
        <f>'Raw Data'!Q209</f>
        <v>1150</v>
      </c>
      <c r="H211" s="18">
        <f>INDEX('Industry Stats'!$F$2:$F$49,MATCH($C211,'Industry Stats'!$A$2:$A$49,0))</f>
        <v>1030.5833333333333</v>
      </c>
      <c r="I211" s="19">
        <f t="shared" si="33"/>
        <v>119.41666666666674</v>
      </c>
      <c r="J211" s="20">
        <f t="shared" si="34"/>
        <v>0.11587288752324744</v>
      </c>
      <c r="K211" s="18">
        <f>INDEX('Industry Stats'!$C$2:$C$49,MATCH($C211,'Industry Stats'!$A$2:$A$49,0))</f>
        <v>448.45833333333331</v>
      </c>
      <c r="L211" s="19">
        <f t="shared" si="35"/>
        <v>58.541666666666686</v>
      </c>
      <c r="M211" s="18">
        <f>INDEX('Industry Stats'!$D$2:$D$49,MATCH($C211,'Industry Stats'!$A$2:$A$49,0))</f>
        <v>296.70833333333331</v>
      </c>
      <c r="N211" s="19">
        <f t="shared" si="36"/>
        <v>31.291666666666686</v>
      </c>
      <c r="O211" s="18">
        <f>INDEX('Industry Stats'!$E$2:$E$49,MATCH($C211,'Industry Stats'!$A$2:$A$49,0))</f>
        <v>285.41666666666669</v>
      </c>
      <c r="P211" s="19">
        <f t="shared" si="37"/>
        <v>29.583333333333314</v>
      </c>
      <c r="R211">
        <f t="shared" si="38"/>
        <v>1150.0009789000001</v>
      </c>
      <c r="S211">
        <f t="shared" si="39"/>
        <v>507.00097890000001</v>
      </c>
      <c r="T211">
        <f t="shared" si="40"/>
        <v>328.00097890000001</v>
      </c>
      <c r="U211">
        <f t="shared" si="41"/>
        <v>315.00097890000001</v>
      </c>
      <c r="V211">
        <f t="shared" si="42"/>
        <v>119.41764556666675</v>
      </c>
      <c r="W211">
        <f t="shared" si="43"/>
        <v>-119.41568776666674</v>
      </c>
    </row>
    <row r="212" spans="1:23" ht="15" customHeight="1" x14ac:dyDescent="0.35">
      <c r="A212" t="str">
        <f>'Raw Data'!B210</f>
        <v>Skyworks Solutions Inc</v>
      </c>
      <c r="B212" t="str">
        <f>'Raw Data'!A210</f>
        <v>swks</v>
      </c>
      <c r="C212" t="str">
        <f>IF('Raw Data'!E210="N/A","Unclassified",TRIM(SUBSTITUTE('Raw Data'!E210," and "," &amp; ")))</f>
        <v>Semiconductors</v>
      </c>
      <c r="D212" s="17">
        <f>'Raw Data'!N210</f>
        <v>515</v>
      </c>
      <c r="E212" s="17">
        <f>'Raw Data'!O210</f>
        <v>303</v>
      </c>
      <c r="F212" s="17">
        <f>'Raw Data'!P210</f>
        <v>270</v>
      </c>
      <c r="G212" s="17">
        <f>'Raw Data'!Q210</f>
        <v>1088</v>
      </c>
      <c r="H212" s="18">
        <f>INDEX('Industry Stats'!$F$2:$F$49,MATCH($C212,'Industry Stats'!$A$2:$A$49,0))</f>
        <v>1030.5833333333333</v>
      </c>
      <c r="I212" s="19">
        <f t="shared" si="33"/>
        <v>57.416666666666742</v>
      </c>
      <c r="J212" s="20">
        <f t="shared" si="34"/>
        <v>5.5712784021994095E-2</v>
      </c>
      <c r="K212" s="18">
        <f>INDEX('Industry Stats'!$C$2:$C$49,MATCH($C212,'Industry Stats'!$A$2:$A$49,0))</f>
        <v>448.45833333333331</v>
      </c>
      <c r="L212" s="19">
        <f t="shared" si="35"/>
        <v>66.541666666666686</v>
      </c>
      <c r="M212" s="18">
        <f>INDEX('Industry Stats'!$D$2:$D$49,MATCH($C212,'Industry Stats'!$A$2:$A$49,0))</f>
        <v>296.70833333333331</v>
      </c>
      <c r="N212" s="19">
        <f t="shared" si="36"/>
        <v>6.2916666666666856</v>
      </c>
      <c r="O212" s="18">
        <f>INDEX('Industry Stats'!$E$2:$E$49,MATCH($C212,'Industry Stats'!$A$2:$A$49,0))</f>
        <v>285.41666666666669</v>
      </c>
      <c r="P212" s="19">
        <f t="shared" si="37"/>
        <v>-15.416666666666686</v>
      </c>
      <c r="R212">
        <f t="shared" si="38"/>
        <v>1088.0009788</v>
      </c>
      <c r="S212">
        <f t="shared" si="39"/>
        <v>515.00097879999998</v>
      </c>
      <c r="T212">
        <f t="shared" si="40"/>
        <v>303.00097879999998</v>
      </c>
      <c r="U212">
        <f t="shared" si="41"/>
        <v>270.00097879999998</v>
      </c>
      <c r="V212">
        <f t="shared" si="42"/>
        <v>57.417645466666741</v>
      </c>
      <c r="W212">
        <f t="shared" si="43"/>
        <v>-57.415687866666744</v>
      </c>
    </row>
    <row r="213" spans="1:23" ht="15" customHeight="1" x14ac:dyDescent="0.35">
      <c r="A213" t="str">
        <f>'Raw Data'!B211</f>
        <v>Trimble Inc</v>
      </c>
      <c r="B213" t="str">
        <f>'Raw Data'!A211</f>
        <v>trmb</v>
      </c>
      <c r="C213" t="str">
        <f>IF('Raw Data'!E211="N/A","Unclassified",TRIM(SUBSTITUTE('Raw Data'!E211," and "," &amp; ")))</f>
        <v>Electrical Equipment</v>
      </c>
      <c r="D213" s="17">
        <f>'Raw Data'!N211</f>
        <v>550</v>
      </c>
      <c r="E213" s="17">
        <f>'Raw Data'!O211</f>
        <v>415</v>
      </c>
      <c r="F213" s="17">
        <f>'Raw Data'!P211</f>
        <v>315</v>
      </c>
      <c r="G213" s="17">
        <f>'Raw Data'!Q211</f>
        <v>1280</v>
      </c>
      <c r="H213" s="18">
        <f>INDEX('Industry Stats'!$F$2:$F$49,MATCH($C213,'Industry Stats'!$A$2:$A$49,0))</f>
        <v>933</v>
      </c>
      <c r="I213" s="19">
        <f t="shared" si="33"/>
        <v>347</v>
      </c>
      <c r="J213" s="20">
        <f t="shared" si="34"/>
        <v>0.37191854233654875</v>
      </c>
      <c r="K213" s="18">
        <f>INDEX('Industry Stats'!$C$2:$C$49,MATCH($C213,'Industry Stats'!$A$2:$A$49,0))</f>
        <v>381.7037037037037</v>
      </c>
      <c r="L213" s="19">
        <f t="shared" si="35"/>
        <v>168.2962962962963</v>
      </c>
      <c r="M213" s="18">
        <f>INDEX('Industry Stats'!$D$2:$D$49,MATCH($C213,'Industry Stats'!$A$2:$A$49,0))</f>
        <v>272.11111111111109</v>
      </c>
      <c r="N213" s="19">
        <f t="shared" si="36"/>
        <v>142.88888888888891</v>
      </c>
      <c r="O213" s="18">
        <f>INDEX('Industry Stats'!$E$2:$E$49,MATCH($C213,'Industry Stats'!$A$2:$A$49,0))</f>
        <v>279.18518518518516</v>
      </c>
      <c r="P213" s="19">
        <f t="shared" si="37"/>
        <v>35.814814814814838</v>
      </c>
      <c r="R213">
        <f t="shared" si="38"/>
        <v>1280.0009786999999</v>
      </c>
      <c r="S213">
        <f t="shared" si="39"/>
        <v>550.00097870000002</v>
      </c>
      <c r="T213">
        <f t="shared" si="40"/>
        <v>415.00097870000002</v>
      </c>
      <c r="U213">
        <f t="shared" si="41"/>
        <v>315.00097870000002</v>
      </c>
      <c r="V213">
        <f t="shared" si="42"/>
        <v>347.00097870000002</v>
      </c>
      <c r="W213">
        <f t="shared" si="43"/>
        <v>-346.99902129999998</v>
      </c>
    </row>
    <row r="214" spans="1:23" ht="15" customHeight="1" x14ac:dyDescent="0.35">
      <c r="A214" t="str">
        <f>'Raw Data'!B212</f>
        <v>T Rowe Price Group Inc</v>
      </c>
      <c r="B214" t="str">
        <f>'Raw Data'!A212</f>
        <v>trow</v>
      </c>
      <c r="C214" t="str">
        <f>IF('Raw Data'!E212="N/A","Unclassified",TRIM(SUBSTITUTE('Raw Data'!E212," and "," &amp; ")))</f>
        <v>Financial Services</v>
      </c>
      <c r="D214" s="17">
        <f>'Raw Data'!N212</f>
        <v>510</v>
      </c>
      <c r="E214" s="17">
        <f>'Raw Data'!O212</f>
        <v>325</v>
      </c>
      <c r="F214" s="17">
        <f>'Raw Data'!P212</f>
        <v>310</v>
      </c>
      <c r="G214" s="17">
        <f>'Raw Data'!Q212</f>
        <v>1145</v>
      </c>
      <c r="H214" s="18">
        <f>INDEX('Industry Stats'!$F$2:$F$49,MATCH($C214,'Industry Stats'!$A$2:$A$49,0))</f>
        <v>909.33333333333337</v>
      </c>
      <c r="I214" s="19">
        <f t="shared" si="33"/>
        <v>235.66666666666663</v>
      </c>
      <c r="J214" s="20">
        <f t="shared" si="34"/>
        <v>0.25916422287390023</v>
      </c>
      <c r="K214" s="18">
        <f>INDEX('Industry Stats'!$C$2:$C$49,MATCH($C214,'Industry Stats'!$A$2:$A$49,0))</f>
        <v>367.63636363636363</v>
      </c>
      <c r="L214" s="19">
        <f t="shared" si="35"/>
        <v>142.36363636363637</v>
      </c>
      <c r="M214" s="18">
        <f>INDEX('Industry Stats'!$D$2:$D$49,MATCH($C214,'Industry Stats'!$A$2:$A$49,0))</f>
        <v>276.45454545454544</v>
      </c>
      <c r="N214" s="19">
        <f t="shared" si="36"/>
        <v>48.545454545454561</v>
      </c>
      <c r="O214" s="18">
        <f>INDEX('Industry Stats'!$E$2:$E$49,MATCH($C214,'Industry Stats'!$A$2:$A$49,0))</f>
        <v>265.24242424242425</v>
      </c>
      <c r="P214" s="19">
        <f t="shared" si="37"/>
        <v>44.757575757575751</v>
      </c>
      <c r="R214">
        <f t="shared" si="38"/>
        <v>1145.0009786000001</v>
      </c>
      <c r="S214">
        <f t="shared" si="39"/>
        <v>510.0009786</v>
      </c>
      <c r="T214">
        <f t="shared" si="40"/>
        <v>325.0009786</v>
      </c>
      <c r="U214">
        <f t="shared" si="41"/>
        <v>310.0009786</v>
      </c>
      <c r="V214">
        <f t="shared" si="42"/>
        <v>235.66764526666663</v>
      </c>
      <c r="W214">
        <f t="shared" si="43"/>
        <v>-235.66568806666663</v>
      </c>
    </row>
    <row r="215" spans="1:23" ht="15" customHeight="1" x14ac:dyDescent="0.35">
      <c r="A215" t="str">
        <f>'Raw Data'!B213</f>
        <v>Take-Two Interactive Software Inc</v>
      </c>
      <c r="B215" t="str">
        <f>'Raw Data'!A213</f>
        <v>ttwo</v>
      </c>
      <c r="C215" t="str">
        <f>IF('Raw Data'!E213="N/A","Unclassified",TRIM(SUBSTITUTE('Raw Data'!E213," and "," &amp; ")))</f>
        <v>Media</v>
      </c>
      <c r="D215" s="17">
        <f>'Raw Data'!N213</f>
        <v>225</v>
      </c>
      <c r="E215" s="17">
        <f>'Raw Data'!O213</f>
        <v>307</v>
      </c>
      <c r="F215" s="17">
        <f>'Raw Data'!P213</f>
        <v>310</v>
      </c>
      <c r="G215" s="17">
        <f>'Raw Data'!Q213</f>
        <v>842</v>
      </c>
      <c r="H215" s="18">
        <f>INDEX('Industry Stats'!$F$2:$F$49,MATCH($C215,'Industry Stats'!$A$2:$A$49,0))</f>
        <v>935.26086956521738</v>
      </c>
      <c r="I215" s="19">
        <f t="shared" si="33"/>
        <v>-93.260869565217376</v>
      </c>
      <c r="J215" s="20">
        <f t="shared" si="34"/>
        <v>-9.971642415508343E-2</v>
      </c>
      <c r="K215" s="18">
        <f>INDEX('Industry Stats'!$C$2:$C$49,MATCH($C215,'Industry Stats'!$A$2:$A$49,0))</f>
        <v>346.91304347826087</v>
      </c>
      <c r="L215" s="19">
        <f t="shared" si="35"/>
        <v>-121.91304347826087</v>
      </c>
      <c r="M215" s="18">
        <f>INDEX('Industry Stats'!$D$2:$D$49,MATCH($C215,'Industry Stats'!$A$2:$A$49,0))</f>
        <v>313</v>
      </c>
      <c r="N215" s="19">
        <f t="shared" si="36"/>
        <v>-6</v>
      </c>
      <c r="O215" s="18">
        <f>INDEX('Industry Stats'!$E$2:$E$49,MATCH($C215,'Industry Stats'!$A$2:$A$49,0))</f>
        <v>275.3478260869565</v>
      </c>
      <c r="P215" s="19">
        <f t="shared" si="37"/>
        <v>34.652173913043498</v>
      </c>
      <c r="R215">
        <f t="shared" si="38"/>
        <v>842.00097849999997</v>
      </c>
      <c r="S215">
        <f t="shared" si="39"/>
        <v>225.0009785</v>
      </c>
      <c r="T215">
        <f t="shared" si="40"/>
        <v>307.00097849999997</v>
      </c>
      <c r="U215">
        <f t="shared" si="41"/>
        <v>310.00097849999997</v>
      </c>
      <c r="V215">
        <f t="shared" si="42"/>
        <v>-93.259891065217374</v>
      </c>
      <c r="W215">
        <f t="shared" si="43"/>
        <v>93.261848065217379</v>
      </c>
    </row>
    <row r="216" spans="1:23" ht="15" customHeight="1" x14ac:dyDescent="0.35">
      <c r="A216" t="str">
        <f>'Raw Data'!B214</f>
        <v>Tesla Inc</v>
      </c>
      <c r="B216" t="str">
        <f>'Raw Data'!A214</f>
        <v>tsla</v>
      </c>
      <c r="C216" t="str">
        <f>IF('Raw Data'!E214="N/A","Unclassified",TRIM(SUBSTITUTE('Raw Data'!E214," and "," &amp; ")))</f>
        <v>Automobiles</v>
      </c>
      <c r="D216" s="17">
        <f>'Raw Data'!N214</f>
        <v>555</v>
      </c>
      <c r="E216" s="17">
        <f>'Raw Data'!O214</f>
        <v>160</v>
      </c>
      <c r="F216" s="17">
        <f>'Raw Data'!P214</f>
        <v>278</v>
      </c>
      <c r="G216" s="17">
        <f>'Raw Data'!Q214</f>
        <v>993</v>
      </c>
      <c r="H216" s="18">
        <f>INDEX('Industry Stats'!$F$2:$F$49,MATCH($C216,'Industry Stats'!$A$2:$A$49,0))</f>
        <v>859.25</v>
      </c>
      <c r="I216" s="19">
        <f t="shared" si="33"/>
        <v>133.75</v>
      </c>
      <c r="J216" s="20">
        <f t="shared" si="34"/>
        <v>0.15565900494617399</v>
      </c>
      <c r="K216" s="18">
        <f>INDEX('Industry Stats'!$C$2:$C$49,MATCH($C216,'Industry Stats'!$A$2:$A$49,0))</f>
        <v>393</v>
      </c>
      <c r="L216" s="19">
        <f t="shared" si="35"/>
        <v>162</v>
      </c>
      <c r="M216" s="18">
        <f>INDEX('Industry Stats'!$D$2:$D$49,MATCH($C216,'Industry Stats'!$A$2:$A$49,0))</f>
        <v>229.25</v>
      </c>
      <c r="N216" s="19">
        <f t="shared" si="36"/>
        <v>-69.25</v>
      </c>
      <c r="O216" s="18">
        <f>INDEX('Industry Stats'!$E$2:$E$49,MATCH($C216,'Industry Stats'!$A$2:$A$49,0))</f>
        <v>237</v>
      </c>
      <c r="P216" s="19">
        <f t="shared" si="37"/>
        <v>41</v>
      </c>
      <c r="R216">
        <f t="shared" si="38"/>
        <v>993.00097840000001</v>
      </c>
      <c r="S216">
        <f t="shared" si="39"/>
        <v>555.00097840000001</v>
      </c>
      <c r="T216">
        <f t="shared" si="40"/>
        <v>160.00097840000001</v>
      </c>
      <c r="U216">
        <f t="shared" si="41"/>
        <v>278.00097840000001</v>
      </c>
      <c r="V216">
        <f t="shared" si="42"/>
        <v>133.75097840000001</v>
      </c>
      <c r="W216">
        <f t="shared" si="43"/>
        <v>-133.74902159999999</v>
      </c>
    </row>
    <row r="217" spans="1:23" ht="15" customHeight="1" x14ac:dyDescent="0.35">
      <c r="A217" t="str">
        <f>'Raw Data'!B215</f>
        <v>Tractor Supply Co</v>
      </c>
      <c r="B217" t="str">
        <f>'Raw Data'!A215</f>
        <v>tsco</v>
      </c>
      <c r="C217" t="str">
        <f>IF('Raw Data'!E215="N/A","Unclassified",TRIM(SUBSTITUTE('Raw Data'!E215," and "," &amp; ")))</f>
        <v>Retail</v>
      </c>
      <c r="D217" s="17">
        <f>'Raw Data'!N215</f>
        <v>500</v>
      </c>
      <c r="E217" s="17">
        <f>'Raw Data'!O215</f>
        <v>300</v>
      </c>
      <c r="F217" s="17">
        <f>'Raw Data'!P215</f>
        <v>200</v>
      </c>
      <c r="G217" s="17">
        <f>'Raw Data'!Q215</f>
        <v>1000</v>
      </c>
      <c r="H217" s="18">
        <f>INDEX('Industry Stats'!$F$2:$F$49,MATCH($C217,'Industry Stats'!$A$2:$A$49,0))</f>
        <v>918.57692307692309</v>
      </c>
      <c r="I217" s="19">
        <f t="shared" si="33"/>
        <v>81.423076923076906</v>
      </c>
      <c r="J217" s="20">
        <f t="shared" si="34"/>
        <v>8.8640455554159836E-2</v>
      </c>
      <c r="K217" s="18">
        <f>INDEX('Industry Stats'!$C$2:$C$49,MATCH($C217,'Industry Stats'!$A$2:$A$49,0))</f>
        <v>380.30769230769232</v>
      </c>
      <c r="L217" s="19">
        <f t="shared" si="35"/>
        <v>119.69230769230768</v>
      </c>
      <c r="M217" s="18">
        <f>INDEX('Industry Stats'!$D$2:$D$49,MATCH($C217,'Industry Stats'!$A$2:$A$49,0))</f>
        <v>274.96153846153845</v>
      </c>
      <c r="N217" s="19">
        <f t="shared" si="36"/>
        <v>25.038461538461547</v>
      </c>
      <c r="O217" s="18">
        <f>INDEX('Industry Stats'!$E$2:$E$49,MATCH($C217,'Industry Stats'!$A$2:$A$49,0))</f>
        <v>263.30769230769232</v>
      </c>
      <c r="P217" s="19">
        <f t="shared" si="37"/>
        <v>-63.307692307692321</v>
      </c>
      <c r="R217">
        <f t="shared" si="38"/>
        <v>1000.0009783</v>
      </c>
      <c r="S217">
        <f t="shared" si="39"/>
        <v>500.00097829999999</v>
      </c>
      <c r="T217">
        <f t="shared" si="40"/>
        <v>300.00097829999999</v>
      </c>
      <c r="U217">
        <f t="shared" si="41"/>
        <v>200.00097830000001</v>
      </c>
      <c r="V217">
        <f t="shared" si="42"/>
        <v>81.424055223076905</v>
      </c>
      <c r="W217">
        <f t="shared" si="43"/>
        <v>-81.422098623076906</v>
      </c>
    </row>
    <row r="218" spans="1:23" ht="15" customHeight="1" x14ac:dyDescent="0.35">
      <c r="A218" t="str">
        <f>'Raw Data'!B216</f>
        <v>Texas Instruments Inc</v>
      </c>
      <c r="B218" t="str">
        <f>'Raw Data'!A216</f>
        <v>txn</v>
      </c>
      <c r="C218" t="str">
        <f>IF('Raw Data'!E216="N/A","Unclassified",TRIM(SUBSTITUTE('Raw Data'!E216," and "," &amp; ")))</f>
        <v>Semiconductors</v>
      </c>
      <c r="D218" s="17">
        <f>'Raw Data'!N216</f>
        <v>500</v>
      </c>
      <c r="E218" s="17">
        <f>'Raw Data'!O216</f>
        <v>300</v>
      </c>
      <c r="F218" s="17">
        <f>'Raw Data'!P216</f>
        <v>300</v>
      </c>
      <c r="G218" s="17">
        <f>'Raw Data'!Q216</f>
        <v>1100</v>
      </c>
      <c r="H218" s="18">
        <f>INDEX('Industry Stats'!$F$2:$F$49,MATCH($C218,'Industry Stats'!$A$2:$A$49,0))</f>
        <v>1030.5833333333333</v>
      </c>
      <c r="I218" s="19">
        <f t="shared" si="33"/>
        <v>69.416666666666742</v>
      </c>
      <c r="J218" s="20">
        <f t="shared" si="34"/>
        <v>6.7356675022236676E-2</v>
      </c>
      <c r="K218" s="18">
        <f>INDEX('Industry Stats'!$C$2:$C$49,MATCH($C218,'Industry Stats'!$A$2:$A$49,0))</f>
        <v>448.45833333333331</v>
      </c>
      <c r="L218" s="19">
        <f t="shared" si="35"/>
        <v>51.541666666666686</v>
      </c>
      <c r="M218" s="18">
        <f>INDEX('Industry Stats'!$D$2:$D$49,MATCH($C218,'Industry Stats'!$A$2:$A$49,0))</f>
        <v>296.70833333333331</v>
      </c>
      <c r="N218" s="19">
        <f t="shared" si="36"/>
        <v>3.2916666666666856</v>
      </c>
      <c r="O218" s="18">
        <f>INDEX('Industry Stats'!$E$2:$E$49,MATCH($C218,'Industry Stats'!$A$2:$A$49,0))</f>
        <v>285.41666666666669</v>
      </c>
      <c r="P218" s="19">
        <f t="shared" si="37"/>
        <v>14.583333333333314</v>
      </c>
      <c r="R218">
        <f t="shared" si="38"/>
        <v>1100.0009782</v>
      </c>
      <c r="S218">
        <f t="shared" si="39"/>
        <v>500.00097820000002</v>
      </c>
      <c r="T218">
        <f t="shared" si="40"/>
        <v>300.00097820000002</v>
      </c>
      <c r="U218">
        <f t="shared" si="41"/>
        <v>300.00097820000002</v>
      </c>
      <c r="V218">
        <f t="shared" si="42"/>
        <v>69.417644866666748</v>
      </c>
      <c r="W218">
        <f t="shared" si="43"/>
        <v>-69.415688466666737</v>
      </c>
    </row>
    <row r="219" spans="1:23" ht="15" customHeight="1" x14ac:dyDescent="0.35">
      <c r="A219" t="str">
        <f>'Raw Data'!B217</f>
        <v>T-Mobile US Inc</v>
      </c>
      <c r="B219" t="str">
        <f>'Raw Data'!A217</f>
        <v>tmus</v>
      </c>
      <c r="C219" t="str">
        <f>IF('Raw Data'!E217="N/A","Unclassified",TRIM(SUBSTITUTE('Raw Data'!E217," and "," &amp; ")))</f>
        <v>Telecommunication</v>
      </c>
      <c r="D219" s="17">
        <f>'Raw Data'!N217</f>
        <v>342</v>
      </c>
      <c r="E219" s="17">
        <f>'Raw Data'!O217</f>
        <v>331</v>
      </c>
      <c r="F219" s="17">
        <f>'Raw Data'!P217</f>
        <v>230</v>
      </c>
      <c r="G219" s="17">
        <f>'Raw Data'!Q217</f>
        <v>903</v>
      </c>
      <c r="H219" s="18">
        <f>INDEX('Industry Stats'!$F$2:$F$49,MATCH($C219,'Industry Stats'!$A$2:$A$49,0))</f>
        <v>928.33333333333337</v>
      </c>
      <c r="I219" s="19">
        <f t="shared" si="33"/>
        <v>-25.333333333333371</v>
      </c>
      <c r="J219" s="20">
        <f t="shared" si="34"/>
        <v>-2.7289048473967722E-2</v>
      </c>
      <c r="K219" s="18">
        <f>INDEX('Industry Stats'!$C$2:$C$49,MATCH($C219,'Industry Stats'!$A$2:$A$49,0))</f>
        <v>362.33333333333331</v>
      </c>
      <c r="L219" s="19">
        <f t="shared" si="35"/>
        <v>-20.333333333333314</v>
      </c>
      <c r="M219" s="18">
        <f>INDEX('Industry Stats'!$D$2:$D$49,MATCH($C219,'Industry Stats'!$A$2:$A$49,0))</f>
        <v>286</v>
      </c>
      <c r="N219" s="19">
        <f t="shared" si="36"/>
        <v>45</v>
      </c>
      <c r="O219" s="18">
        <f>INDEX('Industry Stats'!$E$2:$E$49,MATCH($C219,'Industry Stats'!$A$2:$A$49,0))</f>
        <v>280</v>
      </c>
      <c r="P219" s="19">
        <f t="shared" si="37"/>
        <v>-50</v>
      </c>
      <c r="R219">
        <f t="shared" si="38"/>
        <v>903.0009781</v>
      </c>
      <c r="S219">
        <f t="shared" si="39"/>
        <v>342.0009781</v>
      </c>
      <c r="T219">
        <f t="shared" si="40"/>
        <v>331.0009781</v>
      </c>
      <c r="U219">
        <f t="shared" si="41"/>
        <v>230.0009781</v>
      </c>
      <c r="V219">
        <f t="shared" si="42"/>
        <v>-25.33235523333337</v>
      </c>
      <c r="W219">
        <f t="shared" si="43"/>
        <v>25.334311433333372</v>
      </c>
    </row>
    <row r="220" spans="1:23" ht="15" customHeight="1" x14ac:dyDescent="0.35">
      <c r="A220" t="str">
        <f>'Raw Data'!B218</f>
        <v>United Airlines Holdings Inc</v>
      </c>
      <c r="B220" t="str">
        <f>'Raw Data'!A218</f>
        <v>ual</v>
      </c>
      <c r="C220" t="str">
        <f>IF('Raw Data'!E218="N/A","Unclassified",TRIM(SUBSTITUTE('Raw Data'!E218," and "," &amp; ")))</f>
        <v>Airlines</v>
      </c>
      <c r="D220" s="17">
        <f>'Raw Data'!N218</f>
        <v>205</v>
      </c>
      <c r="E220" s="17">
        <f>'Raw Data'!O218</f>
        <v>203</v>
      </c>
      <c r="F220" s="17">
        <f>'Raw Data'!P218</f>
        <v>221</v>
      </c>
      <c r="G220" s="17">
        <f>'Raw Data'!Q218</f>
        <v>629</v>
      </c>
      <c r="H220" s="18">
        <f>INDEX('Industry Stats'!$F$2:$F$49,MATCH($C220,'Industry Stats'!$A$2:$A$49,0))</f>
        <v>838.71428571428567</v>
      </c>
      <c r="I220" s="19">
        <f t="shared" si="33"/>
        <v>-209.71428571428567</v>
      </c>
      <c r="J220" s="20">
        <f t="shared" si="34"/>
        <v>-0.25004258218361436</v>
      </c>
      <c r="K220" s="18">
        <f>INDEX('Industry Stats'!$C$2:$C$49,MATCH($C220,'Industry Stats'!$A$2:$A$49,0))</f>
        <v>326.71428571428572</v>
      </c>
      <c r="L220" s="19">
        <f t="shared" si="35"/>
        <v>-121.71428571428572</v>
      </c>
      <c r="M220" s="18">
        <f>INDEX('Industry Stats'!$D$2:$D$49,MATCH($C220,'Industry Stats'!$A$2:$A$49,0))</f>
        <v>265.71428571428572</v>
      </c>
      <c r="N220" s="19">
        <f t="shared" si="36"/>
        <v>-62.714285714285722</v>
      </c>
      <c r="O220" s="18">
        <f>INDEX('Industry Stats'!$E$2:$E$49,MATCH($C220,'Industry Stats'!$A$2:$A$49,0))</f>
        <v>246.28571428571428</v>
      </c>
      <c r="P220" s="19">
        <f t="shared" si="37"/>
        <v>-25.285714285714278</v>
      </c>
      <c r="R220">
        <f t="shared" si="38"/>
        <v>629.00097800000003</v>
      </c>
      <c r="S220">
        <f t="shared" si="39"/>
        <v>205.000978</v>
      </c>
      <c r="T220">
        <f t="shared" si="40"/>
        <v>203.000978</v>
      </c>
      <c r="U220">
        <f t="shared" si="41"/>
        <v>221.000978</v>
      </c>
      <c r="V220">
        <f t="shared" si="42"/>
        <v>-209.71330771428566</v>
      </c>
      <c r="W220">
        <f t="shared" si="43"/>
        <v>209.71526371428567</v>
      </c>
    </row>
    <row r="221" spans="1:23" ht="15" customHeight="1" x14ac:dyDescent="0.35">
      <c r="A221" t="str">
        <f>'Raw Data'!B219</f>
        <v>Verisk Analytics Inc</v>
      </c>
      <c r="B221" t="str">
        <f>'Raw Data'!A219</f>
        <v>vrsk</v>
      </c>
      <c r="C221" t="str">
        <f>IF('Raw Data'!E219="N/A","Unclassified",TRIM(SUBSTITUTE('Raw Data'!E219," and "," &amp; ")))</f>
        <v>Professional Services</v>
      </c>
      <c r="D221" s="17">
        <f>'Raw Data'!N219</f>
        <v>615</v>
      </c>
      <c r="E221" s="17">
        <f>'Raw Data'!O219</f>
        <v>366</v>
      </c>
      <c r="F221" s="17">
        <f>'Raw Data'!P219</f>
        <v>300</v>
      </c>
      <c r="G221" s="17">
        <f>'Raw Data'!Q219</f>
        <v>1281</v>
      </c>
      <c r="H221" s="18">
        <f>INDEX('Industry Stats'!$F$2:$F$49,MATCH($C221,'Industry Stats'!$A$2:$A$49,0))</f>
        <v>1047.8571428571429</v>
      </c>
      <c r="I221" s="19">
        <f t="shared" si="33"/>
        <v>233.14285714285711</v>
      </c>
      <c r="J221" s="20">
        <f t="shared" si="34"/>
        <v>0.22249488752556235</v>
      </c>
      <c r="K221" s="18">
        <f>INDEX('Industry Stats'!$C$2:$C$49,MATCH($C221,'Industry Stats'!$A$2:$A$49,0))</f>
        <v>435</v>
      </c>
      <c r="L221" s="19">
        <f t="shared" si="35"/>
        <v>180</v>
      </c>
      <c r="M221" s="18">
        <f>INDEX('Industry Stats'!$D$2:$D$49,MATCH($C221,'Industry Stats'!$A$2:$A$49,0))</f>
        <v>312.42857142857144</v>
      </c>
      <c r="N221" s="19">
        <f t="shared" si="36"/>
        <v>53.571428571428555</v>
      </c>
      <c r="O221" s="18">
        <f>INDEX('Industry Stats'!$E$2:$E$49,MATCH($C221,'Industry Stats'!$A$2:$A$49,0))</f>
        <v>300.42857142857144</v>
      </c>
      <c r="P221" s="19">
        <f t="shared" si="37"/>
        <v>-0.42857142857144481</v>
      </c>
      <c r="R221">
        <f t="shared" si="38"/>
        <v>1281.0009779</v>
      </c>
      <c r="S221">
        <f t="shared" si="39"/>
        <v>615.00097789999995</v>
      </c>
      <c r="T221">
        <f t="shared" si="40"/>
        <v>366.00097790000001</v>
      </c>
      <c r="U221">
        <f t="shared" si="41"/>
        <v>300.00097790000001</v>
      </c>
      <c r="V221">
        <f t="shared" si="42"/>
        <v>233.14383504285712</v>
      </c>
      <c r="W221">
        <f t="shared" si="43"/>
        <v>-233.1418792428571</v>
      </c>
    </row>
    <row r="222" spans="1:23" ht="15" customHeight="1" x14ac:dyDescent="0.35">
      <c r="A222" t="str">
        <f>'Raw Data'!B220</f>
        <v>Ulta Beauty Inc</v>
      </c>
      <c r="B222" t="str">
        <f>'Raw Data'!A220</f>
        <v>ulta</v>
      </c>
      <c r="C222" t="str">
        <f>IF('Raw Data'!E220="N/A","Unclassified",TRIM(SUBSTITUTE('Raw Data'!E220," and "," &amp; ")))</f>
        <v>Retail</v>
      </c>
      <c r="D222" s="17">
        <f>'Raw Data'!N220</f>
        <v>205</v>
      </c>
      <c r="E222" s="17">
        <f>'Raw Data'!O220</f>
        <v>242</v>
      </c>
      <c r="F222" s="17">
        <f>'Raw Data'!P220</f>
        <v>200</v>
      </c>
      <c r="G222" s="17">
        <f>'Raw Data'!Q220</f>
        <v>647</v>
      </c>
      <c r="H222" s="18">
        <f>INDEX('Industry Stats'!$F$2:$F$49,MATCH($C222,'Industry Stats'!$A$2:$A$49,0))</f>
        <v>918.57692307692309</v>
      </c>
      <c r="I222" s="19">
        <f t="shared" si="33"/>
        <v>-271.57692307692309</v>
      </c>
      <c r="J222" s="20">
        <f t="shared" si="34"/>
        <v>-0.2956496252564586</v>
      </c>
      <c r="K222" s="18">
        <f>INDEX('Industry Stats'!$C$2:$C$49,MATCH($C222,'Industry Stats'!$A$2:$A$49,0))</f>
        <v>380.30769230769232</v>
      </c>
      <c r="L222" s="19">
        <f t="shared" si="35"/>
        <v>-175.30769230769232</v>
      </c>
      <c r="M222" s="18">
        <f>INDEX('Industry Stats'!$D$2:$D$49,MATCH($C222,'Industry Stats'!$A$2:$A$49,0))</f>
        <v>274.96153846153845</v>
      </c>
      <c r="N222" s="19">
        <f t="shared" si="36"/>
        <v>-32.961538461538453</v>
      </c>
      <c r="O222" s="18">
        <f>INDEX('Industry Stats'!$E$2:$E$49,MATCH($C222,'Industry Stats'!$A$2:$A$49,0))</f>
        <v>263.30769230769232</v>
      </c>
      <c r="P222" s="19">
        <f t="shared" si="37"/>
        <v>-63.307692307692321</v>
      </c>
      <c r="R222">
        <f t="shared" si="38"/>
        <v>647.00097779999999</v>
      </c>
      <c r="S222">
        <f t="shared" si="39"/>
        <v>205.00097779999999</v>
      </c>
      <c r="T222">
        <f t="shared" si="40"/>
        <v>242.00097779999999</v>
      </c>
      <c r="U222">
        <f t="shared" si="41"/>
        <v>200.00097779999999</v>
      </c>
      <c r="V222">
        <f t="shared" si="42"/>
        <v>-271.57594527692311</v>
      </c>
      <c r="W222">
        <f t="shared" si="43"/>
        <v>271.57790087692308</v>
      </c>
    </row>
    <row r="223" spans="1:23" ht="15" customHeight="1" x14ac:dyDescent="0.35">
      <c r="A223" t="str">
        <f>'Raw Data'!B221</f>
        <v>Vertex Pharmaceuticals Inc</v>
      </c>
      <c r="B223" t="str">
        <f>'Raw Data'!A221</f>
        <v>vrtx</v>
      </c>
      <c r="C223" t="str">
        <f>IF('Raw Data'!E221="N/A","Unclassified",TRIM(SUBSTITUTE('Raw Data'!E221," and "," &amp; ")))</f>
        <v>Biotechnology</v>
      </c>
      <c r="D223" s="17">
        <f>'Raw Data'!N221</f>
        <v>500</v>
      </c>
      <c r="E223" s="17">
        <f>'Raw Data'!O221</f>
        <v>300</v>
      </c>
      <c r="F223" s="17">
        <f>'Raw Data'!P221</f>
        <v>300</v>
      </c>
      <c r="G223" s="17">
        <f>'Raw Data'!Q221</f>
        <v>1100</v>
      </c>
      <c r="H223" s="18">
        <f>INDEX('Industry Stats'!$F$2:$F$49,MATCH($C223,'Industry Stats'!$A$2:$A$49,0))</f>
        <v>866.91071428571433</v>
      </c>
      <c r="I223" s="19">
        <f t="shared" si="33"/>
        <v>233.08928571428567</v>
      </c>
      <c r="J223" s="20">
        <f t="shared" si="34"/>
        <v>0.26887346282983493</v>
      </c>
      <c r="K223" s="18">
        <f>INDEX('Industry Stats'!$C$2:$C$49,MATCH($C223,'Industry Stats'!$A$2:$A$49,0))</f>
        <v>306.53571428571428</v>
      </c>
      <c r="L223" s="19">
        <f t="shared" si="35"/>
        <v>193.46428571428572</v>
      </c>
      <c r="M223" s="18">
        <f>INDEX('Industry Stats'!$D$2:$D$49,MATCH($C223,'Industry Stats'!$A$2:$A$49,0))</f>
        <v>268.85714285714283</v>
      </c>
      <c r="N223" s="19">
        <f t="shared" si="36"/>
        <v>31.142857142857167</v>
      </c>
      <c r="O223" s="18">
        <f>INDEX('Industry Stats'!$E$2:$E$49,MATCH($C223,'Industry Stats'!$A$2:$A$49,0))</f>
        <v>291.51785714285717</v>
      </c>
      <c r="P223" s="19">
        <f t="shared" si="37"/>
        <v>8.4821428571428328</v>
      </c>
      <c r="R223">
        <f t="shared" si="38"/>
        <v>1100.0009777</v>
      </c>
      <c r="S223">
        <f t="shared" si="39"/>
        <v>500.00097770000002</v>
      </c>
      <c r="T223">
        <f t="shared" si="40"/>
        <v>300.00097770000002</v>
      </c>
      <c r="U223">
        <f t="shared" si="41"/>
        <v>300.00097770000002</v>
      </c>
      <c r="V223">
        <f t="shared" si="42"/>
        <v>233.09026341428566</v>
      </c>
      <c r="W223">
        <f t="shared" si="43"/>
        <v>-233.08830801428567</v>
      </c>
    </row>
    <row r="224" spans="1:23" ht="15" customHeight="1" x14ac:dyDescent="0.35">
      <c r="A224" t="str">
        <f>'Raw Data'!B222</f>
        <v>Viatris Inc</v>
      </c>
      <c r="B224" t="str">
        <f>'Raw Data'!A222</f>
        <v>vtrs</v>
      </c>
      <c r="C224" t="str">
        <f>IF('Raw Data'!E222="N/A","Unclassified",TRIM(SUBSTITUTE('Raw Data'!E222," and "," &amp; ")))</f>
        <v>Pharmaceuticals</v>
      </c>
      <c r="D224" s="17">
        <f>'Raw Data'!N222</f>
        <v>500</v>
      </c>
      <c r="E224" s="17">
        <f>'Raw Data'!O222</f>
        <v>300</v>
      </c>
      <c r="F224" s="17">
        <f>'Raw Data'!P222</f>
        <v>200</v>
      </c>
      <c r="G224" s="17">
        <f>'Raw Data'!Q222</f>
        <v>1000</v>
      </c>
      <c r="H224" s="18">
        <f>INDEX('Industry Stats'!$F$2:$F$49,MATCH($C224,'Industry Stats'!$A$2:$A$49,0))</f>
        <v>903.66666666666663</v>
      </c>
      <c r="I224" s="19">
        <f t="shared" si="33"/>
        <v>96.333333333333371</v>
      </c>
      <c r="J224" s="20">
        <f t="shared" si="34"/>
        <v>0.10660272962006644</v>
      </c>
      <c r="K224" s="18">
        <f>INDEX('Industry Stats'!$C$2:$C$49,MATCH($C224,'Industry Stats'!$A$2:$A$49,0))</f>
        <v>360.04761904761904</v>
      </c>
      <c r="L224" s="19">
        <f t="shared" si="35"/>
        <v>139.95238095238096</v>
      </c>
      <c r="M224" s="18">
        <f>INDEX('Industry Stats'!$D$2:$D$49,MATCH($C224,'Industry Stats'!$A$2:$A$49,0))</f>
        <v>269.66666666666669</v>
      </c>
      <c r="N224" s="19">
        <f t="shared" si="36"/>
        <v>30.333333333333314</v>
      </c>
      <c r="O224" s="18">
        <f>INDEX('Industry Stats'!$E$2:$E$49,MATCH($C224,'Industry Stats'!$A$2:$A$49,0))</f>
        <v>273.95238095238096</v>
      </c>
      <c r="P224" s="19">
        <f t="shared" si="37"/>
        <v>-73.952380952380963</v>
      </c>
      <c r="R224">
        <f t="shared" si="38"/>
        <v>1000.0009776000001</v>
      </c>
      <c r="S224">
        <f t="shared" si="39"/>
        <v>500.0009776</v>
      </c>
      <c r="T224">
        <f t="shared" si="40"/>
        <v>300.0009776</v>
      </c>
      <c r="U224">
        <f t="shared" si="41"/>
        <v>200.0009776</v>
      </c>
      <c r="V224">
        <f t="shared" si="42"/>
        <v>96.33431093333337</v>
      </c>
      <c r="W224">
        <f t="shared" si="43"/>
        <v>-96.332355733333372</v>
      </c>
    </row>
    <row r="225" spans="1:23" ht="15" customHeight="1" x14ac:dyDescent="0.35">
      <c r="A225" t="str">
        <f>'Raw Data'!B223</f>
        <v>Verisign Inc</v>
      </c>
      <c r="B225" t="str">
        <f>'Raw Data'!A223</f>
        <v>vrsn</v>
      </c>
      <c r="C225" t="str">
        <f>IF('Raw Data'!E223="N/A","Unclassified",TRIM(SUBSTITUTE('Raw Data'!E223," and "," &amp; ")))</f>
        <v>Technology</v>
      </c>
      <c r="D225" s="17">
        <f>'Raw Data'!N223</f>
        <v>548</v>
      </c>
      <c r="E225" s="17">
        <f>'Raw Data'!O223</f>
        <v>354</v>
      </c>
      <c r="F225" s="17">
        <f>'Raw Data'!P223</f>
        <v>325</v>
      </c>
      <c r="G225" s="17">
        <f>'Raw Data'!Q223</f>
        <v>1227</v>
      </c>
      <c r="H225" s="18">
        <f>INDEX('Industry Stats'!$F$2:$F$49,MATCH($C225,'Industry Stats'!$A$2:$A$49,0))</f>
        <v>1031.3174603174602</v>
      </c>
      <c r="I225" s="19">
        <f t="shared" si="33"/>
        <v>195.68253968253975</v>
      </c>
      <c r="J225" s="20">
        <f t="shared" si="34"/>
        <v>0.18974035368537709</v>
      </c>
      <c r="K225" s="18">
        <f>INDEX('Industry Stats'!$C$2:$C$49,MATCH($C225,'Industry Stats'!$A$2:$A$49,0))</f>
        <v>438.11111111111109</v>
      </c>
      <c r="L225" s="19">
        <f t="shared" si="35"/>
        <v>109.88888888888891</v>
      </c>
      <c r="M225" s="18">
        <f>INDEX('Industry Stats'!$D$2:$D$49,MATCH($C225,'Industry Stats'!$A$2:$A$49,0))</f>
        <v>307.90476190476193</v>
      </c>
      <c r="N225" s="19">
        <f t="shared" si="36"/>
        <v>46.095238095238074</v>
      </c>
      <c r="O225" s="18">
        <f>INDEX('Industry Stats'!$E$2:$E$49,MATCH($C225,'Industry Stats'!$A$2:$A$49,0))</f>
        <v>285.30158730158729</v>
      </c>
      <c r="P225" s="19">
        <f t="shared" si="37"/>
        <v>39.69841269841271</v>
      </c>
      <c r="R225">
        <f t="shared" si="38"/>
        <v>1227.0009775000001</v>
      </c>
      <c r="S225">
        <f t="shared" si="39"/>
        <v>548.00097749999998</v>
      </c>
      <c r="T225">
        <f t="shared" si="40"/>
        <v>354.00097749999998</v>
      </c>
      <c r="U225">
        <f t="shared" si="41"/>
        <v>325.00097749999998</v>
      </c>
      <c r="V225">
        <f t="shared" si="42"/>
        <v>195.68351718253976</v>
      </c>
      <c r="W225">
        <f t="shared" si="43"/>
        <v>-195.68156218253975</v>
      </c>
    </row>
    <row r="226" spans="1:23" ht="15" customHeight="1" x14ac:dyDescent="0.35">
      <c r="A226" t="str">
        <f>'Raw Data'!B224</f>
        <v>Walgreens Boots Alliance Inc</v>
      </c>
      <c r="B226" t="str">
        <f>'Raw Data'!A224</f>
        <v>wba</v>
      </c>
      <c r="C226" t="str">
        <f>IF('Raw Data'!E224="N/A","Unclassified",TRIM(SUBSTITUTE('Raw Data'!E224," and "," &amp; ")))</f>
        <v>Retail</v>
      </c>
      <c r="D226" s="17">
        <f>'Raw Data'!N224</f>
        <v>515</v>
      </c>
      <c r="E226" s="17">
        <f>'Raw Data'!O224</f>
        <v>325</v>
      </c>
      <c r="F226" s="17">
        <f>'Raw Data'!P224</f>
        <v>300</v>
      </c>
      <c r="G226" s="17">
        <f>'Raw Data'!Q224</f>
        <v>1140</v>
      </c>
      <c r="H226" s="18">
        <f>INDEX('Industry Stats'!$F$2:$F$49,MATCH($C226,'Industry Stats'!$A$2:$A$49,0))</f>
        <v>918.57692307692309</v>
      </c>
      <c r="I226" s="19">
        <f t="shared" si="33"/>
        <v>221.42307692307691</v>
      </c>
      <c r="J226" s="20">
        <f t="shared" si="34"/>
        <v>0.24105011933174222</v>
      </c>
      <c r="K226" s="18">
        <f>INDEX('Industry Stats'!$C$2:$C$49,MATCH($C226,'Industry Stats'!$A$2:$A$49,0))</f>
        <v>380.30769230769232</v>
      </c>
      <c r="L226" s="19">
        <f t="shared" si="35"/>
        <v>134.69230769230768</v>
      </c>
      <c r="M226" s="18">
        <f>INDEX('Industry Stats'!$D$2:$D$49,MATCH($C226,'Industry Stats'!$A$2:$A$49,0))</f>
        <v>274.96153846153845</v>
      </c>
      <c r="N226" s="19">
        <f t="shared" si="36"/>
        <v>50.038461538461547</v>
      </c>
      <c r="O226" s="18">
        <f>INDEX('Industry Stats'!$E$2:$E$49,MATCH($C226,'Industry Stats'!$A$2:$A$49,0))</f>
        <v>263.30769230769232</v>
      </c>
      <c r="P226" s="19">
        <f t="shared" si="37"/>
        <v>36.692307692307679</v>
      </c>
      <c r="R226">
        <f t="shared" si="38"/>
        <v>1140.0009774</v>
      </c>
      <c r="S226">
        <f t="shared" si="39"/>
        <v>515.00097740000001</v>
      </c>
      <c r="T226">
        <f t="shared" si="40"/>
        <v>325.00097740000001</v>
      </c>
      <c r="U226">
        <f t="shared" si="41"/>
        <v>300.00097740000001</v>
      </c>
      <c r="V226">
        <f t="shared" si="42"/>
        <v>221.42405432307692</v>
      </c>
      <c r="W226">
        <f t="shared" si="43"/>
        <v>-221.42209952307689</v>
      </c>
    </row>
    <row r="227" spans="1:23" ht="15" customHeight="1" x14ac:dyDescent="0.35">
      <c r="A227" t="str">
        <f>'Raw Data'!B225</f>
        <v>NetApp Inc</v>
      </c>
      <c r="B227" t="str">
        <f>'Raw Data'!A225</f>
        <v>ntap</v>
      </c>
      <c r="C227" t="str">
        <f>IF('Raw Data'!E225="N/A","Unclassified",TRIM(SUBSTITUTE('Raw Data'!E225," and "," &amp; ")))</f>
        <v>Technology</v>
      </c>
      <c r="D227" s="17">
        <f>'Raw Data'!N225</f>
        <v>545</v>
      </c>
      <c r="E227" s="17">
        <f>'Raw Data'!O225</f>
        <v>359</v>
      </c>
      <c r="F227" s="17">
        <f>'Raw Data'!P225</f>
        <v>325</v>
      </c>
      <c r="G227" s="17">
        <f>'Raw Data'!Q225</f>
        <v>1229</v>
      </c>
      <c r="H227" s="18">
        <f>INDEX('Industry Stats'!$F$2:$F$49,MATCH($C227,'Industry Stats'!$A$2:$A$49,0))</f>
        <v>1031.3174603174602</v>
      </c>
      <c r="I227" s="19">
        <f t="shared" si="33"/>
        <v>197.68253968253975</v>
      </c>
      <c r="J227" s="20">
        <f t="shared" si="34"/>
        <v>0.19167962076554884</v>
      </c>
      <c r="K227" s="18">
        <f>INDEX('Industry Stats'!$C$2:$C$49,MATCH($C227,'Industry Stats'!$A$2:$A$49,0))</f>
        <v>438.11111111111109</v>
      </c>
      <c r="L227" s="19">
        <f t="shared" si="35"/>
        <v>106.88888888888891</v>
      </c>
      <c r="M227" s="18">
        <f>INDEX('Industry Stats'!$D$2:$D$49,MATCH($C227,'Industry Stats'!$A$2:$A$49,0))</f>
        <v>307.90476190476193</v>
      </c>
      <c r="N227" s="19">
        <f t="shared" si="36"/>
        <v>51.095238095238074</v>
      </c>
      <c r="O227" s="18">
        <f>INDEX('Industry Stats'!$E$2:$E$49,MATCH($C227,'Industry Stats'!$A$2:$A$49,0))</f>
        <v>285.30158730158729</v>
      </c>
      <c r="P227" s="19">
        <f t="shared" si="37"/>
        <v>39.69841269841271</v>
      </c>
      <c r="R227">
        <f t="shared" si="38"/>
        <v>1229.0009772999999</v>
      </c>
      <c r="S227">
        <f t="shared" si="39"/>
        <v>545.00097730000005</v>
      </c>
      <c r="T227">
        <f t="shared" si="40"/>
        <v>359.00097729999999</v>
      </c>
      <c r="U227">
        <f t="shared" si="41"/>
        <v>325.00097729999999</v>
      </c>
      <c r="V227">
        <f t="shared" si="42"/>
        <v>197.68351698253974</v>
      </c>
      <c r="W227">
        <f t="shared" si="43"/>
        <v>-197.68156238253977</v>
      </c>
    </row>
    <row r="228" spans="1:23" ht="15" customHeight="1" x14ac:dyDescent="0.35">
      <c r="A228" t="str">
        <f>'Raw Data'!B226</f>
        <v>Xcel Energy Inc</v>
      </c>
      <c r="B228" t="str">
        <f>'Raw Data'!A226</f>
        <v>xel</v>
      </c>
      <c r="C228" t="str">
        <f>IF('Raw Data'!E226="N/A","Unclassified",TRIM(SUBSTITUTE('Raw Data'!E226," and "," &amp; ")))</f>
        <v>Utilities</v>
      </c>
      <c r="D228" s="17">
        <f>'Raw Data'!N226</f>
        <v>223</v>
      </c>
      <c r="E228" s="17">
        <f>'Raw Data'!O226</f>
        <v>201</v>
      </c>
      <c r="F228" s="17">
        <f>'Raw Data'!P226</f>
        <v>205</v>
      </c>
      <c r="G228" s="17">
        <f>'Raw Data'!Q226</f>
        <v>629</v>
      </c>
      <c r="H228" s="18">
        <f>INDEX('Industry Stats'!$F$2:$F$49,MATCH($C228,'Industry Stats'!$A$2:$A$49,0))</f>
        <v>1190.6333333333334</v>
      </c>
      <c r="I228" s="19">
        <f t="shared" si="33"/>
        <v>-561.63333333333344</v>
      </c>
      <c r="J228" s="20">
        <f t="shared" si="34"/>
        <v>-0.47170973431507046</v>
      </c>
      <c r="K228" s="18">
        <f>INDEX('Industry Stats'!$C$2:$C$49,MATCH($C228,'Industry Stats'!$A$2:$A$49,0))</f>
        <v>550.9666666666667</v>
      </c>
      <c r="L228" s="19">
        <f t="shared" si="35"/>
        <v>-327.9666666666667</v>
      </c>
      <c r="M228" s="18">
        <f>INDEX('Industry Stats'!$D$2:$D$49,MATCH($C228,'Industry Stats'!$A$2:$A$49,0))</f>
        <v>357.4</v>
      </c>
      <c r="N228" s="19">
        <f t="shared" si="36"/>
        <v>-156.39999999999998</v>
      </c>
      <c r="O228" s="18">
        <f>INDEX('Industry Stats'!$E$2:$E$49,MATCH($C228,'Industry Stats'!$A$2:$A$49,0))</f>
        <v>282.26666666666665</v>
      </c>
      <c r="P228" s="19">
        <f t="shared" si="37"/>
        <v>-77.266666666666652</v>
      </c>
      <c r="R228">
        <f t="shared" si="38"/>
        <v>629.00097719999997</v>
      </c>
      <c r="S228">
        <f t="shared" si="39"/>
        <v>223.00097719999999</v>
      </c>
      <c r="T228">
        <f t="shared" si="40"/>
        <v>201.00097719999999</v>
      </c>
      <c r="U228">
        <f t="shared" si="41"/>
        <v>205.00097719999999</v>
      </c>
      <c r="V228">
        <f t="shared" si="42"/>
        <v>-561.63235613333347</v>
      </c>
      <c r="W228">
        <f t="shared" si="43"/>
        <v>561.63431053333341</v>
      </c>
    </row>
    <row r="229" spans="1:23" ht="15" customHeight="1" x14ac:dyDescent="0.35">
      <c r="A229" t="str">
        <f>'Raw Data'!B227</f>
        <v>DENTSPLY SIRONA Inc</v>
      </c>
      <c r="B229" t="str">
        <f>'Raw Data'!A227</f>
        <v>xray</v>
      </c>
      <c r="C229" t="str">
        <f>IF('Raw Data'!E227="N/A","Unclassified",TRIM(SUBSTITUTE('Raw Data'!E227," and "," &amp; ")))</f>
        <v>Health Care</v>
      </c>
      <c r="D229" s="17">
        <f>'Raw Data'!N227</f>
        <v>530</v>
      </c>
      <c r="E229" s="17">
        <f>'Raw Data'!O227</f>
        <v>318</v>
      </c>
      <c r="F229" s="17">
        <f>'Raw Data'!P227</f>
        <v>305</v>
      </c>
      <c r="G229" s="17">
        <f>'Raw Data'!Q227</f>
        <v>1153</v>
      </c>
      <c r="H229" s="18">
        <f>INDEX('Industry Stats'!$F$2:$F$49,MATCH($C229,'Industry Stats'!$A$2:$A$49,0))</f>
        <v>938.76470588235293</v>
      </c>
      <c r="I229" s="19">
        <f t="shared" si="33"/>
        <v>214.23529411764707</v>
      </c>
      <c r="J229" s="20">
        <f t="shared" si="34"/>
        <v>0.2282097875806755</v>
      </c>
      <c r="K229" s="18">
        <f>INDEX('Industry Stats'!$C$2:$C$49,MATCH($C229,'Industry Stats'!$A$2:$A$49,0))</f>
        <v>374.52941176470586</v>
      </c>
      <c r="L229" s="19">
        <f t="shared" si="35"/>
        <v>155.47058823529414</v>
      </c>
      <c r="M229" s="18">
        <f>INDEX('Industry Stats'!$D$2:$D$49,MATCH($C229,'Industry Stats'!$A$2:$A$49,0))</f>
        <v>287.43137254901961</v>
      </c>
      <c r="N229" s="19">
        <f t="shared" si="36"/>
        <v>30.568627450980387</v>
      </c>
      <c r="O229" s="18">
        <f>INDEX('Industry Stats'!$E$2:$E$49,MATCH($C229,'Industry Stats'!$A$2:$A$49,0))</f>
        <v>276.80392156862746</v>
      </c>
      <c r="P229" s="19">
        <f t="shared" si="37"/>
        <v>28.196078431372541</v>
      </c>
      <c r="R229">
        <f t="shared" si="38"/>
        <v>1153.0009771</v>
      </c>
      <c r="S229">
        <f t="shared" si="39"/>
        <v>530.0009771</v>
      </c>
      <c r="T229">
        <f t="shared" si="40"/>
        <v>318.0009771</v>
      </c>
      <c r="U229">
        <f t="shared" si="41"/>
        <v>305.0009771</v>
      </c>
      <c r="V229">
        <f t="shared" si="42"/>
        <v>214.23627121764707</v>
      </c>
      <c r="W229">
        <f t="shared" si="43"/>
        <v>-214.23431701764707</v>
      </c>
    </row>
    <row r="230" spans="1:23" ht="15" customHeight="1" x14ac:dyDescent="0.35">
      <c r="A230" t="str">
        <f>'Raw Data'!B228</f>
        <v>Zebra Technologies Corp</v>
      </c>
      <c r="B230" t="str">
        <f>'Raw Data'!A228</f>
        <v>zbra</v>
      </c>
      <c r="C230" t="str">
        <f>IF('Raw Data'!E228="N/A","Unclassified",TRIM(SUBSTITUTE('Raw Data'!E228," and "," &amp; ")))</f>
        <v>Electrical Equipment</v>
      </c>
      <c r="D230" s="17">
        <f>'Raw Data'!N228</f>
        <v>320</v>
      </c>
      <c r="E230" s="17">
        <f>'Raw Data'!O228</f>
        <v>317</v>
      </c>
      <c r="F230" s="17">
        <f>'Raw Data'!P228</f>
        <v>300</v>
      </c>
      <c r="G230" s="17">
        <f>'Raw Data'!Q228</f>
        <v>937</v>
      </c>
      <c r="H230" s="18">
        <f>INDEX('Industry Stats'!$F$2:$F$49,MATCH($C230,'Industry Stats'!$A$2:$A$49,0))</f>
        <v>933</v>
      </c>
      <c r="I230" s="19">
        <f t="shared" si="33"/>
        <v>4</v>
      </c>
      <c r="J230" s="20">
        <f t="shared" si="34"/>
        <v>4.2872454448017148E-3</v>
      </c>
      <c r="K230" s="18">
        <f>INDEX('Industry Stats'!$C$2:$C$49,MATCH($C230,'Industry Stats'!$A$2:$A$49,0))</f>
        <v>381.7037037037037</v>
      </c>
      <c r="L230" s="19">
        <f t="shared" si="35"/>
        <v>-61.703703703703695</v>
      </c>
      <c r="M230" s="18">
        <f>INDEX('Industry Stats'!$D$2:$D$49,MATCH($C230,'Industry Stats'!$A$2:$A$49,0))</f>
        <v>272.11111111111109</v>
      </c>
      <c r="N230" s="19">
        <f t="shared" si="36"/>
        <v>44.888888888888914</v>
      </c>
      <c r="O230" s="18">
        <f>INDEX('Industry Stats'!$E$2:$E$49,MATCH($C230,'Industry Stats'!$A$2:$A$49,0))</f>
        <v>279.18518518518516</v>
      </c>
      <c r="P230" s="19">
        <f t="shared" si="37"/>
        <v>20.814814814814838</v>
      </c>
      <c r="R230">
        <f t="shared" si="38"/>
        <v>937.00097700000003</v>
      </c>
      <c r="S230">
        <f t="shared" si="39"/>
        <v>320.00097699999998</v>
      </c>
      <c r="T230">
        <f t="shared" si="40"/>
        <v>317.00097699999998</v>
      </c>
      <c r="U230">
        <f t="shared" si="41"/>
        <v>300.00097699999998</v>
      </c>
      <c r="V230">
        <f t="shared" si="42"/>
        <v>4.0009769999999998</v>
      </c>
      <c r="W230">
        <f t="shared" si="43"/>
        <v>-3.9990230000000002</v>
      </c>
    </row>
    <row r="231" spans="1:23" ht="15" customHeight="1" x14ac:dyDescent="0.35">
      <c r="A231" t="str">
        <f>'Raw Data'!B229</f>
        <v>Advance Auto Parts Inc</v>
      </c>
      <c r="B231" t="str">
        <f>'Raw Data'!A229</f>
        <v>aap</v>
      </c>
      <c r="C231" t="str">
        <f>IF('Raw Data'!E229="N/A","Unclassified",TRIM(SUBSTITUTE('Raw Data'!E229," and "," &amp; ")))</f>
        <v>Retail</v>
      </c>
      <c r="D231" s="17">
        <f>'Raw Data'!N229</f>
        <v>264</v>
      </c>
      <c r="E231" s="17">
        <f>'Raw Data'!O229</f>
        <v>261</v>
      </c>
      <c r="F231" s="17">
        <f>'Raw Data'!P229</f>
        <v>210</v>
      </c>
      <c r="G231" s="17">
        <f>'Raw Data'!Q229</f>
        <v>735</v>
      </c>
      <c r="H231" s="18">
        <f>INDEX('Industry Stats'!$F$2:$F$49,MATCH($C231,'Industry Stats'!$A$2:$A$49,0))</f>
        <v>918.57692307692309</v>
      </c>
      <c r="I231" s="19">
        <f t="shared" si="33"/>
        <v>-183.57692307692309</v>
      </c>
      <c r="J231" s="20">
        <f t="shared" si="34"/>
        <v>-0.19984926516769252</v>
      </c>
      <c r="K231" s="18">
        <f>INDEX('Industry Stats'!$C$2:$C$49,MATCH($C231,'Industry Stats'!$A$2:$A$49,0))</f>
        <v>380.30769230769232</v>
      </c>
      <c r="L231" s="19">
        <f t="shared" si="35"/>
        <v>-116.30769230769232</v>
      </c>
      <c r="M231" s="18">
        <f>INDEX('Industry Stats'!$D$2:$D$49,MATCH($C231,'Industry Stats'!$A$2:$A$49,0))</f>
        <v>274.96153846153845</v>
      </c>
      <c r="N231" s="19">
        <f t="shared" si="36"/>
        <v>-13.961538461538453</v>
      </c>
      <c r="O231" s="18">
        <f>INDEX('Industry Stats'!$E$2:$E$49,MATCH($C231,'Industry Stats'!$A$2:$A$49,0))</f>
        <v>263.30769230769232</v>
      </c>
      <c r="P231" s="19">
        <f t="shared" si="37"/>
        <v>-53.307692307692321</v>
      </c>
      <c r="R231">
        <f t="shared" si="38"/>
        <v>735.00097689999996</v>
      </c>
      <c r="S231">
        <f t="shared" si="39"/>
        <v>264.00097690000001</v>
      </c>
      <c r="T231">
        <f t="shared" si="40"/>
        <v>261.00097690000001</v>
      </c>
      <c r="U231">
        <f t="shared" si="41"/>
        <v>210.00097690000001</v>
      </c>
      <c r="V231">
        <f t="shared" si="42"/>
        <v>-183.57594617692308</v>
      </c>
      <c r="W231">
        <f t="shared" si="43"/>
        <v>183.57789997692311</v>
      </c>
    </row>
    <row r="232" spans="1:23" ht="15" customHeight="1" x14ac:dyDescent="0.35">
      <c r="A232" t="str">
        <f>'Raw Data'!B230</f>
        <v>Zions Bancorporation NA</v>
      </c>
      <c r="B232" t="str">
        <f>'Raw Data'!A230</f>
        <v>zion</v>
      </c>
      <c r="C232" t="str">
        <f>IF('Raw Data'!E230="N/A","Unclassified",TRIM(SUBSTITUTE('Raw Data'!E230," and "," &amp; ")))</f>
        <v>Banking</v>
      </c>
      <c r="D232" s="17">
        <f>'Raw Data'!N230</f>
        <v>200</v>
      </c>
      <c r="E232" s="17">
        <f>'Raw Data'!O230</f>
        <v>200</v>
      </c>
      <c r="F232" s="17">
        <f>'Raw Data'!P230</f>
        <v>200</v>
      </c>
      <c r="G232" s="17">
        <f>'Raw Data'!Q230</f>
        <v>600</v>
      </c>
      <c r="H232" s="18">
        <f>INDEX('Industry Stats'!$F$2:$F$49,MATCH($C232,'Industry Stats'!$A$2:$A$49,0))</f>
        <v>898.31034482758616</v>
      </c>
      <c r="I232" s="19">
        <f t="shared" si="33"/>
        <v>-298.31034482758616</v>
      </c>
      <c r="J232" s="20">
        <f t="shared" si="34"/>
        <v>-0.33207938274922266</v>
      </c>
      <c r="K232" s="18">
        <f>INDEX('Industry Stats'!$C$2:$C$49,MATCH($C232,'Industry Stats'!$A$2:$A$49,0))</f>
        <v>341.48275862068965</v>
      </c>
      <c r="L232" s="19">
        <f t="shared" si="35"/>
        <v>-141.48275862068965</v>
      </c>
      <c r="M232" s="18">
        <f>INDEX('Industry Stats'!$D$2:$D$49,MATCH($C232,'Industry Stats'!$A$2:$A$49,0))</f>
        <v>292.34482758620692</v>
      </c>
      <c r="N232" s="19">
        <f t="shared" si="36"/>
        <v>-92.344827586206918</v>
      </c>
      <c r="O232" s="18">
        <f>INDEX('Industry Stats'!$E$2:$E$49,MATCH($C232,'Industry Stats'!$A$2:$A$49,0))</f>
        <v>264.48275862068965</v>
      </c>
      <c r="P232" s="19">
        <f t="shared" si="37"/>
        <v>-64.482758620689651</v>
      </c>
      <c r="R232">
        <f t="shared" si="38"/>
        <v>600.00097679999999</v>
      </c>
      <c r="S232">
        <f t="shared" si="39"/>
        <v>200.00097679999999</v>
      </c>
      <c r="T232">
        <f t="shared" si="40"/>
        <v>200.00097679999999</v>
      </c>
      <c r="U232">
        <f t="shared" si="41"/>
        <v>200.00097679999999</v>
      </c>
      <c r="V232">
        <f t="shared" si="42"/>
        <v>-298.30936802758617</v>
      </c>
      <c r="W232">
        <f t="shared" si="43"/>
        <v>298.31132162758615</v>
      </c>
    </row>
    <row r="233" spans="1:23" ht="15" customHeight="1" x14ac:dyDescent="0.35">
      <c r="A233" t="str">
        <f>'Raw Data'!B231</f>
        <v>Wynn Resorts Ltd</v>
      </c>
      <c r="B233" t="str">
        <f>'Raw Data'!A231</f>
        <v>wynn</v>
      </c>
      <c r="C233" t="str">
        <f>IF('Raw Data'!E231="N/A","Unclassified",TRIM(SUBSTITUTE('Raw Data'!E231," and "," &amp; ")))</f>
        <v>Hotels Restaurants &amp; Leisure</v>
      </c>
      <c r="D233" s="17">
        <f>'Raw Data'!N231</f>
        <v>225</v>
      </c>
      <c r="E233" s="17">
        <f>'Raw Data'!O231</f>
        <v>201</v>
      </c>
      <c r="F233" s="17">
        <f>'Raw Data'!P231</f>
        <v>200</v>
      </c>
      <c r="G233" s="17">
        <f>'Raw Data'!Q231</f>
        <v>626</v>
      </c>
      <c r="H233" s="18">
        <f>INDEX('Industry Stats'!$F$2:$F$49,MATCH($C233,'Industry Stats'!$A$2:$A$49,0))</f>
        <v>918.86363636363637</v>
      </c>
      <c r="I233" s="19">
        <f t="shared" si="33"/>
        <v>-292.86363636363637</v>
      </c>
      <c r="J233" s="20">
        <f t="shared" si="34"/>
        <v>-0.31872372000989363</v>
      </c>
      <c r="K233" s="18">
        <f>INDEX('Industry Stats'!$C$2:$C$49,MATCH($C233,'Industry Stats'!$A$2:$A$49,0))</f>
        <v>374.63636363636363</v>
      </c>
      <c r="L233" s="19">
        <f t="shared" si="35"/>
        <v>-149.63636363636363</v>
      </c>
      <c r="M233" s="18">
        <f>INDEX('Industry Stats'!$D$2:$D$49,MATCH($C233,'Industry Stats'!$A$2:$A$49,0))</f>
        <v>283.04545454545456</v>
      </c>
      <c r="N233" s="19">
        <f t="shared" si="36"/>
        <v>-82.045454545454561</v>
      </c>
      <c r="O233" s="18">
        <f>INDEX('Industry Stats'!$E$2:$E$49,MATCH($C233,'Industry Stats'!$A$2:$A$49,0))</f>
        <v>261.18181818181819</v>
      </c>
      <c r="P233" s="19">
        <f t="shared" si="37"/>
        <v>-61.181818181818187</v>
      </c>
      <c r="R233">
        <f t="shared" si="38"/>
        <v>626.00097670000002</v>
      </c>
      <c r="S233">
        <f t="shared" si="39"/>
        <v>225.0009767</v>
      </c>
      <c r="T233">
        <f t="shared" si="40"/>
        <v>201.0009767</v>
      </c>
      <c r="U233">
        <f t="shared" si="41"/>
        <v>200.0009767</v>
      </c>
      <c r="V233">
        <f t="shared" si="42"/>
        <v>-292.86265966363635</v>
      </c>
      <c r="W233">
        <f t="shared" si="43"/>
        <v>292.8646130636364</v>
      </c>
    </row>
    <row r="234" spans="1:23" ht="15" customHeight="1" x14ac:dyDescent="0.35">
      <c r="A234" t="str">
        <f>'Raw Data'!B232</f>
        <v>Agilent Technologies Inc</v>
      </c>
      <c r="B234" t="str">
        <f>'Raw Data'!A232</f>
        <v>a</v>
      </c>
      <c r="C234" t="str">
        <f>IF('Raw Data'!E232="N/A","Unclassified",TRIM(SUBSTITUTE('Raw Data'!E232," and "," &amp; ")))</f>
        <v>Life Sciences Tools &amp; Services</v>
      </c>
      <c r="D234" s="17">
        <f>'Raw Data'!N232</f>
        <v>573</v>
      </c>
      <c r="E234" s="17">
        <f>'Raw Data'!O232</f>
        <v>231</v>
      </c>
      <c r="F234" s="17">
        <f>'Raw Data'!P232</f>
        <v>233</v>
      </c>
      <c r="G234" s="17">
        <f>'Raw Data'!Q232</f>
        <v>1037</v>
      </c>
      <c r="H234" s="18">
        <f>INDEX('Industry Stats'!$F$2:$F$49,MATCH($C234,'Industry Stats'!$A$2:$A$49,0))</f>
        <v>993.125</v>
      </c>
      <c r="I234" s="19">
        <f t="shared" si="33"/>
        <v>43.875</v>
      </c>
      <c r="J234" s="20">
        <f t="shared" si="34"/>
        <v>4.4178728760226556E-2</v>
      </c>
      <c r="K234" s="18">
        <f>INDEX('Industry Stats'!$C$2:$C$49,MATCH($C234,'Industry Stats'!$A$2:$A$49,0))</f>
        <v>421.375</v>
      </c>
      <c r="L234" s="19">
        <f t="shared" si="35"/>
        <v>151.625</v>
      </c>
      <c r="M234" s="18">
        <f>INDEX('Industry Stats'!$D$2:$D$49,MATCH($C234,'Industry Stats'!$A$2:$A$49,0))</f>
        <v>294.5</v>
      </c>
      <c r="N234" s="19">
        <f t="shared" si="36"/>
        <v>-63.5</v>
      </c>
      <c r="O234" s="18">
        <f>INDEX('Industry Stats'!$E$2:$E$49,MATCH($C234,'Industry Stats'!$A$2:$A$49,0))</f>
        <v>277.25</v>
      </c>
      <c r="P234" s="19">
        <f t="shared" si="37"/>
        <v>-44.25</v>
      </c>
      <c r="R234">
        <f t="shared" si="38"/>
        <v>1037.0009766000001</v>
      </c>
      <c r="S234">
        <f t="shared" si="39"/>
        <v>573.00097659999994</v>
      </c>
      <c r="T234">
        <f t="shared" si="40"/>
        <v>231.0009766</v>
      </c>
      <c r="U234">
        <f t="shared" si="41"/>
        <v>233.0009766</v>
      </c>
      <c r="V234">
        <f t="shared" si="42"/>
        <v>43.875976600000001</v>
      </c>
      <c r="W234">
        <f t="shared" si="43"/>
        <v>-43.874023399999999</v>
      </c>
    </row>
    <row r="235" spans="1:23" ht="15" customHeight="1" x14ac:dyDescent="0.35">
      <c r="A235" t="str">
        <f>'Raw Data'!B233</f>
        <v>Abbvie Inc</v>
      </c>
      <c r="B235" t="str">
        <f>'Raw Data'!A233</f>
        <v>abbv</v>
      </c>
      <c r="C235" t="str">
        <f>IF('Raw Data'!E233="N/A","Unclassified",TRIM(SUBSTITUTE('Raw Data'!E233," and "," &amp; ")))</f>
        <v>Biotechnology</v>
      </c>
      <c r="D235" s="17">
        <f>'Raw Data'!N233</f>
        <v>505</v>
      </c>
      <c r="E235" s="17">
        <f>'Raw Data'!O233</f>
        <v>317</v>
      </c>
      <c r="F235" s="17">
        <f>'Raw Data'!P233</f>
        <v>300</v>
      </c>
      <c r="G235" s="17">
        <f>'Raw Data'!Q233</f>
        <v>1122</v>
      </c>
      <c r="H235" s="18">
        <f>INDEX('Industry Stats'!$F$2:$F$49,MATCH($C235,'Industry Stats'!$A$2:$A$49,0))</f>
        <v>866.91071428571433</v>
      </c>
      <c r="I235" s="19">
        <f t="shared" si="33"/>
        <v>255.08928571428567</v>
      </c>
      <c r="J235" s="20">
        <f t="shared" si="34"/>
        <v>0.29425093208643166</v>
      </c>
      <c r="K235" s="18">
        <f>INDEX('Industry Stats'!$C$2:$C$49,MATCH($C235,'Industry Stats'!$A$2:$A$49,0))</f>
        <v>306.53571428571428</v>
      </c>
      <c r="L235" s="19">
        <f t="shared" si="35"/>
        <v>198.46428571428572</v>
      </c>
      <c r="M235" s="18">
        <f>INDEX('Industry Stats'!$D$2:$D$49,MATCH($C235,'Industry Stats'!$A$2:$A$49,0))</f>
        <v>268.85714285714283</v>
      </c>
      <c r="N235" s="19">
        <f t="shared" si="36"/>
        <v>48.142857142857167</v>
      </c>
      <c r="O235" s="18">
        <f>INDEX('Industry Stats'!$E$2:$E$49,MATCH($C235,'Industry Stats'!$A$2:$A$49,0))</f>
        <v>291.51785714285717</v>
      </c>
      <c r="P235" s="19">
        <f t="shared" si="37"/>
        <v>8.4821428571428328</v>
      </c>
      <c r="R235">
        <f t="shared" si="38"/>
        <v>1122.0009765</v>
      </c>
      <c r="S235">
        <f t="shared" si="39"/>
        <v>505.00097649999998</v>
      </c>
      <c r="T235">
        <f t="shared" si="40"/>
        <v>317.00097649999998</v>
      </c>
      <c r="U235">
        <f t="shared" si="41"/>
        <v>300.00097649999998</v>
      </c>
      <c r="V235">
        <f t="shared" si="42"/>
        <v>255.09026221428567</v>
      </c>
      <c r="W235">
        <f t="shared" si="43"/>
        <v>-255.08830921428566</v>
      </c>
    </row>
    <row r="236" spans="1:23" ht="15" customHeight="1" x14ac:dyDescent="0.35">
      <c r="A236" t="str">
        <f>'Raw Data'!B234</f>
        <v>Amerisourcebergen Corp</v>
      </c>
      <c r="B236" t="str">
        <f>'Raw Data'!A234</f>
        <v>abc</v>
      </c>
      <c r="C236" t="str">
        <f>IF('Raw Data'!E234="N/A","Unclassified",TRIM(SUBSTITUTE('Raw Data'!E234," and "," &amp; ")))</f>
        <v>Health Care</v>
      </c>
      <c r="D236" s="17">
        <f>'Raw Data'!N234</f>
        <v>505</v>
      </c>
      <c r="E236" s="17">
        <f>'Raw Data'!O234</f>
        <v>300</v>
      </c>
      <c r="F236" s="17">
        <f>'Raw Data'!P234</f>
        <v>315</v>
      </c>
      <c r="G236" s="17">
        <f>'Raw Data'!Q234</f>
        <v>1120</v>
      </c>
      <c r="H236" s="18">
        <f>INDEX('Industry Stats'!$F$2:$F$49,MATCH($C236,'Industry Stats'!$A$2:$A$49,0))</f>
        <v>938.76470588235293</v>
      </c>
      <c r="I236" s="19">
        <f t="shared" si="33"/>
        <v>181.23529411764707</v>
      </c>
      <c r="J236" s="20">
        <f t="shared" si="34"/>
        <v>0.19305720909831445</v>
      </c>
      <c r="K236" s="18">
        <f>INDEX('Industry Stats'!$C$2:$C$49,MATCH($C236,'Industry Stats'!$A$2:$A$49,0))</f>
        <v>374.52941176470586</v>
      </c>
      <c r="L236" s="19">
        <f t="shared" si="35"/>
        <v>130.47058823529414</v>
      </c>
      <c r="M236" s="18">
        <f>INDEX('Industry Stats'!$D$2:$D$49,MATCH($C236,'Industry Stats'!$A$2:$A$49,0))</f>
        <v>287.43137254901961</v>
      </c>
      <c r="N236" s="19">
        <f t="shared" si="36"/>
        <v>12.568627450980387</v>
      </c>
      <c r="O236" s="18">
        <f>INDEX('Industry Stats'!$E$2:$E$49,MATCH($C236,'Industry Stats'!$A$2:$A$49,0))</f>
        <v>276.80392156862746</v>
      </c>
      <c r="P236" s="19">
        <f t="shared" si="37"/>
        <v>38.196078431372541</v>
      </c>
      <c r="R236">
        <f t="shared" si="38"/>
        <v>1120.0009763999999</v>
      </c>
      <c r="S236">
        <f t="shared" si="39"/>
        <v>505.00097640000001</v>
      </c>
      <c r="T236">
        <f t="shared" si="40"/>
        <v>300.00097640000001</v>
      </c>
      <c r="U236">
        <f t="shared" si="41"/>
        <v>315.00097640000001</v>
      </c>
      <c r="V236">
        <f t="shared" si="42"/>
        <v>181.23627051764709</v>
      </c>
      <c r="W236">
        <f t="shared" si="43"/>
        <v>-181.23431771764706</v>
      </c>
    </row>
    <row r="237" spans="1:23" ht="15" customHeight="1" x14ac:dyDescent="0.35">
      <c r="A237" t="str">
        <f>'Raw Data'!B235</f>
        <v>Archer-Daniels-Midland Co</v>
      </c>
      <c r="B237" t="str">
        <f>'Raw Data'!A235</f>
        <v>adm</v>
      </c>
      <c r="C237" t="str">
        <f>IF('Raw Data'!E235="N/A","Unclassified",TRIM(SUBSTITUTE('Raw Data'!E235," and "," &amp; ")))</f>
        <v>Food Products</v>
      </c>
      <c r="D237" s="17">
        <f>'Raw Data'!N235</f>
        <v>587</v>
      </c>
      <c r="E237" s="17">
        <f>'Raw Data'!O235</f>
        <v>353</v>
      </c>
      <c r="F237" s="17">
        <f>'Raw Data'!P235</f>
        <v>305</v>
      </c>
      <c r="G237" s="17">
        <f>'Raw Data'!Q235</f>
        <v>1245</v>
      </c>
      <c r="H237" s="18">
        <f>INDEX('Industry Stats'!$F$2:$F$49,MATCH($C237,'Industry Stats'!$A$2:$A$49,0))</f>
        <v>1131.0714285714287</v>
      </c>
      <c r="I237" s="19">
        <f t="shared" si="33"/>
        <v>113.92857142857133</v>
      </c>
      <c r="J237" s="20">
        <f t="shared" si="34"/>
        <v>0.10072623934322693</v>
      </c>
      <c r="K237" s="18">
        <f>INDEX('Industry Stats'!$C$2:$C$49,MATCH($C237,'Industry Stats'!$A$2:$A$49,0))</f>
        <v>516.57142857142856</v>
      </c>
      <c r="L237" s="19">
        <f t="shared" si="35"/>
        <v>70.428571428571445</v>
      </c>
      <c r="M237" s="18">
        <f>INDEX('Industry Stats'!$D$2:$D$49,MATCH($C237,'Industry Stats'!$A$2:$A$49,0))</f>
        <v>311.28571428571428</v>
      </c>
      <c r="N237" s="19">
        <f t="shared" si="36"/>
        <v>41.714285714285722</v>
      </c>
      <c r="O237" s="18">
        <f>INDEX('Industry Stats'!$E$2:$E$49,MATCH($C237,'Industry Stats'!$A$2:$A$49,0))</f>
        <v>303.21428571428572</v>
      </c>
      <c r="P237" s="19">
        <f t="shared" si="37"/>
        <v>1.7857142857142776</v>
      </c>
      <c r="R237">
        <f t="shared" si="38"/>
        <v>1245.0009763</v>
      </c>
      <c r="S237">
        <f t="shared" si="39"/>
        <v>587.00097630000005</v>
      </c>
      <c r="T237">
        <f t="shared" si="40"/>
        <v>353.00097629999999</v>
      </c>
      <c r="U237">
        <f t="shared" si="41"/>
        <v>305.00097629999999</v>
      </c>
      <c r="V237">
        <f t="shared" si="42"/>
        <v>113.92954772857134</v>
      </c>
      <c r="W237">
        <f t="shared" si="43"/>
        <v>-113.92759512857133</v>
      </c>
    </row>
    <row r="238" spans="1:23" ht="15" customHeight="1" x14ac:dyDescent="0.35">
      <c r="A238" t="str">
        <f>'Raw Data'!B236</f>
        <v>Abbott Laboratories</v>
      </c>
      <c r="B238" t="str">
        <f>'Raw Data'!A236</f>
        <v>abt</v>
      </c>
      <c r="C238" t="str">
        <f>IF('Raw Data'!E236="N/A","Unclassified",TRIM(SUBSTITUTE('Raw Data'!E236," and "," &amp; ")))</f>
        <v>Health Care</v>
      </c>
      <c r="D238" s="17">
        <f>'Raw Data'!N236</f>
        <v>515</v>
      </c>
      <c r="E238" s="17">
        <f>'Raw Data'!O236</f>
        <v>305</v>
      </c>
      <c r="F238" s="17">
        <f>'Raw Data'!P236</f>
        <v>305</v>
      </c>
      <c r="G238" s="17">
        <f>'Raw Data'!Q236</f>
        <v>1125</v>
      </c>
      <c r="H238" s="18">
        <f>INDEX('Industry Stats'!$F$2:$F$49,MATCH($C238,'Industry Stats'!$A$2:$A$49,0))</f>
        <v>938.76470588235293</v>
      </c>
      <c r="I238" s="19">
        <f t="shared" si="33"/>
        <v>186.23529411764707</v>
      </c>
      <c r="J238" s="20">
        <f t="shared" si="34"/>
        <v>0.19838335735321763</v>
      </c>
      <c r="K238" s="18">
        <f>INDEX('Industry Stats'!$C$2:$C$49,MATCH($C238,'Industry Stats'!$A$2:$A$49,0))</f>
        <v>374.52941176470586</v>
      </c>
      <c r="L238" s="19">
        <f t="shared" si="35"/>
        <v>140.47058823529414</v>
      </c>
      <c r="M238" s="18">
        <f>INDEX('Industry Stats'!$D$2:$D$49,MATCH($C238,'Industry Stats'!$A$2:$A$49,0))</f>
        <v>287.43137254901961</v>
      </c>
      <c r="N238" s="19">
        <f t="shared" si="36"/>
        <v>17.568627450980387</v>
      </c>
      <c r="O238" s="18">
        <f>INDEX('Industry Stats'!$E$2:$E$49,MATCH($C238,'Industry Stats'!$A$2:$A$49,0))</f>
        <v>276.80392156862746</v>
      </c>
      <c r="P238" s="19">
        <f t="shared" si="37"/>
        <v>28.196078431372541</v>
      </c>
      <c r="R238">
        <f t="shared" si="38"/>
        <v>1125.0009762</v>
      </c>
      <c r="S238">
        <f t="shared" si="39"/>
        <v>515.00097619999997</v>
      </c>
      <c r="T238">
        <f t="shared" si="40"/>
        <v>305.00097620000003</v>
      </c>
      <c r="U238">
        <f t="shared" si="41"/>
        <v>305.00097620000003</v>
      </c>
      <c r="V238">
        <f t="shared" si="42"/>
        <v>186.23627031764707</v>
      </c>
      <c r="W238">
        <f t="shared" si="43"/>
        <v>-186.23431791764708</v>
      </c>
    </row>
    <row r="239" spans="1:23" ht="15" customHeight="1" x14ac:dyDescent="0.35">
      <c r="A239" t="str">
        <f>'Raw Data'!B237</f>
        <v>Ameren Corp</v>
      </c>
      <c r="B239" t="str">
        <f>'Raw Data'!A237</f>
        <v>aee</v>
      </c>
      <c r="C239" t="str">
        <f>IF('Raw Data'!E237="N/A","Unclassified",TRIM(SUBSTITUTE('Raw Data'!E237," and "," &amp; ")))</f>
        <v>Utilities</v>
      </c>
      <c r="D239" s="17">
        <f>'Raw Data'!N237</f>
        <v>562</v>
      </c>
      <c r="E239" s="17">
        <f>'Raw Data'!O237</f>
        <v>345</v>
      </c>
      <c r="F239" s="17">
        <f>'Raw Data'!P237</f>
        <v>300</v>
      </c>
      <c r="G239" s="17">
        <f>'Raw Data'!Q237</f>
        <v>1207</v>
      </c>
      <c r="H239" s="18">
        <f>INDEX('Industry Stats'!$F$2:$F$49,MATCH($C239,'Industry Stats'!$A$2:$A$49,0))</f>
        <v>1190.6333333333334</v>
      </c>
      <c r="I239" s="19">
        <f t="shared" si="33"/>
        <v>16.366666666666561</v>
      </c>
      <c r="J239" s="20">
        <f t="shared" si="34"/>
        <v>1.3746185503513446E-2</v>
      </c>
      <c r="K239" s="18">
        <f>INDEX('Industry Stats'!$C$2:$C$49,MATCH($C239,'Industry Stats'!$A$2:$A$49,0))</f>
        <v>550.9666666666667</v>
      </c>
      <c r="L239" s="19">
        <f t="shared" si="35"/>
        <v>11.033333333333303</v>
      </c>
      <c r="M239" s="18">
        <f>INDEX('Industry Stats'!$D$2:$D$49,MATCH($C239,'Industry Stats'!$A$2:$A$49,0))</f>
        <v>357.4</v>
      </c>
      <c r="N239" s="19">
        <f t="shared" si="36"/>
        <v>-12.399999999999977</v>
      </c>
      <c r="O239" s="18">
        <f>INDEX('Industry Stats'!$E$2:$E$49,MATCH($C239,'Industry Stats'!$A$2:$A$49,0))</f>
        <v>282.26666666666665</v>
      </c>
      <c r="P239" s="19">
        <f t="shared" si="37"/>
        <v>17.733333333333348</v>
      </c>
      <c r="R239">
        <f t="shared" si="38"/>
        <v>1207.0009760999999</v>
      </c>
      <c r="S239">
        <f t="shared" si="39"/>
        <v>562.0009761</v>
      </c>
      <c r="T239">
        <f t="shared" si="40"/>
        <v>345.0009761</v>
      </c>
      <c r="U239">
        <f t="shared" si="41"/>
        <v>300.0009761</v>
      </c>
      <c r="V239">
        <f t="shared" si="42"/>
        <v>16.36764276666656</v>
      </c>
      <c r="W239">
        <f t="shared" si="43"/>
        <v>-16.365690566666562</v>
      </c>
    </row>
    <row r="240" spans="1:23" ht="15" customHeight="1" x14ac:dyDescent="0.35">
      <c r="A240" t="str">
        <f>'Raw Data'!B238</f>
        <v>AES Corp</v>
      </c>
      <c r="B240" t="str">
        <f>'Raw Data'!A238</f>
        <v>aes</v>
      </c>
      <c r="C240" t="str">
        <f>IF('Raw Data'!E238="N/A","Unclassified",TRIM(SUBSTITUTE('Raw Data'!E238," and "," &amp; ")))</f>
        <v>Utilities</v>
      </c>
      <c r="D240" s="17">
        <f>'Raw Data'!N238</f>
        <v>525</v>
      </c>
      <c r="E240" s="17">
        <f>'Raw Data'!O238</f>
        <v>326</v>
      </c>
      <c r="F240" s="17">
        <f>'Raw Data'!P238</f>
        <v>370</v>
      </c>
      <c r="G240" s="17">
        <f>'Raw Data'!Q238</f>
        <v>1221</v>
      </c>
      <c r="H240" s="18">
        <f>INDEX('Industry Stats'!$F$2:$F$49,MATCH($C240,'Industry Stats'!$A$2:$A$49,0))</f>
        <v>1190.6333333333334</v>
      </c>
      <c r="I240" s="19">
        <f t="shared" si="33"/>
        <v>30.366666666666561</v>
      </c>
      <c r="J240" s="20">
        <f t="shared" si="34"/>
        <v>2.550463338839264E-2</v>
      </c>
      <c r="K240" s="18">
        <f>INDEX('Industry Stats'!$C$2:$C$49,MATCH($C240,'Industry Stats'!$A$2:$A$49,0))</f>
        <v>550.9666666666667</v>
      </c>
      <c r="L240" s="19">
        <f t="shared" si="35"/>
        <v>-25.966666666666697</v>
      </c>
      <c r="M240" s="18">
        <f>INDEX('Industry Stats'!$D$2:$D$49,MATCH($C240,'Industry Stats'!$A$2:$A$49,0))</f>
        <v>357.4</v>
      </c>
      <c r="N240" s="19">
        <f t="shared" si="36"/>
        <v>-31.399999999999977</v>
      </c>
      <c r="O240" s="18">
        <f>INDEX('Industry Stats'!$E$2:$E$49,MATCH($C240,'Industry Stats'!$A$2:$A$49,0))</f>
        <v>282.26666666666665</v>
      </c>
      <c r="P240" s="19">
        <f t="shared" si="37"/>
        <v>87.733333333333348</v>
      </c>
      <c r="R240">
        <f t="shared" si="38"/>
        <v>1221.000976</v>
      </c>
      <c r="S240">
        <f t="shared" si="39"/>
        <v>525.00097600000004</v>
      </c>
      <c r="T240">
        <f t="shared" si="40"/>
        <v>326.00097599999998</v>
      </c>
      <c r="U240">
        <f t="shared" si="41"/>
        <v>370.00097599999998</v>
      </c>
      <c r="V240">
        <f t="shared" si="42"/>
        <v>30.367642666666562</v>
      </c>
      <c r="W240">
        <f t="shared" si="43"/>
        <v>-30.365690666666559</v>
      </c>
    </row>
    <row r="241" spans="1:23" ht="15" customHeight="1" x14ac:dyDescent="0.35">
      <c r="A241" t="str">
        <f>'Raw Data'!B239</f>
        <v>Aflac Inc</v>
      </c>
      <c r="B241" t="str">
        <f>'Raw Data'!A239</f>
        <v>afl</v>
      </c>
      <c r="C241" t="str">
        <f>IF('Raw Data'!E239="N/A","Unclassified",TRIM(SUBSTITUTE('Raw Data'!E239," and "," &amp; ")))</f>
        <v>Insurance</v>
      </c>
      <c r="D241" s="17">
        <f>'Raw Data'!N239</f>
        <v>454</v>
      </c>
      <c r="E241" s="17">
        <f>'Raw Data'!O239</f>
        <v>300</v>
      </c>
      <c r="F241" s="17">
        <f>'Raw Data'!P239</f>
        <v>235</v>
      </c>
      <c r="G241" s="17">
        <f>'Raw Data'!Q239</f>
        <v>989</v>
      </c>
      <c r="H241" s="18">
        <f>INDEX('Industry Stats'!$F$2:$F$49,MATCH($C241,'Industry Stats'!$A$2:$A$49,0))</f>
        <v>1012.3703703703703</v>
      </c>
      <c r="I241" s="19">
        <f t="shared" si="33"/>
        <v>-23.370370370370324</v>
      </c>
      <c r="J241" s="20">
        <f t="shared" si="34"/>
        <v>-2.3084802809687523E-2</v>
      </c>
      <c r="K241" s="18">
        <f>INDEX('Industry Stats'!$C$2:$C$49,MATCH($C241,'Industry Stats'!$A$2:$A$49,0))</f>
        <v>425.25925925925924</v>
      </c>
      <c r="L241" s="19">
        <f t="shared" si="35"/>
        <v>28.740740740740762</v>
      </c>
      <c r="M241" s="18">
        <f>INDEX('Industry Stats'!$D$2:$D$49,MATCH($C241,'Industry Stats'!$A$2:$A$49,0))</f>
        <v>295.66666666666669</v>
      </c>
      <c r="N241" s="19">
        <f t="shared" si="36"/>
        <v>4.3333333333333144</v>
      </c>
      <c r="O241" s="18">
        <f>INDEX('Industry Stats'!$E$2:$E$49,MATCH($C241,'Industry Stats'!$A$2:$A$49,0))</f>
        <v>291.44444444444446</v>
      </c>
      <c r="P241" s="19">
        <f t="shared" si="37"/>
        <v>-56.444444444444457</v>
      </c>
      <c r="R241">
        <f t="shared" si="38"/>
        <v>989.00097589999996</v>
      </c>
      <c r="S241">
        <f t="shared" si="39"/>
        <v>454.00097590000001</v>
      </c>
      <c r="T241">
        <f t="shared" si="40"/>
        <v>300.00097590000001</v>
      </c>
      <c r="U241">
        <f t="shared" si="41"/>
        <v>235.00097589999999</v>
      </c>
      <c r="V241">
        <f t="shared" si="42"/>
        <v>-23.369394470370324</v>
      </c>
      <c r="W241">
        <f t="shared" si="43"/>
        <v>23.371346270370324</v>
      </c>
    </row>
    <row r="242" spans="1:23" ht="15" customHeight="1" x14ac:dyDescent="0.35">
      <c r="A242" t="str">
        <f>'Raw Data'!B240</f>
        <v>Accenture PLC</v>
      </c>
      <c r="B242" t="str">
        <f>'Raw Data'!A240</f>
        <v>acn</v>
      </c>
      <c r="C242" t="str">
        <f>IF('Raw Data'!E240="N/A","Unclassified",TRIM(SUBSTITUTE('Raw Data'!E240," and "," &amp; ")))</f>
        <v>Technology</v>
      </c>
      <c r="D242" s="17">
        <f>'Raw Data'!N240</f>
        <v>515</v>
      </c>
      <c r="E242" s="17">
        <f>'Raw Data'!O240</f>
        <v>360</v>
      </c>
      <c r="F242" s="17">
        <f>'Raw Data'!P240</f>
        <v>305</v>
      </c>
      <c r="G242" s="17">
        <f>'Raw Data'!Q240</f>
        <v>1180</v>
      </c>
      <c r="H242" s="18">
        <f>INDEX('Industry Stats'!$F$2:$F$49,MATCH($C242,'Industry Stats'!$A$2:$A$49,0))</f>
        <v>1031.3174603174602</v>
      </c>
      <c r="I242" s="19">
        <f t="shared" si="33"/>
        <v>148.68253968253975</v>
      </c>
      <c r="J242" s="20">
        <f t="shared" si="34"/>
        <v>0.14416757730134064</v>
      </c>
      <c r="K242" s="18">
        <f>INDEX('Industry Stats'!$C$2:$C$49,MATCH($C242,'Industry Stats'!$A$2:$A$49,0))</f>
        <v>438.11111111111109</v>
      </c>
      <c r="L242" s="19">
        <f t="shared" si="35"/>
        <v>76.888888888888914</v>
      </c>
      <c r="M242" s="18">
        <f>INDEX('Industry Stats'!$D$2:$D$49,MATCH($C242,'Industry Stats'!$A$2:$A$49,0))</f>
        <v>307.90476190476193</v>
      </c>
      <c r="N242" s="19">
        <f t="shared" si="36"/>
        <v>52.095238095238074</v>
      </c>
      <c r="O242" s="18">
        <f>INDEX('Industry Stats'!$E$2:$E$49,MATCH($C242,'Industry Stats'!$A$2:$A$49,0))</f>
        <v>285.30158730158729</v>
      </c>
      <c r="P242" s="19">
        <f t="shared" si="37"/>
        <v>19.69841269841271</v>
      </c>
      <c r="R242">
        <f t="shared" si="38"/>
        <v>1180.0009758000001</v>
      </c>
      <c r="S242">
        <f t="shared" si="39"/>
        <v>515.00097579999999</v>
      </c>
      <c r="T242">
        <f t="shared" si="40"/>
        <v>360.00097579999999</v>
      </c>
      <c r="U242">
        <f t="shared" si="41"/>
        <v>305.00097579999999</v>
      </c>
      <c r="V242">
        <f t="shared" si="42"/>
        <v>148.68351548253975</v>
      </c>
      <c r="W242">
        <f t="shared" si="43"/>
        <v>-148.68156388253976</v>
      </c>
    </row>
    <row r="243" spans="1:23" ht="15" customHeight="1" x14ac:dyDescent="0.35">
      <c r="A243" t="str">
        <f>'Raw Data'!B241</f>
        <v>Arthur J. Gallagher &amp; Co.</v>
      </c>
      <c r="B243" t="str">
        <f>'Raw Data'!A241</f>
        <v>ajg</v>
      </c>
      <c r="C243" t="str">
        <f>IF('Raw Data'!E241="N/A","Unclassified",TRIM(SUBSTITUTE('Raw Data'!E241," and "," &amp; ")))</f>
        <v>Insurance</v>
      </c>
      <c r="D243" s="17">
        <f>'Raw Data'!N241</f>
        <v>530</v>
      </c>
      <c r="E243" s="17">
        <f>'Raw Data'!O241</f>
        <v>344</v>
      </c>
      <c r="F243" s="17">
        <f>'Raw Data'!P241</f>
        <v>310</v>
      </c>
      <c r="G243" s="17">
        <f>'Raw Data'!Q241</f>
        <v>1184</v>
      </c>
      <c r="H243" s="18">
        <f>INDEX('Industry Stats'!$F$2:$F$49,MATCH($C243,'Industry Stats'!$A$2:$A$49,0))</f>
        <v>1012.3703703703703</v>
      </c>
      <c r="I243" s="19">
        <f t="shared" si="33"/>
        <v>171.62962962962968</v>
      </c>
      <c r="J243" s="20">
        <f t="shared" si="34"/>
        <v>0.16953245042803838</v>
      </c>
      <c r="K243" s="18">
        <f>INDEX('Industry Stats'!$C$2:$C$49,MATCH($C243,'Industry Stats'!$A$2:$A$49,0))</f>
        <v>425.25925925925924</v>
      </c>
      <c r="L243" s="19">
        <f t="shared" si="35"/>
        <v>104.74074074074076</v>
      </c>
      <c r="M243" s="18">
        <f>INDEX('Industry Stats'!$D$2:$D$49,MATCH($C243,'Industry Stats'!$A$2:$A$49,0))</f>
        <v>295.66666666666669</v>
      </c>
      <c r="N243" s="19">
        <f t="shared" si="36"/>
        <v>48.333333333333314</v>
      </c>
      <c r="O243" s="18">
        <f>INDEX('Industry Stats'!$E$2:$E$49,MATCH($C243,'Industry Stats'!$A$2:$A$49,0))</f>
        <v>291.44444444444446</v>
      </c>
      <c r="P243" s="19">
        <f t="shared" si="37"/>
        <v>18.555555555555543</v>
      </c>
      <c r="R243">
        <f t="shared" si="38"/>
        <v>1184.0009757</v>
      </c>
      <c r="S243">
        <f t="shared" si="39"/>
        <v>530.00097570000003</v>
      </c>
      <c r="T243">
        <f t="shared" si="40"/>
        <v>344.00097570000003</v>
      </c>
      <c r="U243">
        <f t="shared" si="41"/>
        <v>310.00097570000003</v>
      </c>
      <c r="V243">
        <f t="shared" si="42"/>
        <v>171.63060532962967</v>
      </c>
      <c r="W243">
        <f t="shared" si="43"/>
        <v>-171.62865392962968</v>
      </c>
    </row>
    <row r="244" spans="1:23" ht="15" customHeight="1" x14ac:dyDescent="0.35">
      <c r="A244" t="str">
        <f>'Raw Data'!B242</f>
        <v>Assurant Inc</v>
      </c>
      <c r="B244" t="str">
        <f>'Raw Data'!A242</f>
        <v>aiz</v>
      </c>
      <c r="C244" t="str">
        <f>IF('Raw Data'!E242="N/A","Unclassified",TRIM(SUBSTITUTE('Raw Data'!E242," and "," &amp; ")))</f>
        <v>Insurance</v>
      </c>
      <c r="D244" s="17">
        <f>'Raw Data'!N242</f>
        <v>438</v>
      </c>
      <c r="E244" s="17">
        <f>'Raw Data'!O242</f>
        <v>316</v>
      </c>
      <c r="F244" s="17">
        <f>'Raw Data'!P242</f>
        <v>300</v>
      </c>
      <c r="G244" s="17">
        <f>'Raw Data'!Q242</f>
        <v>1054</v>
      </c>
      <c r="H244" s="18">
        <f>INDEX('Industry Stats'!$F$2:$F$49,MATCH($C244,'Industry Stats'!$A$2:$A$49,0))</f>
        <v>1012.3703703703703</v>
      </c>
      <c r="I244" s="19">
        <f t="shared" si="33"/>
        <v>41.629629629629676</v>
      </c>
      <c r="J244" s="20">
        <f t="shared" si="34"/>
        <v>4.1120948269554446E-2</v>
      </c>
      <c r="K244" s="18">
        <f>INDEX('Industry Stats'!$C$2:$C$49,MATCH($C244,'Industry Stats'!$A$2:$A$49,0))</f>
        <v>425.25925925925924</v>
      </c>
      <c r="L244" s="19">
        <f t="shared" si="35"/>
        <v>12.740740740740762</v>
      </c>
      <c r="M244" s="18">
        <f>INDEX('Industry Stats'!$D$2:$D$49,MATCH($C244,'Industry Stats'!$A$2:$A$49,0))</f>
        <v>295.66666666666669</v>
      </c>
      <c r="N244" s="19">
        <f t="shared" si="36"/>
        <v>20.333333333333314</v>
      </c>
      <c r="O244" s="18">
        <f>INDEX('Industry Stats'!$E$2:$E$49,MATCH($C244,'Industry Stats'!$A$2:$A$49,0))</f>
        <v>291.44444444444446</v>
      </c>
      <c r="P244" s="19">
        <f t="shared" si="37"/>
        <v>8.5555555555555429</v>
      </c>
      <c r="R244">
        <f t="shared" si="38"/>
        <v>1054.0009755999999</v>
      </c>
      <c r="S244">
        <f t="shared" si="39"/>
        <v>438.0009756</v>
      </c>
      <c r="T244">
        <f t="shared" si="40"/>
        <v>316.0009756</v>
      </c>
      <c r="U244">
        <f t="shared" si="41"/>
        <v>300.0009756</v>
      </c>
      <c r="V244">
        <f t="shared" si="42"/>
        <v>41.630605229629673</v>
      </c>
      <c r="W244">
        <f t="shared" si="43"/>
        <v>-41.628654029629679</v>
      </c>
    </row>
    <row r="245" spans="1:23" ht="15" customHeight="1" x14ac:dyDescent="0.35">
      <c r="A245" t="str">
        <f>'Raw Data'!B243</f>
        <v>Alaska Air Group Inc</v>
      </c>
      <c r="B245" t="str">
        <f>'Raw Data'!A243</f>
        <v>alk</v>
      </c>
      <c r="C245" t="str">
        <f>IF('Raw Data'!E243="N/A","Unclassified",TRIM(SUBSTITUTE('Raw Data'!E243," and "," &amp; ")))</f>
        <v>Airlines</v>
      </c>
      <c r="D245" s="17">
        <f>'Raw Data'!N243</f>
        <v>515</v>
      </c>
      <c r="E245" s="17">
        <f>'Raw Data'!O243</f>
        <v>303</v>
      </c>
      <c r="F245" s="17">
        <f>'Raw Data'!P243</f>
        <v>259</v>
      </c>
      <c r="G245" s="17">
        <f>'Raw Data'!Q243</f>
        <v>1077</v>
      </c>
      <c r="H245" s="18">
        <f>INDEX('Industry Stats'!$F$2:$F$49,MATCH($C245,'Industry Stats'!$A$2:$A$49,0))</f>
        <v>838.71428571428567</v>
      </c>
      <c r="I245" s="19">
        <f t="shared" si="33"/>
        <v>238.28571428571433</v>
      </c>
      <c r="J245" s="20">
        <f t="shared" si="34"/>
        <v>0.28410832907511507</v>
      </c>
      <c r="K245" s="18">
        <f>INDEX('Industry Stats'!$C$2:$C$49,MATCH($C245,'Industry Stats'!$A$2:$A$49,0))</f>
        <v>326.71428571428572</v>
      </c>
      <c r="L245" s="19">
        <f t="shared" si="35"/>
        <v>188.28571428571428</v>
      </c>
      <c r="M245" s="18">
        <f>INDEX('Industry Stats'!$D$2:$D$49,MATCH($C245,'Industry Stats'!$A$2:$A$49,0))</f>
        <v>265.71428571428572</v>
      </c>
      <c r="N245" s="19">
        <f t="shared" si="36"/>
        <v>37.285714285714278</v>
      </c>
      <c r="O245" s="18">
        <f>INDEX('Industry Stats'!$E$2:$E$49,MATCH($C245,'Industry Stats'!$A$2:$A$49,0))</f>
        <v>246.28571428571428</v>
      </c>
      <c r="P245" s="19">
        <f t="shared" si="37"/>
        <v>12.714285714285722</v>
      </c>
      <c r="R245">
        <f t="shared" si="38"/>
        <v>1077.0009755000001</v>
      </c>
      <c r="S245">
        <f t="shared" si="39"/>
        <v>515.00097549999998</v>
      </c>
      <c r="T245">
        <f t="shared" si="40"/>
        <v>303.00097549999998</v>
      </c>
      <c r="U245">
        <f t="shared" si="41"/>
        <v>259.00097549999998</v>
      </c>
      <c r="V245">
        <f t="shared" si="42"/>
        <v>238.28668978571434</v>
      </c>
      <c r="W245">
        <f t="shared" si="43"/>
        <v>-238.28473878571432</v>
      </c>
    </row>
    <row r="246" spans="1:23" ht="15" customHeight="1" x14ac:dyDescent="0.35">
      <c r="A246" t="str">
        <f>'Raw Data'!B244</f>
        <v>Albemarle Corp</v>
      </c>
      <c r="B246" t="str">
        <f>'Raw Data'!A244</f>
        <v>alb</v>
      </c>
      <c r="C246" t="str">
        <f>IF('Raw Data'!E244="N/A","Unclassified",TRIM(SUBSTITUTE('Raw Data'!E244," and "," &amp; ")))</f>
        <v>Chemicals</v>
      </c>
      <c r="D246" s="17">
        <f>'Raw Data'!N244</f>
        <v>545</v>
      </c>
      <c r="E246" s="17">
        <f>'Raw Data'!O244</f>
        <v>322</v>
      </c>
      <c r="F246" s="17">
        <f>'Raw Data'!P244</f>
        <v>315</v>
      </c>
      <c r="G246" s="17">
        <f>'Raw Data'!Q244</f>
        <v>1182</v>
      </c>
      <c r="H246" s="18">
        <f>INDEX('Industry Stats'!$F$2:$F$49,MATCH($C246,'Industry Stats'!$A$2:$A$49,0))</f>
        <v>1058.8947368421052</v>
      </c>
      <c r="I246" s="19">
        <f t="shared" si="33"/>
        <v>123.1052631578948</v>
      </c>
      <c r="J246" s="20">
        <f t="shared" si="34"/>
        <v>0.11625826333316772</v>
      </c>
      <c r="K246" s="18">
        <f>INDEX('Industry Stats'!$C$2:$C$49,MATCH($C246,'Industry Stats'!$A$2:$A$49,0))</f>
        <v>463.73684210526318</v>
      </c>
      <c r="L246" s="19">
        <f t="shared" si="35"/>
        <v>81.263157894736821</v>
      </c>
      <c r="M246" s="18">
        <f>INDEX('Industry Stats'!$D$2:$D$49,MATCH($C246,'Industry Stats'!$A$2:$A$49,0))</f>
        <v>304.36842105263156</v>
      </c>
      <c r="N246" s="19">
        <f t="shared" si="36"/>
        <v>17.631578947368439</v>
      </c>
      <c r="O246" s="18">
        <f>INDEX('Industry Stats'!$E$2:$E$49,MATCH($C246,'Industry Stats'!$A$2:$A$49,0))</f>
        <v>290.78947368421052</v>
      </c>
      <c r="P246" s="19">
        <f t="shared" si="37"/>
        <v>24.21052631578948</v>
      </c>
      <c r="R246">
        <f t="shared" si="38"/>
        <v>1182.0009754</v>
      </c>
      <c r="S246">
        <f t="shared" si="39"/>
        <v>545.00097540000002</v>
      </c>
      <c r="T246">
        <f t="shared" si="40"/>
        <v>322.00097540000002</v>
      </c>
      <c r="U246">
        <f t="shared" si="41"/>
        <v>315.00097540000002</v>
      </c>
      <c r="V246">
        <f t="shared" si="42"/>
        <v>123.1062385578948</v>
      </c>
      <c r="W246">
        <f t="shared" si="43"/>
        <v>-123.1042877578948</v>
      </c>
    </row>
    <row r="247" spans="1:23" ht="15" customHeight="1" x14ac:dyDescent="0.35">
      <c r="A247" t="str">
        <f>'Raw Data'!B245</f>
        <v>American International Group Inc</v>
      </c>
      <c r="B247" t="str">
        <f>'Raw Data'!A245</f>
        <v>aig</v>
      </c>
      <c r="C247" t="str">
        <f>IF('Raw Data'!E245="N/A","Unclassified",TRIM(SUBSTITUTE('Raw Data'!E245," and "," &amp; ")))</f>
        <v>Insurance</v>
      </c>
      <c r="D247" s="17">
        <f>'Raw Data'!N245</f>
        <v>518</v>
      </c>
      <c r="E247" s="17">
        <f>'Raw Data'!O245</f>
        <v>323</v>
      </c>
      <c r="F247" s="17">
        <f>'Raw Data'!P245</f>
        <v>310</v>
      </c>
      <c r="G247" s="17">
        <f>'Raw Data'!Q245</f>
        <v>1151</v>
      </c>
      <c r="H247" s="18">
        <f>INDEX('Industry Stats'!$F$2:$F$49,MATCH($C247,'Industry Stats'!$A$2:$A$49,0))</f>
        <v>1012.3703703703703</v>
      </c>
      <c r="I247" s="19">
        <f t="shared" si="33"/>
        <v>138.62962962962968</v>
      </c>
      <c r="J247" s="20">
        <f t="shared" si="34"/>
        <v>0.13693568449550017</v>
      </c>
      <c r="K247" s="18">
        <f>INDEX('Industry Stats'!$C$2:$C$49,MATCH($C247,'Industry Stats'!$A$2:$A$49,0))</f>
        <v>425.25925925925924</v>
      </c>
      <c r="L247" s="19">
        <f t="shared" si="35"/>
        <v>92.740740740740762</v>
      </c>
      <c r="M247" s="18">
        <f>INDEX('Industry Stats'!$D$2:$D$49,MATCH($C247,'Industry Stats'!$A$2:$A$49,0))</f>
        <v>295.66666666666669</v>
      </c>
      <c r="N247" s="19">
        <f t="shared" si="36"/>
        <v>27.333333333333314</v>
      </c>
      <c r="O247" s="18">
        <f>INDEX('Industry Stats'!$E$2:$E$49,MATCH($C247,'Industry Stats'!$A$2:$A$49,0))</f>
        <v>291.44444444444446</v>
      </c>
      <c r="P247" s="19">
        <f t="shared" si="37"/>
        <v>18.555555555555543</v>
      </c>
      <c r="R247">
        <f t="shared" si="38"/>
        <v>1151.0009752999999</v>
      </c>
      <c r="S247">
        <f t="shared" si="39"/>
        <v>518.00097530000005</v>
      </c>
      <c r="T247">
        <f t="shared" si="40"/>
        <v>323.00097529999999</v>
      </c>
      <c r="U247">
        <f t="shared" si="41"/>
        <v>310.00097529999999</v>
      </c>
      <c r="V247">
        <f t="shared" si="42"/>
        <v>138.63060492962967</v>
      </c>
      <c r="W247">
        <f t="shared" si="43"/>
        <v>-138.62865432962968</v>
      </c>
    </row>
    <row r="248" spans="1:23" ht="15" customHeight="1" x14ac:dyDescent="0.35">
      <c r="A248" t="str">
        <f>'Raw Data'!B246</f>
        <v>Allstate Corp</v>
      </c>
      <c r="B248" t="str">
        <f>'Raw Data'!A246</f>
        <v>all</v>
      </c>
      <c r="C248" t="str">
        <f>IF('Raw Data'!E246="N/A","Unclassified",TRIM(SUBSTITUTE('Raw Data'!E246," and "," &amp; ")))</f>
        <v>Insurance</v>
      </c>
      <c r="D248" s="17">
        <f>'Raw Data'!N246</f>
        <v>530</v>
      </c>
      <c r="E248" s="17">
        <f>'Raw Data'!O246</f>
        <v>300</v>
      </c>
      <c r="F248" s="17">
        <f>'Raw Data'!P246</f>
        <v>220</v>
      </c>
      <c r="G248" s="17">
        <f>'Raw Data'!Q246</f>
        <v>1050</v>
      </c>
      <c r="H248" s="18">
        <f>INDEX('Industry Stats'!$F$2:$F$49,MATCH($C248,'Industry Stats'!$A$2:$A$49,0))</f>
        <v>1012.3703703703703</v>
      </c>
      <c r="I248" s="19">
        <f t="shared" si="33"/>
        <v>37.629629629629676</v>
      </c>
      <c r="J248" s="20">
        <f t="shared" si="34"/>
        <v>3.7169825126216478E-2</v>
      </c>
      <c r="K248" s="18">
        <f>INDEX('Industry Stats'!$C$2:$C$49,MATCH($C248,'Industry Stats'!$A$2:$A$49,0))</f>
        <v>425.25925925925924</v>
      </c>
      <c r="L248" s="19">
        <f t="shared" si="35"/>
        <v>104.74074074074076</v>
      </c>
      <c r="M248" s="18">
        <f>INDEX('Industry Stats'!$D$2:$D$49,MATCH($C248,'Industry Stats'!$A$2:$A$49,0))</f>
        <v>295.66666666666669</v>
      </c>
      <c r="N248" s="19">
        <f t="shared" si="36"/>
        <v>4.3333333333333144</v>
      </c>
      <c r="O248" s="18">
        <f>INDEX('Industry Stats'!$E$2:$E$49,MATCH($C248,'Industry Stats'!$A$2:$A$49,0))</f>
        <v>291.44444444444446</v>
      </c>
      <c r="P248" s="19">
        <f t="shared" si="37"/>
        <v>-71.444444444444457</v>
      </c>
      <c r="R248">
        <f t="shared" si="38"/>
        <v>1050.0009752000001</v>
      </c>
      <c r="S248">
        <f t="shared" si="39"/>
        <v>530.00097519999997</v>
      </c>
      <c r="T248">
        <f t="shared" si="40"/>
        <v>300.00097520000003</v>
      </c>
      <c r="U248">
        <f t="shared" si="41"/>
        <v>220.0009752</v>
      </c>
      <c r="V248">
        <f t="shared" si="42"/>
        <v>37.630604829629675</v>
      </c>
      <c r="W248">
        <f t="shared" si="43"/>
        <v>-37.628654429629677</v>
      </c>
    </row>
    <row r="249" spans="1:23" ht="15" customHeight="1" x14ac:dyDescent="0.35">
      <c r="A249" t="str">
        <f>'Raw Data'!B247</f>
        <v>Allegion PLC</v>
      </c>
      <c r="B249" t="str">
        <f>'Raw Data'!A247</f>
        <v>alle</v>
      </c>
      <c r="C249" t="str">
        <f>IF('Raw Data'!E247="N/A","Unclassified",TRIM(SUBSTITUTE('Raw Data'!E247," and "," &amp; ")))</f>
        <v>Building</v>
      </c>
      <c r="D249" s="17">
        <f>'Raw Data'!N247</f>
        <v>542</v>
      </c>
      <c r="E249" s="17">
        <f>'Raw Data'!O247</f>
        <v>322</v>
      </c>
      <c r="F249" s="17">
        <f>'Raw Data'!P247</f>
        <v>315</v>
      </c>
      <c r="G249" s="17">
        <f>'Raw Data'!Q247</f>
        <v>1179</v>
      </c>
      <c r="H249" s="18">
        <f>INDEX('Industry Stats'!$F$2:$F$49,MATCH($C249,'Industry Stats'!$A$2:$A$49,0))</f>
        <v>1074.2</v>
      </c>
      <c r="I249" s="19">
        <f t="shared" si="33"/>
        <v>104.79999999999995</v>
      </c>
      <c r="J249" s="20">
        <f t="shared" si="34"/>
        <v>9.7560975609756045E-2</v>
      </c>
      <c r="K249" s="18">
        <f>INDEX('Industry Stats'!$C$2:$C$49,MATCH($C249,'Industry Stats'!$A$2:$A$49,0))</f>
        <v>476.7</v>
      </c>
      <c r="L249" s="19">
        <f t="shared" si="35"/>
        <v>65.300000000000011</v>
      </c>
      <c r="M249" s="18">
        <f>INDEX('Industry Stats'!$D$2:$D$49,MATCH($C249,'Industry Stats'!$A$2:$A$49,0))</f>
        <v>305.10000000000002</v>
      </c>
      <c r="N249" s="19">
        <f t="shared" si="36"/>
        <v>16.899999999999977</v>
      </c>
      <c r="O249" s="18">
        <f>INDEX('Industry Stats'!$E$2:$E$49,MATCH($C249,'Industry Stats'!$A$2:$A$49,0))</f>
        <v>292.39999999999998</v>
      </c>
      <c r="P249" s="19">
        <f t="shared" si="37"/>
        <v>22.600000000000023</v>
      </c>
      <c r="R249">
        <f t="shared" si="38"/>
        <v>1179.0009751</v>
      </c>
      <c r="S249">
        <f t="shared" si="39"/>
        <v>542.00097510000001</v>
      </c>
      <c r="T249">
        <f t="shared" si="40"/>
        <v>322.00097510000001</v>
      </c>
      <c r="U249">
        <f t="shared" si="41"/>
        <v>315.00097510000001</v>
      </c>
      <c r="V249">
        <f t="shared" si="42"/>
        <v>104.80097509999996</v>
      </c>
      <c r="W249">
        <f t="shared" si="43"/>
        <v>-104.79902489999995</v>
      </c>
    </row>
    <row r="250" spans="1:23" ht="15" customHeight="1" x14ac:dyDescent="0.35">
      <c r="A250" t="str">
        <f>'Raw Data'!B248</f>
        <v>Ameriprise Financial Inc</v>
      </c>
      <c r="B250" t="str">
        <f>'Raw Data'!A248</f>
        <v>amp</v>
      </c>
      <c r="C250" t="str">
        <f>IF('Raw Data'!E248="N/A","Unclassified",TRIM(SUBSTITUTE('Raw Data'!E248," and "," &amp; ")))</f>
        <v>Financial Services</v>
      </c>
      <c r="D250" s="17">
        <f>'Raw Data'!N248</f>
        <v>396</v>
      </c>
      <c r="E250" s="17">
        <f>'Raw Data'!O248</f>
        <v>308</v>
      </c>
      <c r="F250" s="17">
        <f>'Raw Data'!P248</f>
        <v>267</v>
      </c>
      <c r="G250" s="17">
        <f>'Raw Data'!Q248</f>
        <v>971</v>
      </c>
      <c r="H250" s="18">
        <f>INDEX('Industry Stats'!$F$2:$F$49,MATCH($C250,'Industry Stats'!$A$2:$A$49,0))</f>
        <v>909.33333333333337</v>
      </c>
      <c r="I250" s="19">
        <f t="shared" si="33"/>
        <v>61.666666666666629</v>
      </c>
      <c r="J250" s="20">
        <f t="shared" si="34"/>
        <v>6.7815249266862124E-2</v>
      </c>
      <c r="K250" s="18">
        <f>INDEX('Industry Stats'!$C$2:$C$49,MATCH($C250,'Industry Stats'!$A$2:$A$49,0))</f>
        <v>367.63636363636363</v>
      </c>
      <c r="L250" s="19">
        <f t="shared" si="35"/>
        <v>28.363636363636374</v>
      </c>
      <c r="M250" s="18">
        <f>INDEX('Industry Stats'!$D$2:$D$49,MATCH($C250,'Industry Stats'!$A$2:$A$49,0))</f>
        <v>276.45454545454544</v>
      </c>
      <c r="N250" s="19">
        <f t="shared" si="36"/>
        <v>31.545454545454561</v>
      </c>
      <c r="O250" s="18">
        <f>INDEX('Industry Stats'!$E$2:$E$49,MATCH($C250,'Industry Stats'!$A$2:$A$49,0))</f>
        <v>265.24242424242425</v>
      </c>
      <c r="P250" s="19">
        <f t="shared" si="37"/>
        <v>1.7575757575757507</v>
      </c>
      <c r="R250">
        <f t="shared" si="38"/>
        <v>971.00097500000004</v>
      </c>
      <c r="S250">
        <f t="shared" si="39"/>
        <v>396.00097499999998</v>
      </c>
      <c r="T250">
        <f t="shared" si="40"/>
        <v>308.00097499999998</v>
      </c>
      <c r="U250">
        <f t="shared" si="41"/>
        <v>267.00097499999998</v>
      </c>
      <c r="V250">
        <f t="shared" si="42"/>
        <v>61.667641666666626</v>
      </c>
      <c r="W250">
        <f t="shared" si="43"/>
        <v>-61.665691666666632</v>
      </c>
    </row>
    <row r="251" spans="1:23" ht="15" customHeight="1" x14ac:dyDescent="0.35">
      <c r="A251" t="str">
        <f>'Raw Data'!B249</f>
        <v>AMETEK Inc</v>
      </c>
      <c r="B251" t="str">
        <f>'Raw Data'!A249</f>
        <v>ame</v>
      </c>
      <c r="C251" t="str">
        <f>IF('Raw Data'!E249="N/A","Unclassified",TRIM(SUBSTITUTE('Raw Data'!E249," and "," &amp; ")))</f>
        <v>Electrical Equipment</v>
      </c>
      <c r="D251" s="17">
        <f>'Raw Data'!N249</f>
        <v>540</v>
      </c>
      <c r="E251" s="17">
        <f>'Raw Data'!O249</f>
        <v>329</v>
      </c>
      <c r="F251" s="17">
        <f>'Raw Data'!P249</f>
        <v>270</v>
      </c>
      <c r="G251" s="17">
        <f>'Raw Data'!Q249</f>
        <v>1139</v>
      </c>
      <c r="H251" s="18">
        <f>INDEX('Industry Stats'!$F$2:$F$49,MATCH($C251,'Industry Stats'!$A$2:$A$49,0))</f>
        <v>933</v>
      </c>
      <c r="I251" s="19">
        <f t="shared" si="33"/>
        <v>206</v>
      </c>
      <c r="J251" s="20">
        <f t="shared" si="34"/>
        <v>0.22079314040728831</v>
      </c>
      <c r="K251" s="18">
        <f>INDEX('Industry Stats'!$C$2:$C$49,MATCH($C251,'Industry Stats'!$A$2:$A$49,0))</f>
        <v>381.7037037037037</v>
      </c>
      <c r="L251" s="19">
        <f t="shared" si="35"/>
        <v>158.2962962962963</v>
      </c>
      <c r="M251" s="18">
        <f>INDEX('Industry Stats'!$D$2:$D$49,MATCH($C251,'Industry Stats'!$A$2:$A$49,0))</f>
        <v>272.11111111111109</v>
      </c>
      <c r="N251" s="19">
        <f t="shared" si="36"/>
        <v>56.888888888888914</v>
      </c>
      <c r="O251" s="18">
        <f>INDEX('Industry Stats'!$E$2:$E$49,MATCH($C251,'Industry Stats'!$A$2:$A$49,0))</f>
        <v>279.18518518518516</v>
      </c>
      <c r="P251" s="19">
        <f t="shared" si="37"/>
        <v>-9.185185185185162</v>
      </c>
      <c r="R251">
        <f t="shared" si="38"/>
        <v>1139.0009749000001</v>
      </c>
      <c r="S251">
        <f t="shared" si="39"/>
        <v>540.00097489999996</v>
      </c>
      <c r="T251">
        <f t="shared" si="40"/>
        <v>329.00097490000002</v>
      </c>
      <c r="U251">
        <f t="shared" si="41"/>
        <v>270.00097490000002</v>
      </c>
      <c r="V251">
        <f t="shared" si="42"/>
        <v>206.00097489999999</v>
      </c>
      <c r="W251">
        <f t="shared" si="43"/>
        <v>-205.99902510000001</v>
      </c>
    </row>
    <row r="252" spans="1:23" ht="15" customHeight="1" x14ac:dyDescent="0.35">
      <c r="A252" t="str">
        <f>'Raw Data'!B250</f>
        <v>American Tower Corp</v>
      </c>
      <c r="B252" t="str">
        <f>'Raw Data'!A250</f>
        <v>amt</v>
      </c>
      <c r="C252" t="str">
        <f>IF('Raw Data'!E250="N/A","Unclassified",TRIM(SUBSTITUTE('Raw Data'!E250," and "," &amp; ")))</f>
        <v>Real Estate</v>
      </c>
      <c r="D252" s="17">
        <f>'Raw Data'!N250</f>
        <v>530</v>
      </c>
      <c r="E252" s="17">
        <f>'Raw Data'!O250</f>
        <v>333</v>
      </c>
      <c r="F252" s="17">
        <f>'Raw Data'!P250</f>
        <v>305</v>
      </c>
      <c r="G252" s="17">
        <f>'Raw Data'!Q250</f>
        <v>1168</v>
      </c>
      <c r="H252" s="18">
        <f>INDEX('Industry Stats'!$F$2:$F$49,MATCH($C252,'Industry Stats'!$A$2:$A$49,0))</f>
        <v>995.94444444444446</v>
      </c>
      <c r="I252" s="19">
        <f t="shared" si="33"/>
        <v>172.05555555555554</v>
      </c>
      <c r="J252" s="20">
        <f t="shared" si="34"/>
        <v>0.17275617783231995</v>
      </c>
      <c r="K252" s="18">
        <f>INDEX('Industry Stats'!$C$2:$C$49,MATCH($C252,'Industry Stats'!$A$2:$A$49,0))</f>
        <v>431.38888888888891</v>
      </c>
      <c r="L252" s="19">
        <f t="shared" si="35"/>
        <v>98.611111111111086</v>
      </c>
      <c r="M252" s="18">
        <f>INDEX('Industry Stats'!$D$2:$D$49,MATCH($C252,'Industry Stats'!$A$2:$A$49,0))</f>
        <v>290.91666666666669</v>
      </c>
      <c r="N252" s="19">
        <f t="shared" si="36"/>
        <v>42.083333333333314</v>
      </c>
      <c r="O252" s="18">
        <f>INDEX('Industry Stats'!$E$2:$E$49,MATCH($C252,'Industry Stats'!$A$2:$A$49,0))</f>
        <v>273.63888888888891</v>
      </c>
      <c r="P252" s="19">
        <f t="shared" si="37"/>
        <v>31.361111111111086</v>
      </c>
      <c r="R252">
        <f t="shared" si="38"/>
        <v>1168.0009748</v>
      </c>
      <c r="S252">
        <f t="shared" si="39"/>
        <v>530.00097479999999</v>
      </c>
      <c r="T252">
        <f t="shared" si="40"/>
        <v>333.00097479999999</v>
      </c>
      <c r="U252">
        <f t="shared" si="41"/>
        <v>305.00097479999999</v>
      </c>
      <c r="V252">
        <f t="shared" si="42"/>
        <v>172.05653035555554</v>
      </c>
      <c r="W252">
        <f t="shared" si="43"/>
        <v>-172.05458075555555</v>
      </c>
    </row>
    <row r="253" spans="1:23" ht="15" customHeight="1" x14ac:dyDescent="0.35">
      <c r="A253" t="str">
        <f>'Raw Data'!B251</f>
        <v>A O Smith Corp</v>
      </c>
      <c r="B253" t="str">
        <f>'Raw Data'!A251</f>
        <v>aos</v>
      </c>
      <c r="C253" t="str">
        <f>IF('Raw Data'!E251="N/A","Unclassified",TRIM(SUBSTITUTE('Raw Data'!E251," and "," &amp; ")))</f>
        <v>Building</v>
      </c>
      <c r="D253" s="17">
        <f>'Raw Data'!N251</f>
        <v>510</v>
      </c>
      <c r="E253" s="17">
        <f>'Raw Data'!O251</f>
        <v>315</v>
      </c>
      <c r="F253" s="17">
        <f>'Raw Data'!P251</f>
        <v>310</v>
      </c>
      <c r="G253" s="17">
        <f>'Raw Data'!Q251</f>
        <v>1135</v>
      </c>
      <c r="H253" s="18">
        <f>INDEX('Industry Stats'!$F$2:$F$49,MATCH($C253,'Industry Stats'!$A$2:$A$49,0))</f>
        <v>1074.2</v>
      </c>
      <c r="I253" s="19">
        <f t="shared" si="33"/>
        <v>60.799999999999955</v>
      </c>
      <c r="J253" s="20">
        <f t="shared" si="34"/>
        <v>5.6600260659095097E-2</v>
      </c>
      <c r="K253" s="18">
        <f>INDEX('Industry Stats'!$C$2:$C$49,MATCH($C253,'Industry Stats'!$A$2:$A$49,0))</f>
        <v>476.7</v>
      </c>
      <c r="L253" s="19">
        <f t="shared" si="35"/>
        <v>33.300000000000011</v>
      </c>
      <c r="M253" s="18">
        <f>INDEX('Industry Stats'!$D$2:$D$49,MATCH($C253,'Industry Stats'!$A$2:$A$49,0))</f>
        <v>305.10000000000002</v>
      </c>
      <c r="N253" s="19">
        <f t="shared" si="36"/>
        <v>9.8999999999999773</v>
      </c>
      <c r="O253" s="18">
        <f>INDEX('Industry Stats'!$E$2:$E$49,MATCH($C253,'Industry Stats'!$A$2:$A$49,0))</f>
        <v>292.39999999999998</v>
      </c>
      <c r="P253" s="19">
        <f t="shared" si="37"/>
        <v>17.600000000000023</v>
      </c>
      <c r="R253">
        <f t="shared" si="38"/>
        <v>1135.0009746999999</v>
      </c>
      <c r="S253">
        <f t="shared" si="39"/>
        <v>510.00097469999997</v>
      </c>
      <c r="T253">
        <f t="shared" si="40"/>
        <v>315.00097469999997</v>
      </c>
      <c r="U253">
        <f t="shared" si="41"/>
        <v>310.00097469999997</v>
      </c>
      <c r="V253">
        <f t="shared" si="42"/>
        <v>60.800974699999955</v>
      </c>
      <c r="W253">
        <f t="shared" si="43"/>
        <v>-60.799025299999954</v>
      </c>
    </row>
    <row r="254" spans="1:23" ht="15" customHeight="1" x14ac:dyDescent="0.35">
      <c r="A254" t="str">
        <f>'Raw Data'!B252</f>
        <v>Air Products and Chemicals Inc</v>
      </c>
      <c r="B254" t="str">
        <f>'Raw Data'!A252</f>
        <v>apd</v>
      </c>
      <c r="C254" t="str">
        <f>IF('Raw Data'!E252="N/A","Unclassified",TRIM(SUBSTITUTE('Raw Data'!E252," and "," &amp; ")))</f>
        <v>Chemicals</v>
      </c>
      <c r="D254" s="17">
        <f>'Raw Data'!N252</f>
        <v>700</v>
      </c>
      <c r="E254" s="17">
        <f>'Raw Data'!O252</f>
        <v>442</v>
      </c>
      <c r="F254" s="17">
        <f>'Raw Data'!P252</f>
        <v>300</v>
      </c>
      <c r="G254" s="17">
        <f>'Raw Data'!Q252</f>
        <v>1442</v>
      </c>
      <c r="H254" s="18">
        <f>INDEX('Industry Stats'!$F$2:$F$49,MATCH($C254,'Industry Stats'!$A$2:$A$49,0))</f>
        <v>1058.8947368421052</v>
      </c>
      <c r="I254" s="19">
        <f t="shared" si="33"/>
        <v>383.1052631578948</v>
      </c>
      <c r="J254" s="20">
        <f t="shared" si="34"/>
        <v>0.3617973060291268</v>
      </c>
      <c r="K254" s="18">
        <f>INDEX('Industry Stats'!$C$2:$C$49,MATCH($C254,'Industry Stats'!$A$2:$A$49,0))</f>
        <v>463.73684210526318</v>
      </c>
      <c r="L254" s="19">
        <f t="shared" si="35"/>
        <v>236.26315789473682</v>
      </c>
      <c r="M254" s="18">
        <f>INDEX('Industry Stats'!$D$2:$D$49,MATCH($C254,'Industry Stats'!$A$2:$A$49,0))</f>
        <v>304.36842105263156</v>
      </c>
      <c r="N254" s="19">
        <f t="shared" si="36"/>
        <v>137.63157894736844</v>
      </c>
      <c r="O254" s="18">
        <f>INDEX('Industry Stats'!$E$2:$E$49,MATCH($C254,'Industry Stats'!$A$2:$A$49,0))</f>
        <v>290.78947368421052</v>
      </c>
      <c r="P254" s="19">
        <f t="shared" si="37"/>
        <v>9.2105263157894797</v>
      </c>
      <c r="R254">
        <f t="shared" si="38"/>
        <v>1442.0009746000001</v>
      </c>
      <c r="S254">
        <f t="shared" si="39"/>
        <v>700.00097459999995</v>
      </c>
      <c r="T254">
        <f t="shared" si="40"/>
        <v>442.00097460000001</v>
      </c>
      <c r="U254">
        <f t="shared" si="41"/>
        <v>300.00097460000001</v>
      </c>
      <c r="V254">
        <f t="shared" si="42"/>
        <v>383.1062377578948</v>
      </c>
      <c r="W254">
        <f t="shared" si="43"/>
        <v>-383.10428855789479</v>
      </c>
    </row>
    <row r="255" spans="1:23" ht="15" customHeight="1" x14ac:dyDescent="0.35">
      <c r="A255" t="str">
        <f>'Raw Data'!B253</f>
        <v>Aon PLC</v>
      </c>
      <c r="B255" t="str">
        <f>'Raw Data'!A253</f>
        <v>aon</v>
      </c>
      <c r="C255" t="str">
        <f>IF('Raw Data'!E253="N/A","Unclassified",TRIM(SUBSTITUTE('Raw Data'!E253," and "," &amp; ")))</f>
        <v>Insurance</v>
      </c>
      <c r="D255" s="17">
        <f>'Raw Data'!N253</f>
        <v>485</v>
      </c>
      <c r="E255" s="17">
        <f>'Raw Data'!O253</f>
        <v>304</v>
      </c>
      <c r="F255" s="17">
        <f>'Raw Data'!P253</f>
        <v>288</v>
      </c>
      <c r="G255" s="17">
        <f>'Raw Data'!Q253</f>
        <v>1077</v>
      </c>
      <c r="H255" s="18">
        <f>INDEX('Industry Stats'!$F$2:$F$49,MATCH($C255,'Industry Stats'!$A$2:$A$49,0))</f>
        <v>1012.3703703703703</v>
      </c>
      <c r="I255" s="19">
        <f t="shared" si="33"/>
        <v>64.629629629629676</v>
      </c>
      <c r="J255" s="20">
        <f t="shared" si="34"/>
        <v>6.3839906343747768E-2</v>
      </c>
      <c r="K255" s="18">
        <f>INDEX('Industry Stats'!$C$2:$C$49,MATCH($C255,'Industry Stats'!$A$2:$A$49,0))</f>
        <v>425.25925925925924</v>
      </c>
      <c r="L255" s="19">
        <f t="shared" si="35"/>
        <v>59.740740740740762</v>
      </c>
      <c r="M255" s="18">
        <f>INDEX('Industry Stats'!$D$2:$D$49,MATCH($C255,'Industry Stats'!$A$2:$A$49,0))</f>
        <v>295.66666666666669</v>
      </c>
      <c r="N255" s="19">
        <f t="shared" si="36"/>
        <v>8.3333333333333144</v>
      </c>
      <c r="O255" s="18">
        <f>INDEX('Industry Stats'!$E$2:$E$49,MATCH($C255,'Industry Stats'!$A$2:$A$49,0))</f>
        <v>291.44444444444446</v>
      </c>
      <c r="P255" s="19">
        <f t="shared" si="37"/>
        <v>-3.4444444444444571</v>
      </c>
      <c r="R255">
        <f t="shared" si="38"/>
        <v>1077.0009745</v>
      </c>
      <c r="S255">
        <f t="shared" si="39"/>
        <v>485.00097449999998</v>
      </c>
      <c r="T255">
        <f t="shared" si="40"/>
        <v>304.00097449999998</v>
      </c>
      <c r="U255">
        <f t="shared" si="41"/>
        <v>288.00097449999998</v>
      </c>
      <c r="V255">
        <f t="shared" si="42"/>
        <v>64.630604129629674</v>
      </c>
      <c r="W255">
        <f t="shared" si="43"/>
        <v>-64.628655129629678</v>
      </c>
    </row>
    <row r="256" spans="1:23" ht="15" customHeight="1" x14ac:dyDescent="0.35">
      <c r="A256" t="str">
        <f>'Raw Data'!B254</f>
        <v>Arista Networks Inc</v>
      </c>
      <c r="B256" t="str">
        <f>'Raw Data'!A254</f>
        <v>anet</v>
      </c>
      <c r="C256" t="str">
        <f>IF('Raw Data'!E254="N/A","Unclassified",TRIM(SUBSTITUTE('Raw Data'!E254," and "," &amp; ")))</f>
        <v>Communications</v>
      </c>
      <c r="D256" s="17">
        <f>'Raw Data'!N254</f>
        <v>444</v>
      </c>
      <c r="E256" s="17">
        <f>'Raw Data'!O254</f>
        <v>310</v>
      </c>
      <c r="F256" s="17">
        <f>'Raw Data'!P254</f>
        <v>295</v>
      </c>
      <c r="G256" s="17">
        <f>'Raw Data'!Q254</f>
        <v>1049</v>
      </c>
      <c r="H256" s="18">
        <f>INDEX('Industry Stats'!$F$2:$F$49,MATCH($C256,'Industry Stats'!$A$2:$A$49,0))</f>
        <v>938.22222222222217</v>
      </c>
      <c r="I256" s="19">
        <f t="shared" si="33"/>
        <v>110.77777777777783</v>
      </c>
      <c r="J256" s="20">
        <f t="shared" si="34"/>
        <v>0.1180720037896732</v>
      </c>
      <c r="K256" s="18">
        <f>INDEX('Industry Stats'!$C$2:$C$49,MATCH($C256,'Industry Stats'!$A$2:$A$49,0))</f>
        <v>385</v>
      </c>
      <c r="L256" s="19">
        <f t="shared" si="35"/>
        <v>59</v>
      </c>
      <c r="M256" s="18">
        <f>INDEX('Industry Stats'!$D$2:$D$49,MATCH($C256,'Industry Stats'!$A$2:$A$49,0))</f>
        <v>278.77777777777777</v>
      </c>
      <c r="N256" s="19">
        <f t="shared" si="36"/>
        <v>31.222222222222229</v>
      </c>
      <c r="O256" s="18">
        <f>INDEX('Industry Stats'!$E$2:$E$49,MATCH($C256,'Industry Stats'!$A$2:$A$49,0))</f>
        <v>274.44444444444446</v>
      </c>
      <c r="P256" s="19">
        <f t="shared" si="37"/>
        <v>20.555555555555543</v>
      </c>
      <c r="R256">
        <f t="shared" si="38"/>
        <v>1049.0009743999999</v>
      </c>
      <c r="S256">
        <f t="shared" si="39"/>
        <v>444.00097440000002</v>
      </c>
      <c r="T256">
        <f t="shared" si="40"/>
        <v>310.00097440000002</v>
      </c>
      <c r="U256">
        <f t="shared" si="41"/>
        <v>295.00097440000002</v>
      </c>
      <c r="V256">
        <f t="shared" si="42"/>
        <v>110.77875217777783</v>
      </c>
      <c r="W256">
        <f t="shared" si="43"/>
        <v>-110.77680337777782</v>
      </c>
    </row>
    <row r="257" spans="1:23" ht="15" customHeight="1" x14ac:dyDescent="0.35">
      <c r="A257" t="str">
        <f>'Raw Data'!B255</f>
        <v>Amphenol Corp</v>
      </c>
      <c r="B257" t="str">
        <f>'Raw Data'!A255</f>
        <v>aph</v>
      </c>
      <c r="C257" t="str">
        <f>IF('Raw Data'!E255="N/A","Unclassified",TRIM(SUBSTITUTE('Raw Data'!E255," and "," &amp; ")))</f>
        <v>Electrical Equipment</v>
      </c>
      <c r="D257" s="17">
        <f>'Raw Data'!N255</f>
        <v>512</v>
      </c>
      <c r="E257" s="17">
        <f>'Raw Data'!O255</f>
        <v>303</v>
      </c>
      <c r="F257" s="17">
        <f>'Raw Data'!P255</f>
        <v>475</v>
      </c>
      <c r="G257" s="17">
        <f>'Raw Data'!Q255</f>
        <v>1290</v>
      </c>
      <c r="H257" s="18">
        <f>INDEX('Industry Stats'!$F$2:$F$49,MATCH($C257,'Industry Stats'!$A$2:$A$49,0))</f>
        <v>933</v>
      </c>
      <c r="I257" s="19">
        <f t="shared" si="33"/>
        <v>357</v>
      </c>
      <c r="J257" s="20">
        <f t="shared" si="34"/>
        <v>0.38263665594855306</v>
      </c>
      <c r="K257" s="18">
        <f>INDEX('Industry Stats'!$C$2:$C$49,MATCH($C257,'Industry Stats'!$A$2:$A$49,0))</f>
        <v>381.7037037037037</v>
      </c>
      <c r="L257" s="19">
        <f t="shared" si="35"/>
        <v>130.2962962962963</v>
      </c>
      <c r="M257" s="18">
        <f>INDEX('Industry Stats'!$D$2:$D$49,MATCH($C257,'Industry Stats'!$A$2:$A$49,0))</f>
        <v>272.11111111111109</v>
      </c>
      <c r="N257" s="19">
        <f t="shared" si="36"/>
        <v>30.888888888888914</v>
      </c>
      <c r="O257" s="18">
        <f>INDEX('Industry Stats'!$E$2:$E$49,MATCH($C257,'Industry Stats'!$A$2:$A$49,0))</f>
        <v>279.18518518518516</v>
      </c>
      <c r="P257" s="19">
        <f t="shared" si="37"/>
        <v>195.81481481481484</v>
      </c>
      <c r="R257">
        <f t="shared" si="38"/>
        <v>1290.0009743000001</v>
      </c>
      <c r="S257">
        <f t="shared" si="39"/>
        <v>512.00097430000005</v>
      </c>
      <c r="T257">
        <f t="shared" si="40"/>
        <v>303.0009743</v>
      </c>
      <c r="U257">
        <f t="shared" si="41"/>
        <v>475.0009743</v>
      </c>
      <c r="V257">
        <f t="shared" si="42"/>
        <v>357.0009743</v>
      </c>
      <c r="W257">
        <f t="shared" si="43"/>
        <v>-356.9990257</v>
      </c>
    </row>
    <row r="258" spans="1:23" ht="15" customHeight="1" x14ac:dyDescent="0.35">
      <c r="A258" t="str">
        <f>'Raw Data'!B256</f>
        <v>Atmos Energy Corp</v>
      </c>
      <c r="B258" t="str">
        <f>'Raw Data'!A256</f>
        <v>ato</v>
      </c>
      <c r="C258" t="str">
        <f>IF('Raw Data'!E256="N/A","Unclassified",TRIM(SUBSTITUTE('Raw Data'!E256," and "," &amp; ")))</f>
        <v>Utilities</v>
      </c>
      <c r="D258" s="17">
        <f>'Raw Data'!N256</f>
        <v>572</v>
      </c>
      <c r="E258" s="17">
        <f>'Raw Data'!O256</f>
        <v>368</v>
      </c>
      <c r="F258" s="17">
        <f>'Raw Data'!P256</f>
        <v>315</v>
      </c>
      <c r="G258" s="17">
        <f>'Raw Data'!Q256</f>
        <v>1255</v>
      </c>
      <c r="H258" s="18">
        <f>INDEX('Industry Stats'!$F$2:$F$49,MATCH($C258,'Industry Stats'!$A$2:$A$49,0))</f>
        <v>1190.6333333333334</v>
      </c>
      <c r="I258" s="19">
        <f t="shared" si="33"/>
        <v>64.366666666666561</v>
      </c>
      <c r="J258" s="20">
        <f t="shared" si="34"/>
        <v>5.4060863965956399E-2</v>
      </c>
      <c r="K258" s="18">
        <f>INDEX('Industry Stats'!$C$2:$C$49,MATCH($C258,'Industry Stats'!$A$2:$A$49,0))</f>
        <v>550.9666666666667</v>
      </c>
      <c r="L258" s="19">
        <f t="shared" si="35"/>
        <v>21.033333333333303</v>
      </c>
      <c r="M258" s="18">
        <f>INDEX('Industry Stats'!$D$2:$D$49,MATCH($C258,'Industry Stats'!$A$2:$A$49,0))</f>
        <v>357.4</v>
      </c>
      <c r="N258" s="19">
        <f t="shared" si="36"/>
        <v>10.600000000000023</v>
      </c>
      <c r="O258" s="18">
        <f>INDEX('Industry Stats'!$E$2:$E$49,MATCH($C258,'Industry Stats'!$A$2:$A$49,0))</f>
        <v>282.26666666666665</v>
      </c>
      <c r="P258" s="19">
        <f t="shared" si="37"/>
        <v>32.733333333333348</v>
      </c>
      <c r="R258">
        <f t="shared" si="38"/>
        <v>1255.0009742</v>
      </c>
      <c r="S258">
        <f t="shared" si="39"/>
        <v>572.00097419999997</v>
      </c>
      <c r="T258">
        <f t="shared" si="40"/>
        <v>368.00097419999997</v>
      </c>
      <c r="U258">
        <f t="shared" si="41"/>
        <v>315.00097419999997</v>
      </c>
      <c r="V258">
        <f t="shared" si="42"/>
        <v>64.367640866666562</v>
      </c>
      <c r="W258">
        <f t="shared" si="43"/>
        <v>-64.365692466666559</v>
      </c>
    </row>
    <row r="259" spans="1:23" ht="15" customHeight="1" x14ac:dyDescent="0.35">
      <c r="A259" t="str">
        <f>'Raw Data'!B257</f>
        <v>American Water Works Company Inc</v>
      </c>
      <c r="B259" t="str">
        <f>'Raw Data'!A257</f>
        <v>awk</v>
      </c>
      <c r="C259" t="str">
        <f>IF('Raw Data'!E257="N/A","Unclassified",TRIM(SUBSTITUTE('Raw Data'!E257," and "," &amp; ")))</f>
        <v>Utilities</v>
      </c>
      <c r="D259" s="17">
        <f>'Raw Data'!N257</f>
        <v>653</v>
      </c>
      <c r="E259" s="17">
        <f>'Raw Data'!O257</f>
        <v>395</v>
      </c>
      <c r="F259" s="17">
        <f>'Raw Data'!P257</f>
        <v>300</v>
      </c>
      <c r="G259" s="17">
        <f>'Raw Data'!Q257</f>
        <v>1348</v>
      </c>
      <c r="H259" s="18">
        <f>INDEX('Industry Stats'!$F$2:$F$49,MATCH($C259,'Industry Stats'!$A$2:$A$49,0))</f>
        <v>1190.6333333333334</v>
      </c>
      <c r="I259" s="19">
        <f t="shared" si="33"/>
        <v>157.36666666666656</v>
      </c>
      <c r="J259" s="20">
        <f t="shared" si="34"/>
        <v>0.13217055348693962</v>
      </c>
      <c r="K259" s="18">
        <f>INDEX('Industry Stats'!$C$2:$C$49,MATCH($C259,'Industry Stats'!$A$2:$A$49,0))</f>
        <v>550.9666666666667</v>
      </c>
      <c r="L259" s="19">
        <f t="shared" si="35"/>
        <v>102.0333333333333</v>
      </c>
      <c r="M259" s="18">
        <f>INDEX('Industry Stats'!$D$2:$D$49,MATCH($C259,'Industry Stats'!$A$2:$A$49,0))</f>
        <v>357.4</v>
      </c>
      <c r="N259" s="19">
        <f t="shared" si="36"/>
        <v>37.600000000000023</v>
      </c>
      <c r="O259" s="18">
        <f>INDEX('Industry Stats'!$E$2:$E$49,MATCH($C259,'Industry Stats'!$A$2:$A$49,0))</f>
        <v>282.26666666666665</v>
      </c>
      <c r="P259" s="19">
        <f t="shared" si="37"/>
        <v>17.733333333333348</v>
      </c>
      <c r="R259">
        <f t="shared" si="38"/>
        <v>1348.0009740999999</v>
      </c>
      <c r="S259">
        <f t="shared" si="39"/>
        <v>653.00097410000001</v>
      </c>
      <c r="T259">
        <f t="shared" si="40"/>
        <v>395.00097410000001</v>
      </c>
      <c r="U259">
        <f t="shared" si="41"/>
        <v>300.00097410000001</v>
      </c>
      <c r="V259">
        <f t="shared" si="42"/>
        <v>157.36764076666657</v>
      </c>
      <c r="W259">
        <f t="shared" si="43"/>
        <v>-157.36569256666655</v>
      </c>
    </row>
    <row r="260" spans="1:23" ht="15" customHeight="1" x14ac:dyDescent="0.35">
      <c r="A260" t="str">
        <f>'Raw Data'!B258</f>
        <v>Alexandria Real Estate Equities Inc</v>
      </c>
      <c r="B260" t="str">
        <f>'Raw Data'!A258</f>
        <v>are</v>
      </c>
      <c r="C260" t="str">
        <f>IF('Raw Data'!E258="N/A","Unclassified",TRIM(SUBSTITUTE('Raw Data'!E258," and "," &amp; ")))</f>
        <v>Real Estate</v>
      </c>
      <c r="D260" s="17">
        <f>'Raw Data'!N258</f>
        <v>600</v>
      </c>
      <c r="E260" s="17">
        <f>'Raw Data'!O258</f>
        <v>337</v>
      </c>
      <c r="F260" s="17">
        <f>'Raw Data'!P258</f>
        <v>345</v>
      </c>
      <c r="G260" s="17">
        <f>'Raw Data'!Q258</f>
        <v>1282</v>
      </c>
      <c r="H260" s="18">
        <f>INDEX('Industry Stats'!$F$2:$F$49,MATCH($C260,'Industry Stats'!$A$2:$A$49,0))</f>
        <v>995.94444444444446</v>
      </c>
      <c r="I260" s="19">
        <f t="shared" ref="I260:I323" si="44">G260-H260</f>
        <v>286.05555555555554</v>
      </c>
      <c r="J260" s="20">
        <f t="shared" ref="J260:J323" si="45">I260/H260</f>
        <v>0.28722039381937858</v>
      </c>
      <c r="K260" s="18">
        <f>INDEX('Industry Stats'!$C$2:$C$49,MATCH($C260,'Industry Stats'!$A$2:$A$49,0))</f>
        <v>431.38888888888891</v>
      </c>
      <c r="L260" s="19">
        <f t="shared" ref="L260:L323" si="46">D260-K260</f>
        <v>168.61111111111109</v>
      </c>
      <c r="M260" s="18">
        <f>INDEX('Industry Stats'!$D$2:$D$49,MATCH($C260,'Industry Stats'!$A$2:$A$49,0))</f>
        <v>290.91666666666669</v>
      </c>
      <c r="N260" s="19">
        <f t="shared" ref="N260:N323" si="47">E260-M260</f>
        <v>46.083333333333314</v>
      </c>
      <c r="O260" s="18">
        <f>INDEX('Industry Stats'!$E$2:$E$49,MATCH($C260,'Industry Stats'!$A$2:$A$49,0))</f>
        <v>273.63888888888891</v>
      </c>
      <c r="P260" s="19">
        <f t="shared" ref="P260:P323" si="48">F260-O260</f>
        <v>71.361111111111086</v>
      </c>
      <c r="R260">
        <f t="shared" ref="R260:R323" si="49">G260+(10000-ROW())/10000000</f>
        <v>1282.000974</v>
      </c>
      <c r="S260">
        <f t="shared" ref="S260:S323" si="50">D260+(10000-ROW())/10000000</f>
        <v>600.00097400000004</v>
      </c>
      <c r="T260">
        <f t="shared" ref="T260:T323" si="51">E260+(10000-ROW())/10000000</f>
        <v>337.00097399999999</v>
      </c>
      <c r="U260">
        <f t="shared" ref="U260:U323" si="52">F260+(10000-ROW())/10000000</f>
        <v>345.00097399999999</v>
      </c>
      <c r="V260">
        <f t="shared" ref="V260:V323" si="53">I260+(10000-ROW())/10000000</f>
        <v>286.05652955555553</v>
      </c>
      <c r="W260">
        <f t="shared" ref="W260:W323" si="54">-I260+(10000-ROW())/10000000</f>
        <v>-286.05458155555556</v>
      </c>
    </row>
    <row r="261" spans="1:23" ht="15" customHeight="1" x14ac:dyDescent="0.35">
      <c r="A261" t="str">
        <f>'Raw Data'!B259</f>
        <v>Aptiv PLC</v>
      </c>
      <c r="B261" t="str">
        <f>'Raw Data'!A259</f>
        <v>aptv</v>
      </c>
      <c r="C261" t="str">
        <f>IF('Raw Data'!E259="N/A","Unclassified",TRIM(SUBSTITUTE('Raw Data'!E259," and "," &amp; ")))</f>
        <v>Auto Components</v>
      </c>
      <c r="D261" s="17">
        <f>'Raw Data'!N259</f>
        <v>555</v>
      </c>
      <c r="E261" s="17">
        <f>'Raw Data'!O259</f>
        <v>339</v>
      </c>
      <c r="F261" s="17">
        <f>'Raw Data'!P259</f>
        <v>310</v>
      </c>
      <c r="G261" s="17">
        <f>'Raw Data'!Q259</f>
        <v>1204</v>
      </c>
      <c r="H261" s="18">
        <f>INDEX('Industry Stats'!$F$2:$F$49,MATCH($C261,'Industry Stats'!$A$2:$A$49,0))</f>
        <v>833.33333333333337</v>
      </c>
      <c r="I261" s="19">
        <f t="shared" si="44"/>
        <v>370.66666666666663</v>
      </c>
      <c r="J261" s="20">
        <f t="shared" si="45"/>
        <v>0.44479999999999992</v>
      </c>
      <c r="K261" s="18">
        <f>INDEX('Industry Stats'!$C$2:$C$49,MATCH($C261,'Industry Stats'!$A$2:$A$49,0))</f>
        <v>338.33333333333331</v>
      </c>
      <c r="L261" s="19">
        <f t="shared" si="46"/>
        <v>216.66666666666669</v>
      </c>
      <c r="M261" s="18">
        <f>INDEX('Industry Stats'!$D$2:$D$49,MATCH($C261,'Industry Stats'!$A$2:$A$49,0))</f>
        <v>248.33333333333334</v>
      </c>
      <c r="N261" s="19">
        <f t="shared" si="47"/>
        <v>90.666666666666657</v>
      </c>
      <c r="O261" s="18">
        <f>INDEX('Industry Stats'!$E$2:$E$49,MATCH($C261,'Industry Stats'!$A$2:$A$49,0))</f>
        <v>246.66666666666666</v>
      </c>
      <c r="P261" s="19">
        <f t="shared" si="48"/>
        <v>63.333333333333343</v>
      </c>
      <c r="R261">
        <f t="shared" si="49"/>
        <v>1204.0009739</v>
      </c>
      <c r="S261">
        <f t="shared" si="50"/>
        <v>555.00097389999996</v>
      </c>
      <c r="T261">
        <f t="shared" si="51"/>
        <v>339.00097390000002</v>
      </c>
      <c r="U261">
        <f t="shared" si="52"/>
        <v>310.00097390000002</v>
      </c>
      <c r="V261">
        <f t="shared" si="53"/>
        <v>370.66764056666665</v>
      </c>
      <c r="W261">
        <f t="shared" si="54"/>
        <v>-370.66569276666661</v>
      </c>
    </row>
    <row r="262" spans="1:23" ht="15" customHeight="1" x14ac:dyDescent="0.35">
      <c r="A262" t="str">
        <f>'Raw Data'!B260</f>
        <v>Avalonbay Communities Inc</v>
      </c>
      <c r="B262" t="str">
        <f>'Raw Data'!A260</f>
        <v>avb</v>
      </c>
      <c r="C262" t="str">
        <f>IF('Raw Data'!E260="N/A","Unclassified",TRIM(SUBSTITUTE('Raw Data'!E260," and "," &amp; ")))</f>
        <v>Real Estate</v>
      </c>
      <c r="D262" s="17">
        <f>'Raw Data'!N260</f>
        <v>500</v>
      </c>
      <c r="E262" s="17">
        <f>'Raw Data'!O260</f>
        <v>300</v>
      </c>
      <c r="F262" s="17">
        <f>'Raw Data'!P260</f>
        <v>298</v>
      </c>
      <c r="G262" s="17">
        <f>'Raw Data'!Q260</f>
        <v>1098</v>
      </c>
      <c r="H262" s="18">
        <f>INDEX('Industry Stats'!$F$2:$F$49,MATCH($C262,'Industry Stats'!$A$2:$A$49,0))</f>
        <v>995.94444444444446</v>
      </c>
      <c r="I262" s="19">
        <f t="shared" si="44"/>
        <v>102.05555555555554</v>
      </c>
      <c r="J262" s="20">
        <f t="shared" si="45"/>
        <v>0.10247113292798571</v>
      </c>
      <c r="K262" s="18">
        <f>INDEX('Industry Stats'!$C$2:$C$49,MATCH($C262,'Industry Stats'!$A$2:$A$49,0))</f>
        <v>431.38888888888891</v>
      </c>
      <c r="L262" s="19">
        <f t="shared" si="46"/>
        <v>68.611111111111086</v>
      </c>
      <c r="M262" s="18">
        <f>INDEX('Industry Stats'!$D$2:$D$49,MATCH($C262,'Industry Stats'!$A$2:$A$49,0))</f>
        <v>290.91666666666669</v>
      </c>
      <c r="N262" s="19">
        <f t="shared" si="47"/>
        <v>9.0833333333333144</v>
      </c>
      <c r="O262" s="18">
        <f>INDEX('Industry Stats'!$E$2:$E$49,MATCH($C262,'Industry Stats'!$A$2:$A$49,0))</f>
        <v>273.63888888888891</v>
      </c>
      <c r="P262" s="19">
        <f t="shared" si="48"/>
        <v>24.361111111111086</v>
      </c>
      <c r="R262">
        <f t="shared" si="49"/>
        <v>1098.0009738000001</v>
      </c>
      <c r="S262">
        <f t="shared" si="50"/>
        <v>500.0009738</v>
      </c>
      <c r="T262">
        <f t="shared" si="51"/>
        <v>300.0009738</v>
      </c>
      <c r="U262">
        <f t="shared" si="52"/>
        <v>298.0009738</v>
      </c>
      <c r="V262">
        <f t="shared" si="53"/>
        <v>102.05652935555554</v>
      </c>
      <c r="W262">
        <f t="shared" si="54"/>
        <v>-102.05458175555555</v>
      </c>
    </row>
    <row r="263" spans="1:23" ht="15" customHeight="1" x14ac:dyDescent="0.35">
      <c r="A263" t="str">
        <f>'Raw Data'!B261</f>
        <v>Avery Dennison Corp</v>
      </c>
      <c r="B263" t="str">
        <f>'Raw Data'!A261</f>
        <v>avy</v>
      </c>
      <c r="C263" t="str">
        <f>IF('Raw Data'!E261="N/A","Unclassified",TRIM(SUBSTITUTE('Raw Data'!E261," and "," &amp; ")))</f>
        <v>Packaging</v>
      </c>
      <c r="D263" s="17">
        <f>'Raw Data'!N261</f>
        <v>535</v>
      </c>
      <c r="E263" s="17">
        <f>'Raw Data'!O261</f>
        <v>347</v>
      </c>
      <c r="F263" s="17">
        <f>'Raw Data'!P261</f>
        <v>325</v>
      </c>
      <c r="G263" s="17">
        <f>'Raw Data'!Q261</f>
        <v>1207</v>
      </c>
      <c r="H263" s="18">
        <f>INDEX('Industry Stats'!$F$2:$F$49,MATCH($C263,'Industry Stats'!$A$2:$A$49,0))</f>
        <v>1156</v>
      </c>
      <c r="I263" s="19">
        <f t="shared" si="44"/>
        <v>51</v>
      </c>
      <c r="J263" s="20">
        <f t="shared" si="45"/>
        <v>4.4117647058823532E-2</v>
      </c>
      <c r="K263" s="18">
        <f>INDEX('Industry Stats'!$C$2:$C$49,MATCH($C263,'Industry Stats'!$A$2:$A$49,0))</f>
        <v>536.25</v>
      </c>
      <c r="L263" s="19">
        <f t="shared" si="46"/>
        <v>-1.25</v>
      </c>
      <c r="M263" s="18">
        <f>INDEX('Industry Stats'!$D$2:$D$49,MATCH($C263,'Industry Stats'!$A$2:$A$49,0))</f>
        <v>323</v>
      </c>
      <c r="N263" s="19">
        <f t="shared" si="47"/>
        <v>24</v>
      </c>
      <c r="O263" s="18">
        <f>INDEX('Industry Stats'!$E$2:$E$49,MATCH($C263,'Industry Stats'!$A$2:$A$49,0))</f>
        <v>296.75</v>
      </c>
      <c r="P263" s="19">
        <f t="shared" si="48"/>
        <v>28.25</v>
      </c>
      <c r="R263">
        <f t="shared" si="49"/>
        <v>1207.0009737</v>
      </c>
      <c r="S263">
        <f t="shared" si="50"/>
        <v>535.00097370000003</v>
      </c>
      <c r="T263">
        <f t="shared" si="51"/>
        <v>347.00097369999997</v>
      </c>
      <c r="U263">
        <f t="shared" si="52"/>
        <v>325.00097369999997</v>
      </c>
      <c r="V263">
        <f t="shared" si="53"/>
        <v>51.000973700000003</v>
      </c>
      <c r="W263">
        <f t="shared" si="54"/>
        <v>-50.999026299999997</v>
      </c>
    </row>
    <row r="264" spans="1:23" ht="15" customHeight="1" x14ac:dyDescent="0.35">
      <c r="A264" t="str">
        <f>'Raw Data'!B262</f>
        <v>Boeing Co</v>
      </c>
      <c r="B264" t="str">
        <f>'Raw Data'!A262</f>
        <v>ba</v>
      </c>
      <c r="C264" t="str">
        <f>IF('Raw Data'!E262="N/A","Unclassified",TRIM(SUBSTITUTE('Raw Data'!E262," and "," &amp; ")))</f>
        <v>Aerospace &amp; Defense</v>
      </c>
      <c r="D264" s="17">
        <f>'Raw Data'!N262</f>
        <v>220</v>
      </c>
      <c r="E264" s="17">
        <f>'Raw Data'!O262</f>
        <v>224</v>
      </c>
      <c r="F264" s="17">
        <f>'Raw Data'!P262</f>
        <v>235</v>
      </c>
      <c r="G264" s="17">
        <f>'Raw Data'!Q262</f>
        <v>679</v>
      </c>
      <c r="H264" s="18">
        <f>INDEX('Industry Stats'!$F$2:$F$49,MATCH($C264,'Industry Stats'!$A$2:$A$49,0))</f>
        <v>1048.1818181818182</v>
      </c>
      <c r="I264" s="19">
        <f t="shared" si="44"/>
        <v>-369.18181818181824</v>
      </c>
      <c r="J264" s="20">
        <f t="shared" si="45"/>
        <v>-0.35221162185602778</v>
      </c>
      <c r="K264" s="18">
        <f>INDEX('Industry Stats'!$C$2:$C$49,MATCH($C264,'Industry Stats'!$A$2:$A$49,0))</f>
        <v>461.36363636363637</v>
      </c>
      <c r="L264" s="19">
        <f t="shared" si="46"/>
        <v>-241.36363636363637</v>
      </c>
      <c r="M264" s="18">
        <f>INDEX('Industry Stats'!$D$2:$D$49,MATCH($C264,'Industry Stats'!$A$2:$A$49,0))</f>
        <v>296.36363636363637</v>
      </c>
      <c r="N264" s="19">
        <f t="shared" si="47"/>
        <v>-72.363636363636374</v>
      </c>
      <c r="O264" s="18">
        <f>INDEX('Industry Stats'!$E$2:$E$49,MATCH($C264,'Industry Stats'!$A$2:$A$49,0))</f>
        <v>290.45454545454544</v>
      </c>
      <c r="P264" s="19">
        <f t="shared" si="48"/>
        <v>-55.454545454545439</v>
      </c>
      <c r="R264">
        <f t="shared" si="49"/>
        <v>679.00097359999995</v>
      </c>
      <c r="S264">
        <f t="shared" si="50"/>
        <v>220.00097360000001</v>
      </c>
      <c r="T264">
        <f t="shared" si="51"/>
        <v>224.00097360000001</v>
      </c>
      <c r="U264">
        <f t="shared" si="52"/>
        <v>235.00097360000001</v>
      </c>
      <c r="V264">
        <f t="shared" si="53"/>
        <v>-369.18084458181823</v>
      </c>
      <c r="W264">
        <f t="shared" si="54"/>
        <v>369.18279178181825</v>
      </c>
    </row>
    <row r="265" spans="1:23" ht="15" customHeight="1" x14ac:dyDescent="0.35">
      <c r="A265" t="str">
        <f>'Raw Data'!B263</f>
        <v>Bank of America Corp</v>
      </c>
      <c r="B265" t="str">
        <f>'Raw Data'!A263</f>
        <v>bac</v>
      </c>
      <c r="C265" t="str">
        <f>IF('Raw Data'!E263="N/A","Unclassified",TRIM(SUBSTITUTE('Raw Data'!E263," and "," &amp; ")))</f>
        <v>Banking</v>
      </c>
      <c r="D265" s="17">
        <f>'Raw Data'!N263</f>
        <v>220</v>
      </c>
      <c r="E265" s="17">
        <f>'Raw Data'!O263</f>
        <v>394</v>
      </c>
      <c r="F265" s="17">
        <f>'Raw Data'!P263</f>
        <v>265</v>
      </c>
      <c r="G265" s="17">
        <f>'Raw Data'!Q263</f>
        <v>879</v>
      </c>
      <c r="H265" s="18">
        <f>INDEX('Industry Stats'!$F$2:$F$49,MATCH($C265,'Industry Stats'!$A$2:$A$49,0))</f>
        <v>898.31034482758616</v>
      </c>
      <c r="I265" s="19">
        <f t="shared" si="44"/>
        <v>-19.310344827586164</v>
      </c>
      <c r="J265" s="20">
        <f t="shared" si="45"/>
        <v>-2.1496295727611178E-2</v>
      </c>
      <c r="K265" s="18">
        <f>INDEX('Industry Stats'!$C$2:$C$49,MATCH($C265,'Industry Stats'!$A$2:$A$49,0))</f>
        <v>341.48275862068965</v>
      </c>
      <c r="L265" s="19">
        <f t="shared" si="46"/>
        <v>-121.48275862068965</v>
      </c>
      <c r="M265" s="18">
        <f>INDEX('Industry Stats'!$D$2:$D$49,MATCH($C265,'Industry Stats'!$A$2:$A$49,0))</f>
        <v>292.34482758620692</v>
      </c>
      <c r="N265" s="19">
        <f t="shared" si="47"/>
        <v>101.65517241379308</v>
      </c>
      <c r="O265" s="18">
        <f>INDEX('Industry Stats'!$E$2:$E$49,MATCH($C265,'Industry Stats'!$A$2:$A$49,0))</f>
        <v>264.48275862068965</v>
      </c>
      <c r="P265" s="19">
        <f t="shared" si="48"/>
        <v>0.51724137931034875</v>
      </c>
      <c r="R265">
        <f t="shared" si="49"/>
        <v>879.00097349999999</v>
      </c>
      <c r="S265">
        <f t="shared" si="50"/>
        <v>220.00097349999999</v>
      </c>
      <c r="T265">
        <f t="shared" si="51"/>
        <v>394.00097349999999</v>
      </c>
      <c r="U265">
        <f t="shared" si="52"/>
        <v>265.00097349999999</v>
      </c>
      <c r="V265">
        <f t="shared" si="53"/>
        <v>-19.309371327586163</v>
      </c>
      <c r="W265">
        <f t="shared" si="54"/>
        <v>19.311318327586164</v>
      </c>
    </row>
    <row r="266" spans="1:23" ht="15" customHeight="1" x14ac:dyDescent="0.35">
      <c r="A266" t="str">
        <f>'Raw Data'!B264</f>
        <v>Baxter International Inc</v>
      </c>
      <c r="B266" t="str">
        <f>'Raw Data'!A264</f>
        <v>bax</v>
      </c>
      <c r="C266" t="str">
        <f>IF('Raw Data'!E264="N/A","Unclassified",TRIM(SUBSTITUTE('Raw Data'!E264," and "," &amp; ")))</f>
        <v>Health Care</v>
      </c>
      <c r="D266" s="17">
        <f>'Raw Data'!N264</f>
        <v>500</v>
      </c>
      <c r="E266" s="17">
        <f>'Raw Data'!O264</f>
        <v>316</v>
      </c>
      <c r="F266" s="17">
        <f>'Raw Data'!P264</f>
        <v>300</v>
      </c>
      <c r="G266" s="17">
        <f>'Raw Data'!Q264</f>
        <v>1116</v>
      </c>
      <c r="H266" s="18">
        <f>INDEX('Industry Stats'!$F$2:$F$49,MATCH($C266,'Industry Stats'!$A$2:$A$49,0))</f>
        <v>938.76470588235293</v>
      </c>
      <c r="I266" s="19">
        <f t="shared" si="44"/>
        <v>177.23529411764707</v>
      </c>
      <c r="J266" s="20">
        <f t="shared" si="45"/>
        <v>0.18879629049439189</v>
      </c>
      <c r="K266" s="18">
        <f>INDEX('Industry Stats'!$C$2:$C$49,MATCH($C266,'Industry Stats'!$A$2:$A$49,0))</f>
        <v>374.52941176470586</v>
      </c>
      <c r="L266" s="19">
        <f t="shared" si="46"/>
        <v>125.47058823529414</v>
      </c>
      <c r="M266" s="18">
        <f>INDEX('Industry Stats'!$D$2:$D$49,MATCH($C266,'Industry Stats'!$A$2:$A$49,0))</f>
        <v>287.43137254901961</v>
      </c>
      <c r="N266" s="19">
        <f t="shared" si="47"/>
        <v>28.568627450980387</v>
      </c>
      <c r="O266" s="18">
        <f>INDEX('Industry Stats'!$E$2:$E$49,MATCH($C266,'Industry Stats'!$A$2:$A$49,0))</f>
        <v>276.80392156862746</v>
      </c>
      <c r="P266" s="19">
        <f t="shared" si="48"/>
        <v>23.196078431372541</v>
      </c>
      <c r="R266">
        <f t="shared" si="49"/>
        <v>1116.0009734</v>
      </c>
      <c r="S266">
        <f t="shared" si="50"/>
        <v>500.00097340000002</v>
      </c>
      <c r="T266">
        <f t="shared" si="51"/>
        <v>316.00097340000002</v>
      </c>
      <c r="U266">
        <f t="shared" si="52"/>
        <v>300.00097340000002</v>
      </c>
      <c r="V266">
        <f t="shared" si="53"/>
        <v>177.23626751764706</v>
      </c>
      <c r="W266">
        <f t="shared" si="54"/>
        <v>-177.23432071764708</v>
      </c>
    </row>
    <row r="267" spans="1:23" ht="15" customHeight="1" x14ac:dyDescent="0.35">
      <c r="A267" t="str">
        <f>'Raw Data'!B265</f>
        <v>Bath &amp; Body Works Inc</v>
      </c>
      <c r="B267" t="str">
        <f>'Raw Data'!A265</f>
        <v>bbwi</v>
      </c>
      <c r="C267" t="str">
        <f>IF('Raw Data'!E265="N/A","Unclassified",TRIM(SUBSTITUTE('Raw Data'!E265," and "," &amp; ")))</f>
        <v>Retail</v>
      </c>
      <c r="D267" s="17">
        <f>'Raw Data'!N265</f>
        <v>525</v>
      </c>
      <c r="E267" s="17">
        <f>'Raw Data'!O265</f>
        <v>303</v>
      </c>
      <c r="F267" s="17">
        <f>'Raw Data'!P265</f>
        <v>300</v>
      </c>
      <c r="G267" s="17">
        <f>'Raw Data'!Q265</f>
        <v>1128</v>
      </c>
      <c r="H267" s="18">
        <f>INDEX('Industry Stats'!$F$2:$F$49,MATCH($C267,'Industry Stats'!$A$2:$A$49,0))</f>
        <v>918.57692307692309</v>
      </c>
      <c r="I267" s="19">
        <f t="shared" si="44"/>
        <v>209.42307692307691</v>
      </c>
      <c r="J267" s="20">
        <f t="shared" si="45"/>
        <v>0.22798643386509229</v>
      </c>
      <c r="K267" s="18">
        <f>INDEX('Industry Stats'!$C$2:$C$49,MATCH($C267,'Industry Stats'!$A$2:$A$49,0))</f>
        <v>380.30769230769232</v>
      </c>
      <c r="L267" s="19">
        <f t="shared" si="46"/>
        <v>144.69230769230768</v>
      </c>
      <c r="M267" s="18">
        <f>INDEX('Industry Stats'!$D$2:$D$49,MATCH($C267,'Industry Stats'!$A$2:$A$49,0))</f>
        <v>274.96153846153845</v>
      </c>
      <c r="N267" s="19">
        <f t="shared" si="47"/>
        <v>28.038461538461547</v>
      </c>
      <c r="O267" s="18">
        <f>INDEX('Industry Stats'!$E$2:$E$49,MATCH($C267,'Industry Stats'!$A$2:$A$49,0))</f>
        <v>263.30769230769232</v>
      </c>
      <c r="P267" s="19">
        <f t="shared" si="48"/>
        <v>36.692307692307679</v>
      </c>
      <c r="R267">
        <f t="shared" si="49"/>
        <v>1128.0009732999999</v>
      </c>
      <c r="S267">
        <f t="shared" si="50"/>
        <v>525.00097330000006</v>
      </c>
      <c r="T267">
        <f t="shared" si="51"/>
        <v>303.0009733</v>
      </c>
      <c r="U267">
        <f t="shared" si="52"/>
        <v>300.0009733</v>
      </c>
      <c r="V267">
        <f t="shared" si="53"/>
        <v>209.4240502230769</v>
      </c>
      <c r="W267">
        <f t="shared" si="54"/>
        <v>-209.42210362307691</v>
      </c>
    </row>
    <row r="268" spans="1:23" ht="15" customHeight="1" x14ac:dyDescent="0.35">
      <c r="A268" t="str">
        <f>'Raw Data'!B266</f>
        <v>Becton Dickinson and Co</v>
      </c>
      <c r="B268" t="str">
        <f>'Raw Data'!A266</f>
        <v>bdx</v>
      </c>
      <c r="C268" t="str">
        <f>IF('Raw Data'!E266="N/A","Unclassified",TRIM(SUBSTITUTE('Raw Data'!E266," and "," &amp; ")))</f>
        <v>Health Care</v>
      </c>
      <c r="D268" s="17">
        <f>'Raw Data'!N266</f>
        <v>607</v>
      </c>
      <c r="E268" s="17">
        <f>'Raw Data'!O266</f>
        <v>384</v>
      </c>
      <c r="F268" s="17">
        <f>'Raw Data'!P266</f>
        <v>315</v>
      </c>
      <c r="G268" s="17">
        <f>'Raw Data'!Q266</f>
        <v>1306</v>
      </c>
      <c r="H268" s="18">
        <f>INDEX('Industry Stats'!$F$2:$F$49,MATCH($C268,'Industry Stats'!$A$2:$A$49,0))</f>
        <v>938.76470588235293</v>
      </c>
      <c r="I268" s="19">
        <f t="shared" si="44"/>
        <v>367.23529411764707</v>
      </c>
      <c r="J268" s="20">
        <f t="shared" si="45"/>
        <v>0.39118992418071308</v>
      </c>
      <c r="K268" s="18">
        <f>INDEX('Industry Stats'!$C$2:$C$49,MATCH($C268,'Industry Stats'!$A$2:$A$49,0))</f>
        <v>374.52941176470586</v>
      </c>
      <c r="L268" s="19">
        <f t="shared" si="46"/>
        <v>232.47058823529414</v>
      </c>
      <c r="M268" s="18">
        <f>INDEX('Industry Stats'!$D$2:$D$49,MATCH($C268,'Industry Stats'!$A$2:$A$49,0))</f>
        <v>287.43137254901961</v>
      </c>
      <c r="N268" s="19">
        <f t="shared" si="47"/>
        <v>96.568627450980387</v>
      </c>
      <c r="O268" s="18">
        <f>INDEX('Industry Stats'!$E$2:$E$49,MATCH($C268,'Industry Stats'!$A$2:$A$49,0))</f>
        <v>276.80392156862746</v>
      </c>
      <c r="P268" s="19">
        <f t="shared" si="48"/>
        <v>38.196078431372541</v>
      </c>
      <c r="R268">
        <f t="shared" si="49"/>
        <v>1306.0009732000001</v>
      </c>
      <c r="S268">
        <f t="shared" si="50"/>
        <v>607.00097319999998</v>
      </c>
      <c r="T268">
        <f t="shared" si="51"/>
        <v>384.00097319999998</v>
      </c>
      <c r="U268">
        <f t="shared" si="52"/>
        <v>315.00097319999998</v>
      </c>
      <c r="V268">
        <f t="shared" si="53"/>
        <v>367.23626731764705</v>
      </c>
      <c r="W268">
        <f t="shared" si="54"/>
        <v>-367.2343209176471</v>
      </c>
    </row>
    <row r="269" spans="1:23" ht="15" customHeight="1" x14ac:dyDescent="0.35">
      <c r="A269" t="str">
        <f>'Raw Data'!B267</f>
        <v>Bio Rad Laboratories Inc</v>
      </c>
      <c r="B269" t="str">
        <f>'Raw Data'!A267</f>
        <v>bio</v>
      </c>
      <c r="C269" t="str">
        <f>IF('Raw Data'!E267="N/A","Unclassified",TRIM(SUBSTITUTE('Raw Data'!E267," and "," &amp; ")))</f>
        <v>Life Sciences Tools &amp; Services</v>
      </c>
      <c r="D269" s="17">
        <f>'Raw Data'!N267</f>
        <v>275</v>
      </c>
      <c r="E269" s="17">
        <f>'Raw Data'!O267</f>
        <v>227</v>
      </c>
      <c r="F269" s="17">
        <f>'Raw Data'!P267</f>
        <v>300</v>
      </c>
      <c r="G269" s="17">
        <f>'Raw Data'!Q267</f>
        <v>802</v>
      </c>
      <c r="H269" s="18">
        <f>INDEX('Industry Stats'!$F$2:$F$49,MATCH($C269,'Industry Stats'!$A$2:$A$49,0))</f>
        <v>993.125</v>
      </c>
      <c r="I269" s="19">
        <f t="shared" si="44"/>
        <v>-191.125</v>
      </c>
      <c r="J269" s="20">
        <f t="shared" si="45"/>
        <v>-0.19244808055380744</v>
      </c>
      <c r="K269" s="18">
        <f>INDEX('Industry Stats'!$C$2:$C$49,MATCH($C269,'Industry Stats'!$A$2:$A$49,0))</f>
        <v>421.375</v>
      </c>
      <c r="L269" s="19">
        <f t="shared" si="46"/>
        <v>-146.375</v>
      </c>
      <c r="M269" s="18">
        <f>INDEX('Industry Stats'!$D$2:$D$49,MATCH($C269,'Industry Stats'!$A$2:$A$49,0))</f>
        <v>294.5</v>
      </c>
      <c r="N269" s="19">
        <f t="shared" si="47"/>
        <v>-67.5</v>
      </c>
      <c r="O269" s="18">
        <f>INDEX('Industry Stats'!$E$2:$E$49,MATCH($C269,'Industry Stats'!$A$2:$A$49,0))</f>
        <v>277.25</v>
      </c>
      <c r="P269" s="19">
        <f t="shared" si="48"/>
        <v>22.75</v>
      </c>
      <c r="R269">
        <f t="shared" si="49"/>
        <v>802.00097310000001</v>
      </c>
      <c r="S269">
        <f t="shared" si="50"/>
        <v>275.00097310000001</v>
      </c>
      <c r="T269">
        <f t="shared" si="51"/>
        <v>227.00097310000001</v>
      </c>
      <c r="U269">
        <f t="shared" si="52"/>
        <v>300.00097310000001</v>
      </c>
      <c r="V269">
        <f t="shared" si="53"/>
        <v>-191.12402689999999</v>
      </c>
      <c r="W269">
        <f t="shared" si="54"/>
        <v>191.12597310000001</v>
      </c>
    </row>
    <row r="270" spans="1:23" ht="15" customHeight="1" x14ac:dyDescent="0.35">
      <c r="A270" t="str">
        <f>'Raw Data'!B268</f>
        <v>Best Buy Co Inc</v>
      </c>
      <c r="B270" t="str">
        <f>'Raw Data'!A268</f>
        <v>bby</v>
      </c>
      <c r="C270" t="str">
        <f>IF('Raw Data'!E268="N/A","Unclassified",TRIM(SUBSTITUTE('Raw Data'!E268," and "," &amp; ")))</f>
        <v>Retail</v>
      </c>
      <c r="D270" s="17">
        <f>'Raw Data'!N268</f>
        <v>430</v>
      </c>
      <c r="E270" s="17">
        <f>'Raw Data'!O268</f>
        <v>231</v>
      </c>
      <c r="F270" s="17">
        <f>'Raw Data'!P268</f>
        <v>300</v>
      </c>
      <c r="G270" s="17">
        <f>'Raw Data'!Q268</f>
        <v>961</v>
      </c>
      <c r="H270" s="18">
        <f>INDEX('Industry Stats'!$F$2:$F$49,MATCH($C270,'Industry Stats'!$A$2:$A$49,0))</f>
        <v>918.57692307692309</v>
      </c>
      <c r="I270" s="19">
        <f t="shared" si="44"/>
        <v>42.423076923076906</v>
      </c>
      <c r="J270" s="20">
        <f t="shared" si="45"/>
        <v>4.6183477787547611E-2</v>
      </c>
      <c r="K270" s="18">
        <f>INDEX('Industry Stats'!$C$2:$C$49,MATCH($C270,'Industry Stats'!$A$2:$A$49,0))</f>
        <v>380.30769230769232</v>
      </c>
      <c r="L270" s="19">
        <f t="shared" si="46"/>
        <v>49.692307692307679</v>
      </c>
      <c r="M270" s="18">
        <f>INDEX('Industry Stats'!$D$2:$D$49,MATCH($C270,'Industry Stats'!$A$2:$A$49,0))</f>
        <v>274.96153846153845</v>
      </c>
      <c r="N270" s="19">
        <f t="shared" si="47"/>
        <v>-43.961538461538453</v>
      </c>
      <c r="O270" s="18">
        <f>INDEX('Industry Stats'!$E$2:$E$49,MATCH($C270,'Industry Stats'!$A$2:$A$49,0))</f>
        <v>263.30769230769232</v>
      </c>
      <c r="P270" s="19">
        <f t="shared" si="48"/>
        <v>36.692307692307679</v>
      </c>
      <c r="R270">
        <f t="shared" si="49"/>
        <v>961.00097300000004</v>
      </c>
      <c r="S270">
        <f t="shared" si="50"/>
        <v>430.00097299999999</v>
      </c>
      <c r="T270">
        <f t="shared" si="51"/>
        <v>231.00097299999999</v>
      </c>
      <c r="U270">
        <f t="shared" si="52"/>
        <v>300.00097299999999</v>
      </c>
      <c r="V270">
        <f t="shared" si="53"/>
        <v>42.424049923076907</v>
      </c>
      <c r="W270">
        <f t="shared" si="54"/>
        <v>-42.422103923076904</v>
      </c>
    </row>
    <row r="271" spans="1:23" ht="15" customHeight="1" x14ac:dyDescent="0.35">
      <c r="A271" t="str">
        <f>'Raw Data'!B269</f>
        <v>Bank of New York Mellon Corp</v>
      </c>
      <c r="B271" t="str">
        <f>'Raw Data'!A269</f>
        <v>bk</v>
      </c>
      <c r="C271" t="str">
        <f>IF('Raw Data'!E269="N/A","Unclassified",TRIM(SUBSTITUTE('Raw Data'!E269," and "," &amp; ")))</f>
        <v>Financial Services</v>
      </c>
      <c r="D271" s="17">
        <f>'Raw Data'!N269</f>
        <v>500</v>
      </c>
      <c r="E271" s="17">
        <f>'Raw Data'!O269</f>
        <v>300</v>
      </c>
      <c r="F271" s="17">
        <f>'Raw Data'!P269</f>
        <v>300</v>
      </c>
      <c r="G271" s="17">
        <f>'Raw Data'!Q269</f>
        <v>1100</v>
      </c>
      <c r="H271" s="18">
        <f>INDEX('Industry Stats'!$F$2:$F$49,MATCH($C271,'Industry Stats'!$A$2:$A$49,0))</f>
        <v>909.33333333333337</v>
      </c>
      <c r="I271" s="19">
        <f t="shared" si="44"/>
        <v>190.66666666666663</v>
      </c>
      <c r="J271" s="20">
        <f t="shared" si="45"/>
        <v>0.20967741935483866</v>
      </c>
      <c r="K271" s="18">
        <f>INDEX('Industry Stats'!$C$2:$C$49,MATCH($C271,'Industry Stats'!$A$2:$A$49,0))</f>
        <v>367.63636363636363</v>
      </c>
      <c r="L271" s="19">
        <f t="shared" si="46"/>
        <v>132.36363636363637</v>
      </c>
      <c r="M271" s="18">
        <f>INDEX('Industry Stats'!$D$2:$D$49,MATCH($C271,'Industry Stats'!$A$2:$A$49,0))</f>
        <v>276.45454545454544</v>
      </c>
      <c r="N271" s="19">
        <f t="shared" si="47"/>
        <v>23.545454545454561</v>
      </c>
      <c r="O271" s="18">
        <f>INDEX('Industry Stats'!$E$2:$E$49,MATCH($C271,'Industry Stats'!$A$2:$A$49,0))</f>
        <v>265.24242424242425</v>
      </c>
      <c r="P271" s="19">
        <f t="shared" si="48"/>
        <v>34.757575757575751</v>
      </c>
      <c r="R271">
        <f t="shared" si="49"/>
        <v>1100.0009729000001</v>
      </c>
      <c r="S271">
        <f t="shared" si="50"/>
        <v>500.00097290000002</v>
      </c>
      <c r="T271">
        <f t="shared" si="51"/>
        <v>300.00097290000002</v>
      </c>
      <c r="U271">
        <f t="shared" si="52"/>
        <v>300.00097290000002</v>
      </c>
      <c r="V271">
        <f t="shared" si="53"/>
        <v>190.66763956666662</v>
      </c>
      <c r="W271">
        <f t="shared" si="54"/>
        <v>-190.66569376666664</v>
      </c>
    </row>
    <row r="272" spans="1:23" ht="15" customHeight="1" x14ac:dyDescent="0.35">
      <c r="A272" t="str">
        <f>'Raw Data'!B270</f>
        <v>American Express Co</v>
      </c>
      <c r="B272" t="str">
        <f>'Raw Data'!A270</f>
        <v>axp</v>
      </c>
      <c r="C272" t="str">
        <f>IF('Raw Data'!E270="N/A","Unclassified",TRIM(SUBSTITUTE('Raw Data'!E270," and "," &amp; ")))</f>
        <v>Financial Services</v>
      </c>
      <c r="D272" s="17">
        <f>'Raw Data'!N270</f>
        <v>230</v>
      </c>
      <c r="E272" s="17">
        <f>'Raw Data'!O270</f>
        <v>226</v>
      </c>
      <c r="F272" s="17">
        <f>'Raw Data'!P270</f>
        <v>208</v>
      </c>
      <c r="G272" s="17">
        <f>'Raw Data'!Q270</f>
        <v>664</v>
      </c>
      <c r="H272" s="18">
        <f>INDEX('Industry Stats'!$F$2:$F$49,MATCH($C272,'Industry Stats'!$A$2:$A$49,0))</f>
        <v>909.33333333333337</v>
      </c>
      <c r="I272" s="19">
        <f t="shared" si="44"/>
        <v>-245.33333333333337</v>
      </c>
      <c r="J272" s="20">
        <f t="shared" si="45"/>
        <v>-0.26979472140762467</v>
      </c>
      <c r="K272" s="18">
        <f>INDEX('Industry Stats'!$C$2:$C$49,MATCH($C272,'Industry Stats'!$A$2:$A$49,0))</f>
        <v>367.63636363636363</v>
      </c>
      <c r="L272" s="19">
        <f t="shared" si="46"/>
        <v>-137.63636363636363</v>
      </c>
      <c r="M272" s="18">
        <f>INDEX('Industry Stats'!$D$2:$D$49,MATCH($C272,'Industry Stats'!$A$2:$A$49,0))</f>
        <v>276.45454545454544</v>
      </c>
      <c r="N272" s="19">
        <f t="shared" si="47"/>
        <v>-50.454545454545439</v>
      </c>
      <c r="O272" s="18">
        <f>INDEX('Industry Stats'!$E$2:$E$49,MATCH($C272,'Industry Stats'!$A$2:$A$49,0))</f>
        <v>265.24242424242425</v>
      </c>
      <c r="P272" s="19">
        <f t="shared" si="48"/>
        <v>-57.242424242424249</v>
      </c>
      <c r="R272">
        <f t="shared" si="49"/>
        <v>664.0009728</v>
      </c>
      <c r="S272">
        <f t="shared" si="50"/>
        <v>230.0009728</v>
      </c>
      <c r="T272">
        <f t="shared" si="51"/>
        <v>226.0009728</v>
      </c>
      <c r="U272">
        <f t="shared" si="52"/>
        <v>208.0009728</v>
      </c>
      <c r="V272">
        <f t="shared" si="53"/>
        <v>-245.33236053333337</v>
      </c>
      <c r="W272">
        <f t="shared" si="54"/>
        <v>245.33430613333337</v>
      </c>
    </row>
    <row r="273" spans="1:23" ht="15" customHeight="1" x14ac:dyDescent="0.35">
      <c r="A273" t="str">
        <f>'Raw Data'!B271</f>
        <v>Broadridge Financial Solutions Inc</v>
      </c>
      <c r="B273" t="str">
        <f>'Raw Data'!A271</f>
        <v>br</v>
      </c>
      <c r="C273" t="str">
        <f>IF('Raw Data'!E271="N/A","Unclassified",TRIM(SUBSTITUTE('Raw Data'!E271," and "," &amp; ")))</f>
        <v>Technology</v>
      </c>
      <c r="D273" s="17">
        <f>'Raw Data'!N271</f>
        <v>550</v>
      </c>
      <c r="E273" s="17">
        <f>'Raw Data'!O271</f>
        <v>313</v>
      </c>
      <c r="F273" s="17">
        <f>'Raw Data'!P271</f>
        <v>325</v>
      </c>
      <c r="G273" s="17">
        <f>'Raw Data'!Q271</f>
        <v>1188</v>
      </c>
      <c r="H273" s="18">
        <f>INDEX('Industry Stats'!$F$2:$F$49,MATCH($C273,'Industry Stats'!$A$2:$A$49,0))</f>
        <v>1031.3174603174602</v>
      </c>
      <c r="I273" s="19">
        <f t="shared" si="44"/>
        <v>156.68253968253975</v>
      </c>
      <c r="J273" s="20">
        <f t="shared" si="45"/>
        <v>0.1519246456220277</v>
      </c>
      <c r="K273" s="18">
        <f>INDEX('Industry Stats'!$C$2:$C$49,MATCH($C273,'Industry Stats'!$A$2:$A$49,0))</f>
        <v>438.11111111111109</v>
      </c>
      <c r="L273" s="19">
        <f t="shared" si="46"/>
        <v>111.88888888888891</v>
      </c>
      <c r="M273" s="18">
        <f>INDEX('Industry Stats'!$D$2:$D$49,MATCH($C273,'Industry Stats'!$A$2:$A$49,0))</f>
        <v>307.90476190476193</v>
      </c>
      <c r="N273" s="19">
        <f t="shared" si="47"/>
        <v>5.0952380952380736</v>
      </c>
      <c r="O273" s="18">
        <f>INDEX('Industry Stats'!$E$2:$E$49,MATCH($C273,'Industry Stats'!$A$2:$A$49,0))</f>
        <v>285.30158730158729</v>
      </c>
      <c r="P273" s="19">
        <f t="shared" si="48"/>
        <v>39.69841269841271</v>
      </c>
      <c r="R273">
        <f t="shared" si="49"/>
        <v>1188.0009726999999</v>
      </c>
      <c r="S273">
        <f t="shared" si="50"/>
        <v>550.00097270000003</v>
      </c>
      <c r="T273">
        <f t="shared" si="51"/>
        <v>313.00097269999998</v>
      </c>
      <c r="U273">
        <f t="shared" si="52"/>
        <v>325.00097269999998</v>
      </c>
      <c r="V273">
        <f t="shared" si="53"/>
        <v>156.68351238253976</v>
      </c>
      <c r="W273">
        <f t="shared" si="54"/>
        <v>-156.68156698253975</v>
      </c>
    </row>
    <row r="274" spans="1:23" ht="15" customHeight="1" x14ac:dyDescent="0.35">
      <c r="A274" t="str">
        <f>'Raw Data'!B272</f>
        <v>Bristol-Myers Squibb Co</v>
      </c>
      <c r="B274" t="str">
        <f>'Raw Data'!A272</f>
        <v>bmy</v>
      </c>
      <c r="C274" t="str">
        <f>IF('Raw Data'!E272="N/A","Unclassified",TRIM(SUBSTITUTE('Raw Data'!E272," and "," &amp; ")))</f>
        <v>Pharmaceuticals</v>
      </c>
      <c r="D274" s="17">
        <f>'Raw Data'!N272</f>
        <v>500</v>
      </c>
      <c r="E274" s="17">
        <f>'Raw Data'!O272</f>
        <v>321</v>
      </c>
      <c r="F274" s="17">
        <f>'Raw Data'!P272</f>
        <v>310</v>
      </c>
      <c r="G274" s="17">
        <f>'Raw Data'!Q272</f>
        <v>1131</v>
      </c>
      <c r="H274" s="18">
        <f>INDEX('Industry Stats'!$F$2:$F$49,MATCH($C274,'Industry Stats'!$A$2:$A$49,0))</f>
        <v>903.66666666666663</v>
      </c>
      <c r="I274" s="19">
        <f t="shared" si="44"/>
        <v>227.33333333333337</v>
      </c>
      <c r="J274" s="20">
        <f t="shared" si="45"/>
        <v>0.25156768720029515</v>
      </c>
      <c r="K274" s="18">
        <f>INDEX('Industry Stats'!$C$2:$C$49,MATCH($C274,'Industry Stats'!$A$2:$A$49,0))</f>
        <v>360.04761904761904</v>
      </c>
      <c r="L274" s="19">
        <f t="shared" si="46"/>
        <v>139.95238095238096</v>
      </c>
      <c r="M274" s="18">
        <f>INDEX('Industry Stats'!$D$2:$D$49,MATCH($C274,'Industry Stats'!$A$2:$A$49,0))</f>
        <v>269.66666666666669</v>
      </c>
      <c r="N274" s="19">
        <f t="shared" si="47"/>
        <v>51.333333333333314</v>
      </c>
      <c r="O274" s="18">
        <f>INDEX('Industry Stats'!$E$2:$E$49,MATCH($C274,'Industry Stats'!$A$2:$A$49,0))</f>
        <v>273.95238095238096</v>
      </c>
      <c r="P274" s="19">
        <f t="shared" si="48"/>
        <v>36.047619047619037</v>
      </c>
      <c r="R274">
        <f t="shared" si="49"/>
        <v>1131.0009726000001</v>
      </c>
      <c r="S274">
        <f t="shared" si="50"/>
        <v>500.00097260000001</v>
      </c>
      <c r="T274">
        <f t="shared" si="51"/>
        <v>321.00097260000001</v>
      </c>
      <c r="U274">
        <f t="shared" si="52"/>
        <v>310.00097260000001</v>
      </c>
      <c r="V274">
        <f t="shared" si="53"/>
        <v>227.33430593333338</v>
      </c>
      <c r="W274">
        <f t="shared" si="54"/>
        <v>-227.33236073333336</v>
      </c>
    </row>
    <row r="275" spans="1:23" ht="15" customHeight="1" x14ac:dyDescent="0.35">
      <c r="A275" t="str">
        <f>'Raw Data'!B273</f>
        <v>Brown &amp; Brown Inc</v>
      </c>
      <c r="B275" t="str">
        <f>'Raw Data'!A273</f>
        <v>bro</v>
      </c>
      <c r="C275" t="str">
        <f>IF('Raw Data'!E273="N/A","Unclassified",TRIM(SUBSTITUTE('Raw Data'!E273," and "," &amp; ")))</f>
        <v>Insurance</v>
      </c>
      <c r="D275" s="17">
        <f>'Raw Data'!N273</f>
        <v>405</v>
      </c>
      <c r="E275" s="17">
        <f>'Raw Data'!O273</f>
        <v>320</v>
      </c>
      <c r="F275" s="17">
        <f>'Raw Data'!P273</f>
        <v>300</v>
      </c>
      <c r="G275" s="17">
        <f>'Raw Data'!Q273</f>
        <v>1025</v>
      </c>
      <c r="H275" s="18">
        <f>INDEX('Industry Stats'!$F$2:$F$49,MATCH($C275,'Industry Stats'!$A$2:$A$49,0))</f>
        <v>1012.3703703703703</v>
      </c>
      <c r="I275" s="19">
        <f t="shared" si="44"/>
        <v>12.629629629629676</v>
      </c>
      <c r="J275" s="20">
        <f t="shared" si="45"/>
        <v>1.2475305480354184E-2</v>
      </c>
      <c r="K275" s="18">
        <f>INDEX('Industry Stats'!$C$2:$C$49,MATCH($C275,'Industry Stats'!$A$2:$A$49,0))</f>
        <v>425.25925925925924</v>
      </c>
      <c r="L275" s="19">
        <f t="shared" si="46"/>
        <v>-20.259259259259238</v>
      </c>
      <c r="M275" s="18">
        <f>INDEX('Industry Stats'!$D$2:$D$49,MATCH($C275,'Industry Stats'!$A$2:$A$49,0))</f>
        <v>295.66666666666669</v>
      </c>
      <c r="N275" s="19">
        <f t="shared" si="47"/>
        <v>24.333333333333314</v>
      </c>
      <c r="O275" s="18">
        <f>INDEX('Industry Stats'!$E$2:$E$49,MATCH($C275,'Industry Stats'!$A$2:$A$49,0))</f>
        <v>291.44444444444446</v>
      </c>
      <c r="P275" s="19">
        <f t="shared" si="48"/>
        <v>8.5555555555555429</v>
      </c>
      <c r="R275">
        <f t="shared" si="49"/>
        <v>1025.0009725</v>
      </c>
      <c r="S275">
        <f t="shared" si="50"/>
        <v>405.00097249999999</v>
      </c>
      <c r="T275">
        <f t="shared" si="51"/>
        <v>320.00097249999999</v>
      </c>
      <c r="U275">
        <f t="shared" si="52"/>
        <v>300.00097249999999</v>
      </c>
      <c r="V275">
        <f t="shared" si="53"/>
        <v>12.630602129629676</v>
      </c>
      <c r="W275">
        <f t="shared" si="54"/>
        <v>-12.628657129629676</v>
      </c>
    </row>
    <row r="276" spans="1:23" ht="15" customHeight="1" x14ac:dyDescent="0.35">
      <c r="A276" t="str">
        <f>'Raw Data'!B274</f>
        <v>Autozone Inc</v>
      </c>
      <c r="B276" t="str">
        <f>'Raw Data'!A274</f>
        <v>azo</v>
      </c>
      <c r="C276" t="str">
        <f>IF('Raw Data'!E274="N/A","Unclassified",TRIM(SUBSTITUTE('Raw Data'!E274," and "," &amp; ")))</f>
        <v>Retail</v>
      </c>
      <c r="D276" s="17">
        <f>'Raw Data'!N274</f>
        <v>260</v>
      </c>
      <c r="E276" s="17">
        <f>'Raw Data'!O274</f>
        <v>222</v>
      </c>
      <c r="F276" s="17">
        <f>'Raw Data'!P274</f>
        <v>213</v>
      </c>
      <c r="G276" s="17">
        <f>'Raw Data'!Q274</f>
        <v>695</v>
      </c>
      <c r="H276" s="18">
        <f>INDEX('Industry Stats'!$F$2:$F$49,MATCH($C276,'Industry Stats'!$A$2:$A$49,0))</f>
        <v>918.57692307692309</v>
      </c>
      <c r="I276" s="19">
        <f t="shared" si="44"/>
        <v>-223.57692307692309</v>
      </c>
      <c r="J276" s="20">
        <f t="shared" si="45"/>
        <v>-0.2433948833898589</v>
      </c>
      <c r="K276" s="18">
        <f>INDEX('Industry Stats'!$C$2:$C$49,MATCH($C276,'Industry Stats'!$A$2:$A$49,0))</f>
        <v>380.30769230769232</v>
      </c>
      <c r="L276" s="19">
        <f t="shared" si="46"/>
        <v>-120.30769230769232</v>
      </c>
      <c r="M276" s="18">
        <f>INDEX('Industry Stats'!$D$2:$D$49,MATCH($C276,'Industry Stats'!$A$2:$A$49,0))</f>
        <v>274.96153846153845</v>
      </c>
      <c r="N276" s="19">
        <f t="shared" si="47"/>
        <v>-52.961538461538453</v>
      </c>
      <c r="O276" s="18">
        <f>INDEX('Industry Stats'!$E$2:$E$49,MATCH($C276,'Industry Stats'!$A$2:$A$49,0))</f>
        <v>263.30769230769232</v>
      </c>
      <c r="P276" s="19">
        <f t="shared" si="48"/>
        <v>-50.307692307692321</v>
      </c>
      <c r="R276">
        <f t="shared" si="49"/>
        <v>695.00097240000002</v>
      </c>
      <c r="S276">
        <f t="shared" si="50"/>
        <v>260.00097240000002</v>
      </c>
      <c r="T276">
        <f t="shared" si="51"/>
        <v>222.00097239999999</v>
      </c>
      <c r="U276">
        <f t="shared" si="52"/>
        <v>213.00097239999999</v>
      </c>
      <c r="V276">
        <f t="shared" si="53"/>
        <v>-223.5759506769231</v>
      </c>
      <c r="W276">
        <f t="shared" si="54"/>
        <v>223.57789547692309</v>
      </c>
    </row>
    <row r="277" spans="1:23" ht="15" customHeight="1" x14ac:dyDescent="0.35">
      <c r="A277" t="str">
        <f>'Raw Data'!B275</f>
        <v>Boston Scientific Corp</v>
      </c>
      <c r="B277" t="str">
        <f>'Raw Data'!A275</f>
        <v>bsx</v>
      </c>
      <c r="C277" t="str">
        <f>IF('Raw Data'!E275="N/A","Unclassified",TRIM(SUBSTITUTE('Raw Data'!E275," and "," &amp; ")))</f>
        <v>Health Care</v>
      </c>
      <c r="D277" s="17">
        <f>'Raw Data'!N275</f>
        <v>525</v>
      </c>
      <c r="E277" s="17">
        <f>'Raw Data'!O275</f>
        <v>399</v>
      </c>
      <c r="F277" s="17">
        <f>'Raw Data'!P275</f>
        <v>300</v>
      </c>
      <c r="G277" s="17">
        <f>'Raw Data'!Q275</f>
        <v>1224</v>
      </c>
      <c r="H277" s="18">
        <f>INDEX('Industry Stats'!$F$2:$F$49,MATCH($C277,'Industry Stats'!$A$2:$A$49,0))</f>
        <v>938.76470588235293</v>
      </c>
      <c r="I277" s="19">
        <f t="shared" si="44"/>
        <v>285.23529411764707</v>
      </c>
      <c r="J277" s="20">
        <f t="shared" si="45"/>
        <v>0.3038410928003008</v>
      </c>
      <c r="K277" s="18">
        <f>INDEX('Industry Stats'!$C$2:$C$49,MATCH($C277,'Industry Stats'!$A$2:$A$49,0))</f>
        <v>374.52941176470586</v>
      </c>
      <c r="L277" s="19">
        <f t="shared" si="46"/>
        <v>150.47058823529414</v>
      </c>
      <c r="M277" s="18">
        <f>INDEX('Industry Stats'!$D$2:$D$49,MATCH($C277,'Industry Stats'!$A$2:$A$49,0))</f>
        <v>287.43137254901961</v>
      </c>
      <c r="N277" s="19">
        <f t="shared" si="47"/>
        <v>111.56862745098039</v>
      </c>
      <c r="O277" s="18">
        <f>INDEX('Industry Stats'!$E$2:$E$49,MATCH($C277,'Industry Stats'!$A$2:$A$49,0))</f>
        <v>276.80392156862746</v>
      </c>
      <c r="P277" s="19">
        <f t="shared" si="48"/>
        <v>23.196078431372541</v>
      </c>
      <c r="R277">
        <f t="shared" si="49"/>
        <v>1224.0009723000001</v>
      </c>
      <c r="S277">
        <f t="shared" si="50"/>
        <v>525.00097229999994</v>
      </c>
      <c r="T277">
        <f t="shared" si="51"/>
        <v>399.0009723</v>
      </c>
      <c r="U277">
        <f t="shared" si="52"/>
        <v>300.0009723</v>
      </c>
      <c r="V277">
        <f t="shared" si="53"/>
        <v>285.23626641764707</v>
      </c>
      <c r="W277">
        <f t="shared" si="54"/>
        <v>-285.23432181764707</v>
      </c>
    </row>
    <row r="278" spans="1:23" ht="15" customHeight="1" x14ac:dyDescent="0.35">
      <c r="A278" t="str">
        <f>'Raw Data'!B276</f>
        <v>Blackstone Inc</v>
      </c>
      <c r="B278" t="str">
        <f>'Raw Data'!A276</f>
        <v>bx</v>
      </c>
      <c r="C278" t="str">
        <f>IF('Raw Data'!E276="N/A","Unclassified",TRIM(SUBSTITUTE('Raw Data'!E276," and "," &amp; ")))</f>
        <v>Financial Services</v>
      </c>
      <c r="D278" s="17">
        <f>'Raw Data'!N276</f>
        <v>534</v>
      </c>
      <c r="E278" s="17">
        <f>'Raw Data'!O276</f>
        <v>343</v>
      </c>
      <c r="F278" s="17">
        <f>'Raw Data'!P276</f>
        <v>320</v>
      </c>
      <c r="G278" s="17">
        <f>'Raw Data'!Q276</f>
        <v>1197</v>
      </c>
      <c r="H278" s="18">
        <f>INDEX('Industry Stats'!$F$2:$F$49,MATCH($C278,'Industry Stats'!$A$2:$A$49,0))</f>
        <v>909.33333333333337</v>
      </c>
      <c r="I278" s="19">
        <f t="shared" si="44"/>
        <v>287.66666666666663</v>
      </c>
      <c r="J278" s="20">
        <f t="shared" si="45"/>
        <v>0.31634897360703806</v>
      </c>
      <c r="K278" s="18">
        <f>INDEX('Industry Stats'!$C$2:$C$49,MATCH($C278,'Industry Stats'!$A$2:$A$49,0))</f>
        <v>367.63636363636363</v>
      </c>
      <c r="L278" s="19">
        <f t="shared" si="46"/>
        <v>166.36363636363637</v>
      </c>
      <c r="M278" s="18">
        <f>INDEX('Industry Stats'!$D$2:$D$49,MATCH($C278,'Industry Stats'!$A$2:$A$49,0))</f>
        <v>276.45454545454544</v>
      </c>
      <c r="N278" s="19">
        <f t="shared" si="47"/>
        <v>66.545454545454561</v>
      </c>
      <c r="O278" s="18">
        <f>INDEX('Industry Stats'!$E$2:$E$49,MATCH($C278,'Industry Stats'!$A$2:$A$49,0))</f>
        <v>265.24242424242425</v>
      </c>
      <c r="P278" s="19">
        <f t="shared" si="48"/>
        <v>54.757575757575751</v>
      </c>
      <c r="R278">
        <f t="shared" si="49"/>
        <v>1197.0009722</v>
      </c>
      <c r="S278">
        <f t="shared" si="50"/>
        <v>534.00097219999998</v>
      </c>
      <c r="T278">
        <f t="shared" si="51"/>
        <v>343.00097219999998</v>
      </c>
      <c r="U278">
        <f t="shared" si="52"/>
        <v>320.00097219999998</v>
      </c>
      <c r="V278">
        <f t="shared" si="53"/>
        <v>287.66763886666661</v>
      </c>
      <c r="W278">
        <f t="shared" si="54"/>
        <v>-287.66569446666665</v>
      </c>
    </row>
    <row r="279" spans="1:23" ht="15" customHeight="1" x14ac:dyDescent="0.35">
      <c r="A279" t="str">
        <f>'Raw Data'!B277</f>
        <v>Boston Properties Inc</v>
      </c>
      <c r="B279" t="str">
        <f>'Raw Data'!A277</f>
        <v>bxp</v>
      </c>
      <c r="C279" t="str">
        <f>IF('Raw Data'!E277="N/A","Unclassified",TRIM(SUBSTITUTE('Raw Data'!E277," and "," &amp; ")))</f>
        <v>Real Estate</v>
      </c>
      <c r="D279" s="17">
        <f>'Raw Data'!N277</f>
        <v>532</v>
      </c>
      <c r="E279" s="17">
        <f>'Raw Data'!O277</f>
        <v>339</v>
      </c>
      <c r="F279" s="17">
        <f>'Raw Data'!P277</f>
        <v>305</v>
      </c>
      <c r="G279" s="17">
        <f>'Raw Data'!Q277</f>
        <v>1176</v>
      </c>
      <c r="H279" s="18">
        <f>INDEX('Industry Stats'!$F$2:$F$49,MATCH($C279,'Industry Stats'!$A$2:$A$49,0))</f>
        <v>995.94444444444446</v>
      </c>
      <c r="I279" s="19">
        <f t="shared" si="44"/>
        <v>180.05555555555554</v>
      </c>
      <c r="J279" s="20">
        <f t="shared" si="45"/>
        <v>0.1807887543928153</v>
      </c>
      <c r="K279" s="18">
        <f>INDEX('Industry Stats'!$C$2:$C$49,MATCH($C279,'Industry Stats'!$A$2:$A$49,0))</f>
        <v>431.38888888888891</v>
      </c>
      <c r="L279" s="19">
        <f t="shared" si="46"/>
        <v>100.61111111111109</v>
      </c>
      <c r="M279" s="18">
        <f>INDEX('Industry Stats'!$D$2:$D$49,MATCH($C279,'Industry Stats'!$A$2:$A$49,0))</f>
        <v>290.91666666666669</v>
      </c>
      <c r="N279" s="19">
        <f t="shared" si="47"/>
        <v>48.083333333333314</v>
      </c>
      <c r="O279" s="18">
        <f>INDEX('Industry Stats'!$E$2:$E$49,MATCH($C279,'Industry Stats'!$A$2:$A$49,0))</f>
        <v>273.63888888888891</v>
      </c>
      <c r="P279" s="19">
        <f t="shared" si="48"/>
        <v>31.361111111111086</v>
      </c>
      <c r="R279">
        <f t="shared" si="49"/>
        <v>1176.0009720999999</v>
      </c>
      <c r="S279">
        <f t="shared" si="50"/>
        <v>532.00097210000001</v>
      </c>
      <c r="T279">
        <f t="shared" si="51"/>
        <v>339.00097210000001</v>
      </c>
      <c r="U279">
        <f t="shared" si="52"/>
        <v>305.00097210000001</v>
      </c>
      <c r="V279">
        <f t="shared" si="53"/>
        <v>180.05652765555556</v>
      </c>
      <c r="W279">
        <f t="shared" si="54"/>
        <v>-180.05458345555553</v>
      </c>
    </row>
    <row r="280" spans="1:23" ht="15" customHeight="1" x14ac:dyDescent="0.35">
      <c r="A280" t="str">
        <f>'Raw Data'!B278</f>
        <v>SVB Financial Group</v>
      </c>
      <c r="B280" t="str">
        <f>'Raw Data'!A278</f>
        <v>sivb</v>
      </c>
      <c r="C280" t="str">
        <f>IF('Raw Data'!E278="N/A","Unclassified",TRIM(SUBSTITUTE('Raw Data'!E278," and "," &amp; ")))</f>
        <v>Banking</v>
      </c>
      <c r="D280" s="17">
        <f>'Raw Data'!N278</f>
        <v>510</v>
      </c>
      <c r="E280" s="17">
        <f>'Raw Data'!O278</f>
        <v>340</v>
      </c>
      <c r="F280" s="17">
        <f>'Raw Data'!P278</f>
        <v>300</v>
      </c>
      <c r="G280" s="17">
        <f>'Raw Data'!Q278</f>
        <v>1150</v>
      </c>
      <c r="H280" s="18">
        <f>INDEX('Industry Stats'!$F$2:$F$49,MATCH($C280,'Industry Stats'!$A$2:$A$49,0))</f>
        <v>898.31034482758616</v>
      </c>
      <c r="I280" s="19">
        <f t="shared" si="44"/>
        <v>251.68965517241384</v>
      </c>
      <c r="J280" s="20">
        <f t="shared" si="45"/>
        <v>0.28018118306398992</v>
      </c>
      <c r="K280" s="18">
        <f>INDEX('Industry Stats'!$C$2:$C$49,MATCH($C280,'Industry Stats'!$A$2:$A$49,0))</f>
        <v>341.48275862068965</v>
      </c>
      <c r="L280" s="19">
        <f t="shared" si="46"/>
        <v>168.51724137931035</v>
      </c>
      <c r="M280" s="18">
        <f>INDEX('Industry Stats'!$D$2:$D$49,MATCH($C280,'Industry Stats'!$A$2:$A$49,0))</f>
        <v>292.34482758620692</v>
      </c>
      <c r="N280" s="19">
        <f t="shared" si="47"/>
        <v>47.655172413793082</v>
      </c>
      <c r="O280" s="18">
        <f>INDEX('Industry Stats'!$E$2:$E$49,MATCH($C280,'Industry Stats'!$A$2:$A$49,0))</f>
        <v>264.48275862068965</v>
      </c>
      <c r="P280" s="19">
        <f t="shared" si="48"/>
        <v>35.517241379310349</v>
      </c>
      <c r="R280">
        <f t="shared" si="49"/>
        <v>1150.000972</v>
      </c>
      <c r="S280">
        <f t="shared" si="50"/>
        <v>510.00097199999999</v>
      </c>
      <c r="T280">
        <f t="shared" si="51"/>
        <v>340.00097199999999</v>
      </c>
      <c r="U280">
        <f t="shared" si="52"/>
        <v>300.00097199999999</v>
      </c>
      <c r="V280">
        <f t="shared" si="53"/>
        <v>251.69062717241383</v>
      </c>
      <c r="W280">
        <f t="shared" si="54"/>
        <v>-251.68868317241385</v>
      </c>
    </row>
    <row r="281" spans="1:23" ht="15" customHeight="1" x14ac:dyDescent="0.35">
      <c r="A281" t="str">
        <f>'Raw Data'!B279</f>
        <v>Citigroup Inc</v>
      </c>
      <c r="B281" t="str">
        <f>'Raw Data'!A279</f>
        <v>c</v>
      </c>
      <c r="C281" t="str">
        <f>IF('Raw Data'!E279="N/A","Unclassified",TRIM(SUBSTITUTE('Raw Data'!E279," and "," &amp; ")))</f>
        <v>Banking</v>
      </c>
      <c r="D281" s="17">
        <f>'Raw Data'!N279</f>
        <v>515</v>
      </c>
      <c r="E281" s="17">
        <f>'Raw Data'!O279</f>
        <v>300</v>
      </c>
      <c r="F281" s="17">
        <f>'Raw Data'!P279</f>
        <v>303</v>
      </c>
      <c r="G281" s="17">
        <f>'Raw Data'!Q279</f>
        <v>1118</v>
      </c>
      <c r="H281" s="18">
        <f>INDEX('Industry Stats'!$F$2:$F$49,MATCH($C281,'Industry Stats'!$A$2:$A$49,0))</f>
        <v>898.31034482758616</v>
      </c>
      <c r="I281" s="19">
        <f t="shared" si="44"/>
        <v>219.68965517241384</v>
      </c>
      <c r="J281" s="20">
        <f t="shared" si="45"/>
        <v>0.24455875014394846</v>
      </c>
      <c r="K281" s="18">
        <f>INDEX('Industry Stats'!$C$2:$C$49,MATCH($C281,'Industry Stats'!$A$2:$A$49,0))</f>
        <v>341.48275862068965</v>
      </c>
      <c r="L281" s="19">
        <f t="shared" si="46"/>
        <v>173.51724137931035</v>
      </c>
      <c r="M281" s="18">
        <f>INDEX('Industry Stats'!$D$2:$D$49,MATCH($C281,'Industry Stats'!$A$2:$A$49,0))</f>
        <v>292.34482758620692</v>
      </c>
      <c r="N281" s="19">
        <f t="shared" si="47"/>
        <v>7.6551724137930819</v>
      </c>
      <c r="O281" s="18">
        <f>INDEX('Industry Stats'!$E$2:$E$49,MATCH($C281,'Industry Stats'!$A$2:$A$49,0))</f>
        <v>264.48275862068965</v>
      </c>
      <c r="P281" s="19">
        <f t="shared" si="48"/>
        <v>38.517241379310349</v>
      </c>
      <c r="R281">
        <f t="shared" si="49"/>
        <v>1118.0009719</v>
      </c>
      <c r="S281">
        <f t="shared" si="50"/>
        <v>515.00097189999997</v>
      </c>
      <c r="T281">
        <f t="shared" si="51"/>
        <v>300.00097190000002</v>
      </c>
      <c r="U281">
        <f t="shared" si="52"/>
        <v>303.00097190000002</v>
      </c>
      <c r="V281">
        <f t="shared" si="53"/>
        <v>219.69062707241383</v>
      </c>
      <c r="W281">
        <f t="shared" si="54"/>
        <v>-219.68868327241384</v>
      </c>
    </row>
    <row r="282" spans="1:23" ht="15" customHeight="1" x14ac:dyDescent="0.35">
      <c r="A282" t="str">
        <f>'Raw Data'!B280</f>
        <v>Caterpillar Inc</v>
      </c>
      <c r="B282" t="str">
        <f>'Raw Data'!A280</f>
        <v>cat</v>
      </c>
      <c r="C282" t="str">
        <f>IF('Raw Data'!E280="N/A","Unclassified",TRIM(SUBSTITUTE('Raw Data'!E280," and "," &amp; ")))</f>
        <v>Machinery</v>
      </c>
      <c r="D282" s="17">
        <f>'Raw Data'!N280</f>
        <v>235</v>
      </c>
      <c r="E282" s="17">
        <f>'Raw Data'!O280</f>
        <v>239</v>
      </c>
      <c r="F282" s="17">
        <f>'Raw Data'!P280</f>
        <v>235</v>
      </c>
      <c r="G282" s="17">
        <f>'Raw Data'!Q280</f>
        <v>709</v>
      </c>
      <c r="H282" s="18">
        <f>INDEX('Industry Stats'!$F$2:$F$49,MATCH($C282,'Industry Stats'!$A$2:$A$49,0))</f>
        <v>1048.047619047619</v>
      </c>
      <c r="I282" s="19">
        <f t="shared" si="44"/>
        <v>-339.04761904761904</v>
      </c>
      <c r="J282" s="20">
        <f t="shared" si="45"/>
        <v>-0.32350402108228449</v>
      </c>
      <c r="K282" s="18">
        <f>INDEX('Industry Stats'!$C$2:$C$49,MATCH($C282,'Industry Stats'!$A$2:$A$49,0))</f>
        <v>459.57142857142856</v>
      </c>
      <c r="L282" s="19">
        <f t="shared" si="46"/>
        <v>-224.57142857142856</v>
      </c>
      <c r="M282" s="18">
        <f>INDEX('Industry Stats'!$D$2:$D$49,MATCH($C282,'Industry Stats'!$A$2:$A$49,0))</f>
        <v>313.66666666666669</v>
      </c>
      <c r="N282" s="19">
        <f t="shared" si="47"/>
        <v>-74.666666666666686</v>
      </c>
      <c r="O282" s="18">
        <f>INDEX('Industry Stats'!$E$2:$E$49,MATCH($C282,'Industry Stats'!$A$2:$A$49,0))</f>
        <v>274.8095238095238</v>
      </c>
      <c r="P282" s="19">
        <f t="shared" si="48"/>
        <v>-39.809523809523796</v>
      </c>
      <c r="R282">
        <f t="shared" si="49"/>
        <v>709.0009718</v>
      </c>
      <c r="S282">
        <f t="shared" si="50"/>
        <v>235.0009718</v>
      </c>
      <c r="T282">
        <f t="shared" si="51"/>
        <v>239.0009718</v>
      </c>
      <c r="U282">
        <f t="shared" si="52"/>
        <v>235.0009718</v>
      </c>
      <c r="V282">
        <f t="shared" si="53"/>
        <v>-339.04664724761903</v>
      </c>
      <c r="W282">
        <f t="shared" si="54"/>
        <v>339.04859084761904</v>
      </c>
    </row>
    <row r="283" spans="1:23" ht="15" customHeight="1" x14ac:dyDescent="0.35">
      <c r="A283" t="str">
        <f>'Raw Data'!B281</f>
        <v>Carrier Global Corp</v>
      </c>
      <c r="B283" t="str">
        <f>'Raw Data'!A281</f>
        <v>carr</v>
      </c>
      <c r="C283" t="str">
        <f>IF('Raw Data'!E281="N/A","Unclassified",TRIM(SUBSTITUTE('Raw Data'!E281," and "," &amp; ")))</f>
        <v>Building</v>
      </c>
      <c r="D283" s="17">
        <f>'Raw Data'!N281</f>
        <v>210</v>
      </c>
      <c r="E283" s="17">
        <f>'Raw Data'!O281</f>
        <v>258</v>
      </c>
      <c r="F283" s="17">
        <f>'Raw Data'!P281</f>
        <v>226</v>
      </c>
      <c r="G283" s="17">
        <f>'Raw Data'!Q281</f>
        <v>694</v>
      </c>
      <c r="H283" s="18">
        <f>INDEX('Industry Stats'!$F$2:$F$49,MATCH($C283,'Industry Stats'!$A$2:$A$49,0))</f>
        <v>1074.2</v>
      </c>
      <c r="I283" s="19">
        <f t="shared" si="44"/>
        <v>-380.20000000000005</v>
      </c>
      <c r="J283" s="20">
        <f t="shared" si="45"/>
        <v>-0.35393781418730219</v>
      </c>
      <c r="K283" s="18">
        <f>INDEX('Industry Stats'!$C$2:$C$49,MATCH($C283,'Industry Stats'!$A$2:$A$49,0))</f>
        <v>476.7</v>
      </c>
      <c r="L283" s="19">
        <f t="shared" si="46"/>
        <v>-266.7</v>
      </c>
      <c r="M283" s="18">
        <f>INDEX('Industry Stats'!$D$2:$D$49,MATCH($C283,'Industry Stats'!$A$2:$A$49,0))</f>
        <v>305.10000000000002</v>
      </c>
      <c r="N283" s="19">
        <f t="shared" si="47"/>
        <v>-47.100000000000023</v>
      </c>
      <c r="O283" s="18">
        <f>INDEX('Industry Stats'!$E$2:$E$49,MATCH($C283,'Industry Stats'!$A$2:$A$49,0))</f>
        <v>292.39999999999998</v>
      </c>
      <c r="P283" s="19">
        <f t="shared" si="48"/>
        <v>-66.399999999999977</v>
      </c>
      <c r="R283">
        <f t="shared" si="49"/>
        <v>694.00097170000004</v>
      </c>
      <c r="S283">
        <f t="shared" si="50"/>
        <v>210.00097170000001</v>
      </c>
      <c r="T283">
        <f t="shared" si="51"/>
        <v>258.00097169999998</v>
      </c>
      <c r="U283">
        <f t="shared" si="52"/>
        <v>226.00097170000001</v>
      </c>
      <c r="V283">
        <f t="shared" si="53"/>
        <v>-380.19902830000007</v>
      </c>
      <c r="W283">
        <f t="shared" si="54"/>
        <v>380.20097170000003</v>
      </c>
    </row>
    <row r="284" spans="1:23" ht="15" customHeight="1" x14ac:dyDescent="0.35">
      <c r="A284" t="str">
        <f>'Raw Data'!B282</f>
        <v>CBRE Group Inc</v>
      </c>
      <c r="B284" t="str">
        <f>'Raw Data'!A282</f>
        <v>cbre</v>
      </c>
      <c r="C284" t="str">
        <f>IF('Raw Data'!E282="N/A","Unclassified",TRIM(SUBSTITUTE('Raw Data'!E282," and "," &amp; ")))</f>
        <v>Real Estate</v>
      </c>
      <c r="D284" s="17">
        <f>'Raw Data'!N282</f>
        <v>200</v>
      </c>
      <c r="E284" s="17">
        <f>'Raw Data'!O282</f>
        <v>209</v>
      </c>
      <c r="F284" s="17">
        <f>'Raw Data'!P282</f>
        <v>200</v>
      </c>
      <c r="G284" s="17">
        <f>'Raw Data'!Q282</f>
        <v>609</v>
      </c>
      <c r="H284" s="18">
        <f>INDEX('Industry Stats'!$F$2:$F$49,MATCH($C284,'Industry Stats'!$A$2:$A$49,0))</f>
        <v>995.94444444444446</v>
      </c>
      <c r="I284" s="19">
        <f t="shared" si="44"/>
        <v>-386.94444444444446</v>
      </c>
      <c r="J284" s="20">
        <f t="shared" si="45"/>
        <v>-0.38852010933229209</v>
      </c>
      <c r="K284" s="18">
        <f>INDEX('Industry Stats'!$C$2:$C$49,MATCH($C284,'Industry Stats'!$A$2:$A$49,0))</f>
        <v>431.38888888888891</v>
      </c>
      <c r="L284" s="19">
        <f t="shared" si="46"/>
        <v>-231.38888888888891</v>
      </c>
      <c r="M284" s="18">
        <f>INDEX('Industry Stats'!$D$2:$D$49,MATCH($C284,'Industry Stats'!$A$2:$A$49,0))</f>
        <v>290.91666666666669</v>
      </c>
      <c r="N284" s="19">
        <f t="shared" si="47"/>
        <v>-81.916666666666686</v>
      </c>
      <c r="O284" s="18">
        <f>INDEX('Industry Stats'!$E$2:$E$49,MATCH($C284,'Industry Stats'!$A$2:$A$49,0))</f>
        <v>273.63888888888891</v>
      </c>
      <c r="P284" s="19">
        <f t="shared" si="48"/>
        <v>-73.638888888888914</v>
      </c>
      <c r="R284">
        <f t="shared" si="49"/>
        <v>609.00097159999996</v>
      </c>
      <c r="S284">
        <f t="shared" si="50"/>
        <v>200.00097160000001</v>
      </c>
      <c r="T284">
        <f t="shared" si="51"/>
        <v>209.00097160000001</v>
      </c>
      <c r="U284">
        <f t="shared" si="52"/>
        <v>200.00097160000001</v>
      </c>
      <c r="V284">
        <f t="shared" si="53"/>
        <v>-386.94347284444444</v>
      </c>
      <c r="W284">
        <f t="shared" si="54"/>
        <v>386.94541604444447</v>
      </c>
    </row>
    <row r="285" spans="1:23" ht="15" customHeight="1" x14ac:dyDescent="0.35">
      <c r="A285" t="str">
        <f>'Raw Data'!B283</f>
        <v>Crown Castle Inc</v>
      </c>
      <c r="B285" t="str">
        <f>'Raw Data'!A283</f>
        <v>cci</v>
      </c>
      <c r="C285" t="str">
        <f>IF('Raw Data'!E283="N/A","Unclassified",TRIM(SUBSTITUTE('Raw Data'!E283," and "," &amp; ")))</f>
        <v>Real Estate</v>
      </c>
      <c r="D285" s="17">
        <f>'Raw Data'!N283</f>
        <v>500</v>
      </c>
      <c r="E285" s="17">
        <f>'Raw Data'!O283</f>
        <v>300</v>
      </c>
      <c r="F285" s="17">
        <f>'Raw Data'!P283</f>
        <v>200</v>
      </c>
      <c r="G285" s="17">
        <f>'Raw Data'!Q283</f>
        <v>1000</v>
      </c>
      <c r="H285" s="18">
        <f>INDEX('Industry Stats'!$F$2:$F$49,MATCH($C285,'Industry Stats'!$A$2:$A$49,0))</f>
        <v>995.94444444444446</v>
      </c>
      <c r="I285" s="19">
        <f t="shared" si="44"/>
        <v>4.0555555555555429</v>
      </c>
      <c r="J285" s="20">
        <f t="shared" si="45"/>
        <v>4.0720700619177649E-3</v>
      </c>
      <c r="K285" s="18">
        <f>INDEX('Industry Stats'!$C$2:$C$49,MATCH($C285,'Industry Stats'!$A$2:$A$49,0))</f>
        <v>431.38888888888891</v>
      </c>
      <c r="L285" s="19">
        <f t="shared" si="46"/>
        <v>68.611111111111086</v>
      </c>
      <c r="M285" s="18">
        <f>INDEX('Industry Stats'!$D$2:$D$49,MATCH($C285,'Industry Stats'!$A$2:$A$49,0))</f>
        <v>290.91666666666669</v>
      </c>
      <c r="N285" s="19">
        <f t="shared" si="47"/>
        <v>9.0833333333333144</v>
      </c>
      <c r="O285" s="18">
        <f>INDEX('Industry Stats'!$E$2:$E$49,MATCH($C285,'Industry Stats'!$A$2:$A$49,0))</f>
        <v>273.63888888888891</v>
      </c>
      <c r="P285" s="19">
        <f t="shared" si="48"/>
        <v>-73.638888888888914</v>
      </c>
      <c r="R285">
        <f t="shared" si="49"/>
        <v>1000.0009715</v>
      </c>
      <c r="S285">
        <f t="shared" si="50"/>
        <v>500.00097149999999</v>
      </c>
      <c r="T285">
        <f t="shared" si="51"/>
        <v>300.00097149999999</v>
      </c>
      <c r="U285">
        <f t="shared" si="52"/>
        <v>200.00097149999999</v>
      </c>
      <c r="V285">
        <f t="shared" si="53"/>
        <v>4.0565270555555433</v>
      </c>
      <c r="W285">
        <f t="shared" si="54"/>
        <v>-4.0545840555555426</v>
      </c>
    </row>
    <row r="286" spans="1:23" ht="15" customHeight="1" x14ac:dyDescent="0.35">
      <c r="A286" t="str">
        <f>'Raw Data'!B284</f>
        <v>Ceridian HCM Holding Inc</v>
      </c>
      <c r="B286" t="str">
        <f>'Raw Data'!A284</f>
        <v>cday</v>
      </c>
      <c r="C286" t="str">
        <f>IF('Raw Data'!E284="N/A","Unclassified",TRIM(SUBSTITUTE('Raw Data'!E284," and "," &amp; ")))</f>
        <v>Technology</v>
      </c>
      <c r="D286" s="17">
        <f>'Raw Data'!N284</f>
        <v>530</v>
      </c>
      <c r="E286" s="17">
        <f>'Raw Data'!O284</f>
        <v>379</v>
      </c>
      <c r="F286" s="17">
        <f>'Raw Data'!P284</f>
        <v>320</v>
      </c>
      <c r="G286" s="17">
        <f>'Raw Data'!Q284</f>
        <v>1229</v>
      </c>
      <c r="H286" s="18">
        <f>INDEX('Industry Stats'!$F$2:$F$49,MATCH($C286,'Industry Stats'!$A$2:$A$49,0))</f>
        <v>1031.3174603174602</v>
      </c>
      <c r="I286" s="19">
        <f t="shared" si="44"/>
        <v>197.68253968253975</v>
      </c>
      <c r="J286" s="20">
        <f t="shared" si="45"/>
        <v>0.19167962076554884</v>
      </c>
      <c r="K286" s="18">
        <f>INDEX('Industry Stats'!$C$2:$C$49,MATCH($C286,'Industry Stats'!$A$2:$A$49,0))</f>
        <v>438.11111111111109</v>
      </c>
      <c r="L286" s="19">
        <f t="shared" si="46"/>
        <v>91.888888888888914</v>
      </c>
      <c r="M286" s="18">
        <f>INDEX('Industry Stats'!$D$2:$D$49,MATCH($C286,'Industry Stats'!$A$2:$A$49,0))</f>
        <v>307.90476190476193</v>
      </c>
      <c r="N286" s="19">
        <f t="shared" si="47"/>
        <v>71.095238095238074</v>
      </c>
      <c r="O286" s="18">
        <f>INDEX('Industry Stats'!$E$2:$E$49,MATCH($C286,'Industry Stats'!$A$2:$A$49,0))</f>
        <v>285.30158730158729</v>
      </c>
      <c r="P286" s="19">
        <f t="shared" si="48"/>
        <v>34.69841269841271</v>
      </c>
      <c r="R286">
        <f t="shared" si="49"/>
        <v>1229.0009714</v>
      </c>
      <c r="S286">
        <f t="shared" si="50"/>
        <v>530.00097140000003</v>
      </c>
      <c r="T286">
        <f t="shared" si="51"/>
        <v>379.00097140000003</v>
      </c>
      <c r="U286">
        <f t="shared" si="52"/>
        <v>320.00097140000003</v>
      </c>
      <c r="V286">
        <f t="shared" si="53"/>
        <v>197.68351108253975</v>
      </c>
      <c r="W286">
        <f t="shared" si="54"/>
        <v>-197.68156828253976</v>
      </c>
    </row>
    <row r="287" spans="1:23" ht="15" customHeight="1" x14ac:dyDescent="0.35">
      <c r="A287" t="str">
        <f>'Raw Data'!B285</f>
        <v>Comerica Inc</v>
      </c>
      <c r="B287" t="str">
        <f>'Raw Data'!A285</f>
        <v>cma</v>
      </c>
      <c r="C287" t="str">
        <f>IF('Raw Data'!E285="N/A","Unclassified",TRIM(SUBSTITUTE('Raw Data'!E285," and "," &amp; ")))</f>
        <v>Banking</v>
      </c>
      <c r="D287" s="17">
        <f>'Raw Data'!N285</f>
        <v>280</v>
      </c>
      <c r="E287" s="17">
        <f>'Raw Data'!O285</f>
        <v>300</v>
      </c>
      <c r="F287" s="17">
        <f>'Raw Data'!P285</f>
        <v>230</v>
      </c>
      <c r="G287" s="17">
        <f>'Raw Data'!Q285</f>
        <v>810</v>
      </c>
      <c r="H287" s="18">
        <f>INDEX('Industry Stats'!$F$2:$F$49,MATCH($C287,'Industry Stats'!$A$2:$A$49,0))</f>
        <v>898.31034482758616</v>
      </c>
      <c r="I287" s="19">
        <f t="shared" si="44"/>
        <v>-88.310344827586164</v>
      </c>
      <c r="J287" s="20">
        <f t="shared" si="45"/>
        <v>-9.8307166711450567E-2</v>
      </c>
      <c r="K287" s="18">
        <f>INDEX('Industry Stats'!$C$2:$C$49,MATCH($C287,'Industry Stats'!$A$2:$A$49,0))</f>
        <v>341.48275862068965</v>
      </c>
      <c r="L287" s="19">
        <f t="shared" si="46"/>
        <v>-61.482758620689651</v>
      </c>
      <c r="M287" s="18">
        <f>INDEX('Industry Stats'!$D$2:$D$49,MATCH($C287,'Industry Stats'!$A$2:$A$49,0))</f>
        <v>292.34482758620692</v>
      </c>
      <c r="N287" s="19">
        <f t="shared" si="47"/>
        <v>7.6551724137930819</v>
      </c>
      <c r="O287" s="18">
        <f>INDEX('Industry Stats'!$E$2:$E$49,MATCH($C287,'Industry Stats'!$A$2:$A$49,0))</f>
        <v>264.48275862068965</v>
      </c>
      <c r="P287" s="19">
        <f t="shared" si="48"/>
        <v>-34.482758620689651</v>
      </c>
      <c r="R287">
        <f t="shared" si="49"/>
        <v>810.00097129999995</v>
      </c>
      <c r="S287">
        <f t="shared" si="50"/>
        <v>280.0009713</v>
      </c>
      <c r="T287">
        <f t="shared" si="51"/>
        <v>300.0009713</v>
      </c>
      <c r="U287">
        <f t="shared" si="52"/>
        <v>230.0009713</v>
      </c>
      <c r="V287">
        <f t="shared" si="53"/>
        <v>-88.30937352758616</v>
      </c>
      <c r="W287">
        <f t="shared" si="54"/>
        <v>88.311316127586167</v>
      </c>
    </row>
    <row r="288" spans="1:23" ht="15" customHeight="1" x14ac:dyDescent="0.35">
      <c r="A288" t="str">
        <f>'Raw Data'!B286</f>
        <v>D R Horton Inc</v>
      </c>
      <c r="B288" t="str">
        <f>'Raw Data'!A286</f>
        <v>dhi</v>
      </c>
      <c r="C288" t="str">
        <f>IF('Raw Data'!E286="N/A","Unclassified",TRIM(SUBSTITUTE('Raw Data'!E286," and "," &amp; ")))</f>
        <v>Consumer products</v>
      </c>
      <c r="D288" s="17">
        <f>'Raw Data'!N286</f>
        <v>250</v>
      </c>
      <c r="E288" s="17">
        <f>'Raw Data'!O286</f>
        <v>271</v>
      </c>
      <c r="F288" s="17">
        <f>'Raw Data'!P286</f>
        <v>205</v>
      </c>
      <c r="G288" s="17">
        <f>'Raw Data'!Q286</f>
        <v>726</v>
      </c>
      <c r="H288" s="18">
        <f>INDEX('Industry Stats'!$F$2:$F$49,MATCH($C288,'Industry Stats'!$A$2:$A$49,0))</f>
        <v>945.55</v>
      </c>
      <c r="I288" s="19">
        <f t="shared" si="44"/>
        <v>-219.54999999999995</v>
      </c>
      <c r="J288" s="20">
        <f t="shared" si="45"/>
        <v>-0.23219290360107869</v>
      </c>
      <c r="K288" s="18">
        <f>INDEX('Industry Stats'!$C$2:$C$49,MATCH($C288,'Industry Stats'!$A$2:$A$49,0))</f>
        <v>384.9</v>
      </c>
      <c r="L288" s="19">
        <f t="shared" si="46"/>
        <v>-134.89999999999998</v>
      </c>
      <c r="M288" s="18">
        <f>INDEX('Industry Stats'!$D$2:$D$49,MATCH($C288,'Industry Stats'!$A$2:$A$49,0))</f>
        <v>285.7</v>
      </c>
      <c r="N288" s="19">
        <f t="shared" si="47"/>
        <v>-14.699999999999989</v>
      </c>
      <c r="O288" s="18">
        <f>INDEX('Industry Stats'!$E$2:$E$49,MATCH($C288,'Industry Stats'!$A$2:$A$49,0))</f>
        <v>274.95</v>
      </c>
      <c r="P288" s="19">
        <f t="shared" si="48"/>
        <v>-69.949999999999989</v>
      </c>
      <c r="R288">
        <f t="shared" si="49"/>
        <v>726.00097119999998</v>
      </c>
      <c r="S288">
        <f t="shared" si="50"/>
        <v>250.00097120000001</v>
      </c>
      <c r="T288">
        <f t="shared" si="51"/>
        <v>271.00097119999998</v>
      </c>
      <c r="U288">
        <f t="shared" si="52"/>
        <v>205.00097120000001</v>
      </c>
      <c r="V288">
        <f t="shared" si="53"/>
        <v>-219.54902879999995</v>
      </c>
      <c r="W288">
        <f t="shared" si="54"/>
        <v>219.55097119999996</v>
      </c>
    </row>
    <row r="289" spans="1:23" ht="15" customHeight="1" x14ac:dyDescent="0.35">
      <c r="A289" t="str">
        <f>'Raw Data'!B287</f>
        <v>Dover Corp</v>
      </c>
      <c r="B289" t="str">
        <f>'Raw Data'!A287</f>
        <v>dov</v>
      </c>
      <c r="C289" t="str">
        <f>IF('Raw Data'!E287="N/A","Unclassified",TRIM(SUBSTITUTE('Raw Data'!E287," and "," &amp; ")))</f>
        <v>Machinery</v>
      </c>
      <c r="D289" s="17">
        <f>'Raw Data'!N287</f>
        <v>500</v>
      </c>
      <c r="E289" s="17">
        <f>'Raw Data'!O287</f>
        <v>320</v>
      </c>
      <c r="F289" s="17">
        <f>'Raw Data'!P287</f>
        <v>305</v>
      </c>
      <c r="G289" s="17">
        <f>'Raw Data'!Q287</f>
        <v>1125</v>
      </c>
      <c r="H289" s="18">
        <f>INDEX('Industry Stats'!$F$2:$F$49,MATCH($C289,'Industry Stats'!$A$2:$A$49,0))</f>
        <v>1048.047619047619</v>
      </c>
      <c r="I289" s="19">
        <f t="shared" si="44"/>
        <v>76.952380952380963</v>
      </c>
      <c r="J289" s="20">
        <f t="shared" si="45"/>
        <v>7.3424508155754478E-2</v>
      </c>
      <c r="K289" s="18">
        <f>INDEX('Industry Stats'!$C$2:$C$49,MATCH($C289,'Industry Stats'!$A$2:$A$49,0))</f>
        <v>459.57142857142856</v>
      </c>
      <c r="L289" s="19">
        <f t="shared" si="46"/>
        <v>40.428571428571445</v>
      </c>
      <c r="M289" s="18">
        <f>INDEX('Industry Stats'!$D$2:$D$49,MATCH($C289,'Industry Stats'!$A$2:$A$49,0))</f>
        <v>313.66666666666669</v>
      </c>
      <c r="N289" s="19">
        <f t="shared" si="47"/>
        <v>6.3333333333333144</v>
      </c>
      <c r="O289" s="18">
        <f>INDEX('Industry Stats'!$E$2:$E$49,MATCH($C289,'Industry Stats'!$A$2:$A$49,0))</f>
        <v>274.8095238095238</v>
      </c>
      <c r="P289" s="19">
        <f t="shared" si="48"/>
        <v>30.190476190476204</v>
      </c>
      <c r="R289">
        <f t="shared" si="49"/>
        <v>1125.0009711</v>
      </c>
      <c r="S289">
        <f t="shared" si="50"/>
        <v>500.00097110000002</v>
      </c>
      <c r="T289">
        <f t="shared" si="51"/>
        <v>320.00097110000002</v>
      </c>
      <c r="U289">
        <f t="shared" si="52"/>
        <v>305.00097110000002</v>
      </c>
      <c r="V289">
        <f t="shared" si="53"/>
        <v>76.953352052380964</v>
      </c>
      <c r="W289">
        <f t="shared" si="54"/>
        <v>-76.951409852380962</v>
      </c>
    </row>
    <row r="290" spans="1:23" ht="15" customHeight="1" x14ac:dyDescent="0.35">
      <c r="A290" t="str">
        <f>'Raw Data'!B288</f>
        <v>Darden Restaurants Inc</v>
      </c>
      <c r="B290" t="str">
        <f>'Raw Data'!A288</f>
        <v>dri</v>
      </c>
      <c r="C290" t="str">
        <f>IF('Raw Data'!E288="N/A","Unclassified",TRIM(SUBSTITUTE('Raw Data'!E288," and "," &amp; ")))</f>
        <v>Hotels Restaurants &amp; Leisure</v>
      </c>
      <c r="D290" s="17">
        <f>'Raw Data'!N288</f>
        <v>515</v>
      </c>
      <c r="E290" s="17">
        <f>'Raw Data'!O288</f>
        <v>309</v>
      </c>
      <c r="F290" s="17">
        <f>'Raw Data'!P288</f>
        <v>300</v>
      </c>
      <c r="G290" s="17">
        <f>'Raw Data'!Q288</f>
        <v>1124</v>
      </c>
      <c r="H290" s="18">
        <f>INDEX('Industry Stats'!$F$2:$F$49,MATCH($C290,'Industry Stats'!$A$2:$A$49,0))</f>
        <v>918.86363636363637</v>
      </c>
      <c r="I290" s="19">
        <f t="shared" si="44"/>
        <v>205.13636363636363</v>
      </c>
      <c r="J290" s="20">
        <f t="shared" si="45"/>
        <v>0.22325006183527082</v>
      </c>
      <c r="K290" s="18">
        <f>INDEX('Industry Stats'!$C$2:$C$49,MATCH($C290,'Industry Stats'!$A$2:$A$49,0))</f>
        <v>374.63636363636363</v>
      </c>
      <c r="L290" s="19">
        <f t="shared" si="46"/>
        <v>140.36363636363637</v>
      </c>
      <c r="M290" s="18">
        <f>INDEX('Industry Stats'!$D$2:$D$49,MATCH($C290,'Industry Stats'!$A$2:$A$49,0))</f>
        <v>283.04545454545456</v>
      </c>
      <c r="N290" s="19">
        <f t="shared" si="47"/>
        <v>25.954545454545439</v>
      </c>
      <c r="O290" s="18">
        <f>INDEX('Industry Stats'!$E$2:$E$49,MATCH($C290,'Industry Stats'!$A$2:$A$49,0))</f>
        <v>261.18181818181819</v>
      </c>
      <c r="P290" s="19">
        <f t="shared" si="48"/>
        <v>38.818181818181813</v>
      </c>
      <c r="R290">
        <f t="shared" si="49"/>
        <v>1124.0009709999999</v>
      </c>
      <c r="S290">
        <f t="shared" si="50"/>
        <v>515.00097100000005</v>
      </c>
      <c r="T290">
        <f t="shared" si="51"/>
        <v>309.00097099999999</v>
      </c>
      <c r="U290">
        <f t="shared" si="52"/>
        <v>300.00097099999999</v>
      </c>
      <c r="V290">
        <f t="shared" si="53"/>
        <v>205.13733463636362</v>
      </c>
      <c r="W290">
        <f t="shared" si="54"/>
        <v>-205.13539263636363</v>
      </c>
    </row>
    <row r="291" spans="1:23" ht="15" customHeight="1" x14ac:dyDescent="0.35">
      <c r="A291" t="str">
        <f>'Raw Data'!B289</f>
        <v>Celanese Corp</v>
      </c>
      <c r="B291" t="str">
        <f>'Raw Data'!A289</f>
        <v>ce</v>
      </c>
      <c r="C291" t="str">
        <f>IF('Raw Data'!E289="N/A","Unclassified",TRIM(SUBSTITUTE('Raw Data'!E289," and "," &amp; ")))</f>
        <v>Chemicals</v>
      </c>
      <c r="D291" s="17">
        <f>'Raw Data'!N289</f>
        <v>500</v>
      </c>
      <c r="E291" s="17">
        <f>'Raw Data'!O289</f>
        <v>319</v>
      </c>
      <c r="F291" s="17">
        <f>'Raw Data'!P289</f>
        <v>300</v>
      </c>
      <c r="G291" s="17">
        <f>'Raw Data'!Q289</f>
        <v>1119</v>
      </c>
      <c r="H291" s="18">
        <f>INDEX('Industry Stats'!$F$2:$F$49,MATCH($C291,'Industry Stats'!$A$2:$A$49,0))</f>
        <v>1058.8947368421052</v>
      </c>
      <c r="I291" s="19">
        <f t="shared" si="44"/>
        <v>60.105263157894797</v>
      </c>
      <c r="J291" s="20">
        <f t="shared" si="45"/>
        <v>5.6762264526069944E-2</v>
      </c>
      <c r="K291" s="18">
        <f>INDEX('Industry Stats'!$C$2:$C$49,MATCH($C291,'Industry Stats'!$A$2:$A$49,0))</f>
        <v>463.73684210526318</v>
      </c>
      <c r="L291" s="19">
        <f t="shared" si="46"/>
        <v>36.263157894736821</v>
      </c>
      <c r="M291" s="18">
        <f>INDEX('Industry Stats'!$D$2:$D$49,MATCH($C291,'Industry Stats'!$A$2:$A$49,0))</f>
        <v>304.36842105263156</v>
      </c>
      <c r="N291" s="19">
        <f t="shared" si="47"/>
        <v>14.631578947368439</v>
      </c>
      <c r="O291" s="18">
        <f>INDEX('Industry Stats'!$E$2:$E$49,MATCH($C291,'Industry Stats'!$A$2:$A$49,0))</f>
        <v>290.78947368421052</v>
      </c>
      <c r="P291" s="19">
        <f t="shared" si="48"/>
        <v>9.2105263157894797</v>
      </c>
      <c r="R291">
        <f t="shared" si="49"/>
        <v>1119.0009709000001</v>
      </c>
      <c r="S291">
        <f t="shared" si="50"/>
        <v>500.00097090000003</v>
      </c>
      <c r="T291">
        <f t="shared" si="51"/>
        <v>319.00097090000003</v>
      </c>
      <c r="U291">
        <f t="shared" si="52"/>
        <v>300.00097090000003</v>
      </c>
      <c r="V291">
        <f t="shared" si="53"/>
        <v>60.106234057894795</v>
      </c>
      <c r="W291">
        <f t="shared" si="54"/>
        <v>-60.104292257894798</v>
      </c>
    </row>
    <row r="292" spans="1:23" ht="15" customHeight="1" x14ac:dyDescent="0.35">
      <c r="A292" t="str">
        <f>'Raw Data'!B290</f>
        <v>Dollar General Corp</v>
      </c>
      <c r="B292" t="str">
        <f>'Raw Data'!A290</f>
        <v>dg</v>
      </c>
      <c r="C292" t="str">
        <f>IF('Raw Data'!E290="N/A","Unclassified",TRIM(SUBSTITUTE('Raw Data'!E290," and "," &amp; ")))</f>
        <v>Retail</v>
      </c>
      <c r="D292" s="17">
        <f>'Raw Data'!N290</f>
        <v>247</v>
      </c>
      <c r="E292" s="17">
        <f>'Raw Data'!O290</f>
        <v>222</v>
      </c>
      <c r="F292" s="17">
        <f>'Raw Data'!P290</f>
        <v>200</v>
      </c>
      <c r="G292" s="17">
        <f>'Raw Data'!Q290</f>
        <v>669</v>
      </c>
      <c r="H292" s="18">
        <f>INDEX('Industry Stats'!$F$2:$F$49,MATCH($C292,'Industry Stats'!$A$2:$A$49,0))</f>
        <v>918.57692307692309</v>
      </c>
      <c r="I292" s="19">
        <f t="shared" si="44"/>
        <v>-249.57692307692309</v>
      </c>
      <c r="J292" s="20">
        <f t="shared" si="45"/>
        <v>-0.27169953523426704</v>
      </c>
      <c r="K292" s="18">
        <f>INDEX('Industry Stats'!$C$2:$C$49,MATCH($C292,'Industry Stats'!$A$2:$A$49,0))</f>
        <v>380.30769230769232</v>
      </c>
      <c r="L292" s="19">
        <f t="shared" si="46"/>
        <v>-133.30769230769232</v>
      </c>
      <c r="M292" s="18">
        <f>INDEX('Industry Stats'!$D$2:$D$49,MATCH($C292,'Industry Stats'!$A$2:$A$49,0))</f>
        <v>274.96153846153845</v>
      </c>
      <c r="N292" s="19">
        <f t="shared" si="47"/>
        <v>-52.961538461538453</v>
      </c>
      <c r="O292" s="18">
        <f>INDEX('Industry Stats'!$E$2:$E$49,MATCH($C292,'Industry Stats'!$A$2:$A$49,0))</f>
        <v>263.30769230769232</v>
      </c>
      <c r="P292" s="19">
        <f t="shared" si="48"/>
        <v>-63.307692307692321</v>
      </c>
      <c r="R292">
        <f t="shared" si="49"/>
        <v>669.0009708</v>
      </c>
      <c r="S292">
        <f t="shared" si="50"/>
        <v>247.0009708</v>
      </c>
      <c r="T292">
        <f t="shared" si="51"/>
        <v>222.0009708</v>
      </c>
      <c r="U292">
        <f t="shared" si="52"/>
        <v>200.0009708</v>
      </c>
      <c r="V292">
        <f t="shared" si="53"/>
        <v>-249.57595227692309</v>
      </c>
      <c r="W292">
        <f t="shared" si="54"/>
        <v>249.5778938769231</v>
      </c>
    </row>
    <row r="293" spans="1:23" ht="15" customHeight="1" x14ac:dyDescent="0.35">
      <c r="A293" t="str">
        <f>'Raw Data'!B291</f>
        <v>Chipotle Mexican Grill Inc</v>
      </c>
      <c r="B293" t="str">
        <f>'Raw Data'!A291</f>
        <v>cmg</v>
      </c>
      <c r="C293" t="str">
        <f>IF('Raw Data'!E291="N/A","Unclassified",TRIM(SUBSTITUTE('Raw Data'!E291," and "," &amp; ")))</f>
        <v>Hotels Restaurants &amp; Leisure</v>
      </c>
      <c r="D293" s="17">
        <f>'Raw Data'!N291</f>
        <v>210</v>
      </c>
      <c r="E293" s="17">
        <f>'Raw Data'!O291</f>
        <v>241</v>
      </c>
      <c r="F293" s="17">
        <f>'Raw Data'!P291</f>
        <v>213</v>
      </c>
      <c r="G293" s="17">
        <f>'Raw Data'!Q291</f>
        <v>664</v>
      </c>
      <c r="H293" s="18">
        <f>INDEX('Industry Stats'!$F$2:$F$49,MATCH($C293,'Industry Stats'!$A$2:$A$49,0))</f>
        <v>918.86363636363637</v>
      </c>
      <c r="I293" s="19">
        <f t="shared" si="44"/>
        <v>-254.86363636363637</v>
      </c>
      <c r="J293" s="20">
        <f t="shared" si="45"/>
        <v>-0.27736829087311404</v>
      </c>
      <c r="K293" s="18">
        <f>INDEX('Industry Stats'!$C$2:$C$49,MATCH($C293,'Industry Stats'!$A$2:$A$49,0))</f>
        <v>374.63636363636363</v>
      </c>
      <c r="L293" s="19">
        <f t="shared" si="46"/>
        <v>-164.63636363636363</v>
      </c>
      <c r="M293" s="18">
        <f>INDEX('Industry Stats'!$D$2:$D$49,MATCH($C293,'Industry Stats'!$A$2:$A$49,0))</f>
        <v>283.04545454545456</v>
      </c>
      <c r="N293" s="19">
        <f t="shared" si="47"/>
        <v>-42.045454545454561</v>
      </c>
      <c r="O293" s="18">
        <f>INDEX('Industry Stats'!$E$2:$E$49,MATCH($C293,'Industry Stats'!$A$2:$A$49,0))</f>
        <v>261.18181818181819</v>
      </c>
      <c r="P293" s="19">
        <f t="shared" si="48"/>
        <v>-48.181818181818187</v>
      </c>
      <c r="R293">
        <f t="shared" si="49"/>
        <v>664.00097070000004</v>
      </c>
      <c r="S293">
        <f t="shared" si="50"/>
        <v>210.00097070000001</v>
      </c>
      <c r="T293">
        <f t="shared" si="51"/>
        <v>241.00097070000001</v>
      </c>
      <c r="U293">
        <f t="shared" si="52"/>
        <v>213.00097070000001</v>
      </c>
      <c r="V293">
        <f t="shared" si="53"/>
        <v>-254.86266566363636</v>
      </c>
      <c r="W293">
        <f t="shared" si="54"/>
        <v>254.86460706363638</v>
      </c>
    </row>
    <row r="294" spans="1:23" ht="15" customHeight="1" x14ac:dyDescent="0.35">
      <c r="A294" t="str">
        <f>'Raw Data'!B292</f>
        <v>Quest Diagnostics Inc</v>
      </c>
      <c r="B294" t="str">
        <f>'Raw Data'!A292</f>
        <v>dgx</v>
      </c>
      <c r="C294" t="str">
        <f>IF('Raw Data'!E292="N/A","Unclassified",TRIM(SUBSTITUTE('Raw Data'!E292," and "," &amp; ")))</f>
        <v>Health Care</v>
      </c>
      <c r="D294" s="17">
        <f>'Raw Data'!N292</f>
        <v>230</v>
      </c>
      <c r="E294" s="17">
        <f>'Raw Data'!O292</f>
        <v>300</v>
      </c>
      <c r="F294" s="17">
        <f>'Raw Data'!P292</f>
        <v>205</v>
      </c>
      <c r="G294" s="17">
        <f>'Raw Data'!Q292</f>
        <v>735</v>
      </c>
      <c r="H294" s="18">
        <f>INDEX('Industry Stats'!$F$2:$F$49,MATCH($C294,'Industry Stats'!$A$2:$A$49,0))</f>
        <v>938.76470588235293</v>
      </c>
      <c r="I294" s="19">
        <f t="shared" si="44"/>
        <v>-203.76470588235293</v>
      </c>
      <c r="J294" s="20">
        <f t="shared" si="45"/>
        <v>-0.21705620652923113</v>
      </c>
      <c r="K294" s="18">
        <f>INDEX('Industry Stats'!$C$2:$C$49,MATCH($C294,'Industry Stats'!$A$2:$A$49,0))</f>
        <v>374.52941176470586</v>
      </c>
      <c r="L294" s="19">
        <f t="shared" si="46"/>
        <v>-144.52941176470586</v>
      </c>
      <c r="M294" s="18">
        <f>INDEX('Industry Stats'!$D$2:$D$49,MATCH($C294,'Industry Stats'!$A$2:$A$49,0))</f>
        <v>287.43137254901961</v>
      </c>
      <c r="N294" s="19">
        <f t="shared" si="47"/>
        <v>12.568627450980387</v>
      </c>
      <c r="O294" s="18">
        <f>INDEX('Industry Stats'!$E$2:$E$49,MATCH($C294,'Industry Stats'!$A$2:$A$49,0))</f>
        <v>276.80392156862746</v>
      </c>
      <c r="P294" s="19">
        <f t="shared" si="48"/>
        <v>-71.803921568627459</v>
      </c>
      <c r="R294">
        <f t="shared" si="49"/>
        <v>735.00097059999996</v>
      </c>
      <c r="S294">
        <f t="shared" si="50"/>
        <v>230.00097059999999</v>
      </c>
      <c r="T294">
        <f t="shared" si="51"/>
        <v>300.00097060000002</v>
      </c>
      <c r="U294">
        <f t="shared" si="52"/>
        <v>205.00097059999999</v>
      </c>
      <c r="V294">
        <f t="shared" si="53"/>
        <v>-203.76373528235294</v>
      </c>
      <c r="W294">
        <f t="shared" si="54"/>
        <v>203.76567648235292</v>
      </c>
    </row>
    <row r="295" spans="1:23" ht="15" customHeight="1" x14ac:dyDescent="0.35">
      <c r="A295" t="str">
        <f>'Raw Data'!B293</f>
        <v>Carnival Corp</v>
      </c>
      <c r="B295" t="str">
        <f>'Raw Data'!A293</f>
        <v>ccl</v>
      </c>
      <c r="C295" t="str">
        <f>IF('Raw Data'!E293="N/A","Unclassified",TRIM(SUBSTITUTE('Raw Data'!E293," and "," &amp; ")))</f>
        <v>Hotels Restaurants &amp; Leisure</v>
      </c>
      <c r="D295" s="17">
        <f>'Raw Data'!N293</f>
        <v>515</v>
      </c>
      <c r="E295" s="17">
        <f>'Raw Data'!O293</f>
        <v>326</v>
      </c>
      <c r="F295" s="17">
        <f>'Raw Data'!P293</f>
        <v>320</v>
      </c>
      <c r="G295" s="17">
        <f>'Raw Data'!Q293</f>
        <v>1161</v>
      </c>
      <c r="H295" s="18">
        <f>INDEX('Industry Stats'!$F$2:$F$49,MATCH($C295,'Industry Stats'!$A$2:$A$49,0))</f>
        <v>918.86363636363637</v>
      </c>
      <c r="I295" s="19">
        <f t="shared" si="44"/>
        <v>242.13636363636363</v>
      </c>
      <c r="J295" s="20">
        <f t="shared" si="45"/>
        <v>0.26351719020529307</v>
      </c>
      <c r="K295" s="18">
        <f>INDEX('Industry Stats'!$C$2:$C$49,MATCH($C295,'Industry Stats'!$A$2:$A$49,0))</f>
        <v>374.63636363636363</v>
      </c>
      <c r="L295" s="19">
        <f t="shared" si="46"/>
        <v>140.36363636363637</v>
      </c>
      <c r="M295" s="18">
        <f>INDEX('Industry Stats'!$D$2:$D$49,MATCH($C295,'Industry Stats'!$A$2:$A$49,0))</f>
        <v>283.04545454545456</v>
      </c>
      <c r="N295" s="19">
        <f t="shared" si="47"/>
        <v>42.954545454545439</v>
      </c>
      <c r="O295" s="18">
        <f>INDEX('Industry Stats'!$E$2:$E$49,MATCH($C295,'Industry Stats'!$A$2:$A$49,0))</f>
        <v>261.18181818181819</v>
      </c>
      <c r="P295" s="19">
        <f t="shared" si="48"/>
        <v>58.818181818181813</v>
      </c>
      <c r="R295">
        <f t="shared" si="49"/>
        <v>1161.0009705</v>
      </c>
      <c r="S295">
        <f t="shared" si="50"/>
        <v>515.00097049999999</v>
      </c>
      <c r="T295">
        <f t="shared" si="51"/>
        <v>326.00097049999999</v>
      </c>
      <c r="U295">
        <f t="shared" si="52"/>
        <v>320.00097049999999</v>
      </c>
      <c r="V295">
        <f t="shared" si="53"/>
        <v>242.13733413636362</v>
      </c>
      <c r="W295">
        <f t="shared" si="54"/>
        <v>-242.13539313636363</v>
      </c>
    </row>
    <row r="296" spans="1:23" ht="15" customHeight="1" x14ac:dyDescent="0.35">
      <c r="A296" t="str">
        <f>'Raw Data'!B294</f>
        <v>Church &amp; Dwight Co Inc</v>
      </c>
      <c r="B296" t="str">
        <f>'Raw Data'!A294</f>
        <v>chd</v>
      </c>
      <c r="C296" t="str">
        <f>IF('Raw Data'!E294="N/A","Unclassified",TRIM(SUBSTITUTE('Raw Data'!E294," and "," &amp; ")))</f>
        <v>Consumer products</v>
      </c>
      <c r="D296" s="17">
        <f>'Raw Data'!N294</f>
        <v>578</v>
      </c>
      <c r="E296" s="17">
        <f>'Raw Data'!O294</f>
        <v>341</v>
      </c>
      <c r="F296" s="17">
        <f>'Raw Data'!P294</f>
        <v>348</v>
      </c>
      <c r="G296" s="17">
        <f>'Raw Data'!Q294</f>
        <v>1267</v>
      </c>
      <c r="H296" s="18">
        <f>INDEX('Industry Stats'!$F$2:$F$49,MATCH($C296,'Industry Stats'!$A$2:$A$49,0))</f>
        <v>945.55</v>
      </c>
      <c r="I296" s="19">
        <f t="shared" si="44"/>
        <v>321.45000000000005</v>
      </c>
      <c r="J296" s="20">
        <f t="shared" si="45"/>
        <v>0.33996086933530756</v>
      </c>
      <c r="K296" s="18">
        <f>INDEX('Industry Stats'!$C$2:$C$49,MATCH($C296,'Industry Stats'!$A$2:$A$49,0))</f>
        <v>384.9</v>
      </c>
      <c r="L296" s="19">
        <f t="shared" si="46"/>
        <v>193.10000000000002</v>
      </c>
      <c r="M296" s="18">
        <f>INDEX('Industry Stats'!$D$2:$D$49,MATCH($C296,'Industry Stats'!$A$2:$A$49,0))</f>
        <v>285.7</v>
      </c>
      <c r="N296" s="19">
        <f t="shared" si="47"/>
        <v>55.300000000000011</v>
      </c>
      <c r="O296" s="18">
        <f>INDEX('Industry Stats'!$E$2:$E$49,MATCH($C296,'Industry Stats'!$A$2:$A$49,0))</f>
        <v>274.95</v>
      </c>
      <c r="P296" s="19">
        <f t="shared" si="48"/>
        <v>73.050000000000011</v>
      </c>
      <c r="R296">
        <f t="shared" si="49"/>
        <v>1267.0009703999999</v>
      </c>
      <c r="S296">
        <f t="shared" si="50"/>
        <v>578.00097040000003</v>
      </c>
      <c r="T296">
        <f t="shared" si="51"/>
        <v>341.00097040000003</v>
      </c>
      <c r="U296">
        <f t="shared" si="52"/>
        <v>348.00097040000003</v>
      </c>
      <c r="V296">
        <f t="shared" si="53"/>
        <v>321.45097040000007</v>
      </c>
      <c r="W296">
        <f t="shared" si="54"/>
        <v>-321.44902960000002</v>
      </c>
    </row>
    <row r="297" spans="1:23" ht="15" customHeight="1" x14ac:dyDescent="0.35">
      <c r="A297" t="str">
        <f>'Raw Data'!B295</f>
        <v>Dow Inc</v>
      </c>
      <c r="B297" t="str">
        <f>'Raw Data'!A295</f>
        <v>dow</v>
      </c>
      <c r="C297" t="str">
        <f>IF('Raw Data'!E295="N/A","Unclassified",TRIM(SUBSTITUTE('Raw Data'!E295," and "," &amp; ")))</f>
        <v>Chemicals</v>
      </c>
      <c r="D297" s="17">
        <f>'Raw Data'!N295</f>
        <v>225</v>
      </c>
      <c r="E297" s="17">
        <f>'Raw Data'!O295</f>
        <v>201</v>
      </c>
      <c r="F297" s="17">
        <f>'Raw Data'!P295</f>
        <v>200</v>
      </c>
      <c r="G297" s="17">
        <f>'Raw Data'!Q295</f>
        <v>626</v>
      </c>
      <c r="H297" s="18">
        <f>INDEX('Industry Stats'!$F$2:$F$49,MATCH($C297,'Industry Stats'!$A$2:$A$49,0))</f>
        <v>1058.8947368421052</v>
      </c>
      <c r="I297" s="19">
        <f t="shared" si="44"/>
        <v>-432.8947368421052</v>
      </c>
      <c r="J297" s="20">
        <f t="shared" si="45"/>
        <v>-0.40881753566280626</v>
      </c>
      <c r="K297" s="18">
        <f>INDEX('Industry Stats'!$C$2:$C$49,MATCH($C297,'Industry Stats'!$A$2:$A$49,0))</f>
        <v>463.73684210526318</v>
      </c>
      <c r="L297" s="19">
        <f t="shared" si="46"/>
        <v>-238.73684210526318</v>
      </c>
      <c r="M297" s="18">
        <f>INDEX('Industry Stats'!$D$2:$D$49,MATCH($C297,'Industry Stats'!$A$2:$A$49,0))</f>
        <v>304.36842105263156</v>
      </c>
      <c r="N297" s="19">
        <f t="shared" si="47"/>
        <v>-103.36842105263156</v>
      </c>
      <c r="O297" s="18">
        <f>INDEX('Industry Stats'!$E$2:$E$49,MATCH($C297,'Industry Stats'!$A$2:$A$49,0))</f>
        <v>290.78947368421052</v>
      </c>
      <c r="P297" s="19">
        <f t="shared" si="48"/>
        <v>-90.78947368421052</v>
      </c>
      <c r="R297">
        <f t="shared" si="49"/>
        <v>626.00097029999995</v>
      </c>
      <c r="S297">
        <f t="shared" si="50"/>
        <v>225.00097030000001</v>
      </c>
      <c r="T297">
        <f t="shared" si="51"/>
        <v>201.00097030000001</v>
      </c>
      <c r="U297">
        <f t="shared" si="52"/>
        <v>200.00097030000001</v>
      </c>
      <c r="V297">
        <f t="shared" si="53"/>
        <v>-432.8937665421052</v>
      </c>
      <c r="W297">
        <f t="shared" si="54"/>
        <v>432.89570714210521</v>
      </c>
    </row>
    <row r="298" spans="1:23" ht="15" customHeight="1" x14ac:dyDescent="0.35">
      <c r="A298" t="str">
        <f>'Raw Data'!B296</f>
        <v>Discover Financial Services</v>
      </c>
      <c r="B298" t="str">
        <f>'Raw Data'!A296</f>
        <v>dfs</v>
      </c>
      <c r="C298" t="str">
        <f>IF('Raw Data'!E296="N/A","Unclassified",TRIM(SUBSTITUTE('Raw Data'!E296," and "," &amp; ")))</f>
        <v>Financial Services</v>
      </c>
      <c r="D298" s="17">
        <f>'Raw Data'!N296</f>
        <v>335</v>
      </c>
      <c r="E298" s="17">
        <f>'Raw Data'!O296</f>
        <v>321</v>
      </c>
      <c r="F298" s="17">
        <f>'Raw Data'!P296</f>
        <v>313</v>
      </c>
      <c r="G298" s="17">
        <f>'Raw Data'!Q296</f>
        <v>969</v>
      </c>
      <c r="H298" s="18">
        <f>INDEX('Industry Stats'!$F$2:$F$49,MATCH($C298,'Industry Stats'!$A$2:$A$49,0))</f>
        <v>909.33333333333337</v>
      </c>
      <c r="I298" s="19">
        <f t="shared" si="44"/>
        <v>59.666666666666629</v>
      </c>
      <c r="J298" s="20">
        <f t="shared" si="45"/>
        <v>6.5615835777126055E-2</v>
      </c>
      <c r="K298" s="18">
        <f>INDEX('Industry Stats'!$C$2:$C$49,MATCH($C298,'Industry Stats'!$A$2:$A$49,0))</f>
        <v>367.63636363636363</v>
      </c>
      <c r="L298" s="19">
        <f t="shared" si="46"/>
        <v>-32.636363636363626</v>
      </c>
      <c r="M298" s="18">
        <f>INDEX('Industry Stats'!$D$2:$D$49,MATCH($C298,'Industry Stats'!$A$2:$A$49,0))</f>
        <v>276.45454545454544</v>
      </c>
      <c r="N298" s="19">
        <f t="shared" si="47"/>
        <v>44.545454545454561</v>
      </c>
      <c r="O298" s="18">
        <f>INDEX('Industry Stats'!$E$2:$E$49,MATCH($C298,'Industry Stats'!$A$2:$A$49,0))</f>
        <v>265.24242424242425</v>
      </c>
      <c r="P298" s="19">
        <f t="shared" si="48"/>
        <v>47.757575757575751</v>
      </c>
      <c r="R298">
        <f t="shared" si="49"/>
        <v>969.00097019999998</v>
      </c>
      <c r="S298">
        <f t="shared" si="50"/>
        <v>335.00097019999998</v>
      </c>
      <c r="T298">
        <f t="shared" si="51"/>
        <v>321.00097019999998</v>
      </c>
      <c r="U298">
        <f t="shared" si="52"/>
        <v>313.00097019999998</v>
      </c>
      <c r="V298">
        <f t="shared" si="53"/>
        <v>59.667636866666626</v>
      </c>
      <c r="W298">
        <f t="shared" si="54"/>
        <v>-59.665696466666631</v>
      </c>
    </row>
    <row r="299" spans="1:23" ht="15" customHeight="1" x14ac:dyDescent="0.35">
      <c r="A299" t="str">
        <f>'Raw Data'!B297</f>
        <v>Duke Energy Corp</v>
      </c>
      <c r="B299" t="str">
        <f>'Raw Data'!A297</f>
        <v>duk</v>
      </c>
      <c r="C299" t="str">
        <f>IF('Raw Data'!E297="N/A","Unclassified",TRIM(SUBSTITUTE('Raw Data'!E297," and "," &amp; ")))</f>
        <v>Utilities</v>
      </c>
      <c r="D299" s="17">
        <f>'Raw Data'!N297</f>
        <v>604</v>
      </c>
      <c r="E299" s="17">
        <f>'Raw Data'!O297</f>
        <v>362</v>
      </c>
      <c r="F299" s="17">
        <f>'Raw Data'!P297</f>
        <v>328</v>
      </c>
      <c r="G299" s="17">
        <f>'Raw Data'!Q297</f>
        <v>1294</v>
      </c>
      <c r="H299" s="18">
        <f>INDEX('Industry Stats'!$F$2:$F$49,MATCH($C299,'Industry Stats'!$A$2:$A$49,0))</f>
        <v>1190.6333333333334</v>
      </c>
      <c r="I299" s="19">
        <f t="shared" si="44"/>
        <v>103.36666666666656</v>
      </c>
      <c r="J299" s="20">
        <f t="shared" si="45"/>
        <v>8.6816540216691301E-2</v>
      </c>
      <c r="K299" s="18">
        <f>INDEX('Industry Stats'!$C$2:$C$49,MATCH($C299,'Industry Stats'!$A$2:$A$49,0))</f>
        <v>550.9666666666667</v>
      </c>
      <c r="L299" s="19">
        <f t="shared" si="46"/>
        <v>53.033333333333303</v>
      </c>
      <c r="M299" s="18">
        <f>INDEX('Industry Stats'!$D$2:$D$49,MATCH($C299,'Industry Stats'!$A$2:$A$49,0))</f>
        <v>357.4</v>
      </c>
      <c r="N299" s="19">
        <f t="shared" si="47"/>
        <v>4.6000000000000227</v>
      </c>
      <c r="O299" s="18">
        <f>INDEX('Industry Stats'!$E$2:$E$49,MATCH($C299,'Industry Stats'!$A$2:$A$49,0))</f>
        <v>282.26666666666665</v>
      </c>
      <c r="P299" s="19">
        <f t="shared" si="48"/>
        <v>45.733333333333348</v>
      </c>
      <c r="R299">
        <f t="shared" si="49"/>
        <v>1294.0009700999999</v>
      </c>
      <c r="S299">
        <f t="shared" si="50"/>
        <v>604.00097010000002</v>
      </c>
      <c r="T299">
        <f t="shared" si="51"/>
        <v>362.00097010000002</v>
      </c>
      <c r="U299">
        <f t="shared" si="52"/>
        <v>328.00097010000002</v>
      </c>
      <c r="V299">
        <f t="shared" si="53"/>
        <v>103.36763676666656</v>
      </c>
      <c r="W299">
        <f t="shared" si="54"/>
        <v>-103.36569656666656</v>
      </c>
    </row>
    <row r="300" spans="1:23" ht="15" customHeight="1" x14ac:dyDescent="0.35">
      <c r="A300" t="str">
        <f>'Raw Data'!B298</f>
        <v>Duke Realty Corp</v>
      </c>
      <c r="B300" t="str">
        <f>'Raw Data'!A298</f>
        <v>dre</v>
      </c>
      <c r="C300" t="str">
        <f>IF('Raw Data'!E298="N/A","Unclassified",TRIM(SUBSTITUTE('Raw Data'!E298," and "," &amp; ")))</f>
        <v>Real Estate</v>
      </c>
      <c r="D300" s="17">
        <f>'Raw Data'!N298</f>
        <v>540</v>
      </c>
      <c r="E300" s="17">
        <f>'Raw Data'!O298</f>
        <v>313</v>
      </c>
      <c r="F300" s="17">
        <f>'Raw Data'!P298</f>
        <v>300</v>
      </c>
      <c r="G300" s="17">
        <f>'Raw Data'!Q298</f>
        <v>1153</v>
      </c>
      <c r="H300" s="18">
        <f>INDEX('Industry Stats'!$F$2:$F$49,MATCH($C300,'Industry Stats'!$A$2:$A$49,0))</f>
        <v>995.94444444444446</v>
      </c>
      <c r="I300" s="19">
        <f t="shared" si="44"/>
        <v>157.05555555555554</v>
      </c>
      <c r="J300" s="20">
        <f t="shared" si="45"/>
        <v>0.15769509678139118</v>
      </c>
      <c r="K300" s="18">
        <f>INDEX('Industry Stats'!$C$2:$C$49,MATCH($C300,'Industry Stats'!$A$2:$A$49,0))</f>
        <v>431.38888888888891</v>
      </c>
      <c r="L300" s="19">
        <f t="shared" si="46"/>
        <v>108.61111111111109</v>
      </c>
      <c r="M300" s="18">
        <f>INDEX('Industry Stats'!$D$2:$D$49,MATCH($C300,'Industry Stats'!$A$2:$A$49,0))</f>
        <v>290.91666666666669</v>
      </c>
      <c r="N300" s="19">
        <f t="shared" si="47"/>
        <v>22.083333333333314</v>
      </c>
      <c r="O300" s="18">
        <f>INDEX('Industry Stats'!$E$2:$E$49,MATCH($C300,'Industry Stats'!$A$2:$A$49,0))</f>
        <v>273.63888888888891</v>
      </c>
      <c r="P300" s="19">
        <f t="shared" si="48"/>
        <v>26.361111111111086</v>
      </c>
      <c r="R300">
        <f t="shared" si="49"/>
        <v>1153.0009700000001</v>
      </c>
      <c r="S300">
        <f t="shared" si="50"/>
        <v>540.00097000000005</v>
      </c>
      <c r="T300">
        <f t="shared" si="51"/>
        <v>313.00097</v>
      </c>
      <c r="U300">
        <f t="shared" si="52"/>
        <v>300.00097</v>
      </c>
      <c r="V300">
        <f t="shared" si="53"/>
        <v>157.05652555555554</v>
      </c>
      <c r="W300">
        <f t="shared" si="54"/>
        <v>-157.05458555555555</v>
      </c>
    </row>
    <row r="301" spans="1:23" ht="15" customHeight="1" x14ac:dyDescent="0.35">
      <c r="A301" t="str">
        <f>'Raw Data'!B299</f>
        <v>CF Industries Holdings Inc</v>
      </c>
      <c r="B301" t="str">
        <f>'Raw Data'!A299</f>
        <v>cf</v>
      </c>
      <c r="C301" t="str">
        <f>IF('Raw Data'!E299="N/A","Unclassified",TRIM(SUBSTITUTE('Raw Data'!E299," and "," &amp; ")))</f>
        <v>Chemicals</v>
      </c>
      <c r="D301" s="17">
        <f>'Raw Data'!N299</f>
        <v>525</v>
      </c>
      <c r="E301" s="17">
        <f>'Raw Data'!O299</f>
        <v>307</v>
      </c>
      <c r="F301" s="17">
        <f>'Raw Data'!P299</f>
        <v>310</v>
      </c>
      <c r="G301" s="17">
        <f>'Raw Data'!Q299</f>
        <v>1142</v>
      </c>
      <c r="H301" s="18">
        <f>INDEX('Industry Stats'!$F$2:$F$49,MATCH($C301,'Industry Stats'!$A$2:$A$49,0))</f>
        <v>1058.8947368421052</v>
      </c>
      <c r="I301" s="19">
        <f t="shared" si="44"/>
        <v>83.105263157894797</v>
      </c>
      <c r="J301" s="20">
        <f t="shared" si="45"/>
        <v>7.848302599532786E-2</v>
      </c>
      <c r="K301" s="18">
        <f>INDEX('Industry Stats'!$C$2:$C$49,MATCH($C301,'Industry Stats'!$A$2:$A$49,0))</f>
        <v>463.73684210526318</v>
      </c>
      <c r="L301" s="19">
        <f t="shared" si="46"/>
        <v>61.263157894736821</v>
      </c>
      <c r="M301" s="18">
        <f>INDEX('Industry Stats'!$D$2:$D$49,MATCH($C301,'Industry Stats'!$A$2:$A$49,0))</f>
        <v>304.36842105263156</v>
      </c>
      <c r="N301" s="19">
        <f t="shared" si="47"/>
        <v>2.631578947368439</v>
      </c>
      <c r="O301" s="18">
        <f>INDEX('Industry Stats'!$E$2:$E$49,MATCH($C301,'Industry Stats'!$A$2:$A$49,0))</f>
        <v>290.78947368421052</v>
      </c>
      <c r="P301" s="19">
        <f t="shared" si="48"/>
        <v>19.21052631578948</v>
      </c>
      <c r="R301">
        <f t="shared" si="49"/>
        <v>1142.0009699</v>
      </c>
      <c r="S301">
        <f t="shared" si="50"/>
        <v>525.00096989999997</v>
      </c>
      <c r="T301">
        <f t="shared" si="51"/>
        <v>307.00096989999997</v>
      </c>
      <c r="U301">
        <f t="shared" si="52"/>
        <v>310.00096989999997</v>
      </c>
      <c r="V301">
        <f t="shared" si="53"/>
        <v>83.106233057894798</v>
      </c>
      <c r="W301">
        <f t="shared" si="54"/>
        <v>-83.104293257894795</v>
      </c>
    </row>
    <row r="302" spans="1:23" ht="15" customHeight="1" x14ac:dyDescent="0.35">
      <c r="A302" t="str">
        <f>'Raw Data'!B300</f>
        <v>Devon Energy Corp</v>
      </c>
      <c r="B302" t="str">
        <f>'Raw Data'!A300</f>
        <v>dvn</v>
      </c>
      <c r="C302" t="str">
        <f>IF('Raw Data'!E300="N/A","Unclassified",TRIM(SUBSTITUTE('Raw Data'!E300," and "," &amp; ")))</f>
        <v>Energy</v>
      </c>
      <c r="D302" s="17">
        <f>'Raw Data'!N300</f>
        <v>570</v>
      </c>
      <c r="E302" s="17">
        <f>'Raw Data'!O300</f>
        <v>301</v>
      </c>
      <c r="F302" s="17">
        <f>'Raw Data'!P300</f>
        <v>300</v>
      </c>
      <c r="G302" s="17">
        <f>'Raw Data'!Q300</f>
        <v>1171</v>
      </c>
      <c r="H302" s="18">
        <f>INDEX('Industry Stats'!$F$2:$F$49,MATCH($C302,'Industry Stats'!$A$2:$A$49,0))</f>
        <v>1117.7619047619048</v>
      </c>
      <c r="I302" s="19">
        <f t="shared" si="44"/>
        <v>53.238095238095184</v>
      </c>
      <c r="J302" s="20">
        <f t="shared" si="45"/>
        <v>4.7629190985387412E-2</v>
      </c>
      <c r="K302" s="18">
        <f>INDEX('Industry Stats'!$C$2:$C$49,MATCH($C302,'Industry Stats'!$A$2:$A$49,0))</f>
        <v>515.09523809523807</v>
      </c>
      <c r="L302" s="19">
        <f t="shared" si="46"/>
        <v>54.904761904761926</v>
      </c>
      <c r="M302" s="18">
        <f>INDEX('Industry Stats'!$D$2:$D$49,MATCH($C302,'Industry Stats'!$A$2:$A$49,0))</f>
        <v>308.95238095238096</v>
      </c>
      <c r="N302" s="19">
        <f t="shared" si="47"/>
        <v>-7.9523809523809632</v>
      </c>
      <c r="O302" s="18">
        <f>INDEX('Industry Stats'!$E$2:$E$49,MATCH($C302,'Industry Stats'!$A$2:$A$49,0))</f>
        <v>293.71428571428572</v>
      </c>
      <c r="P302" s="19">
        <f t="shared" si="48"/>
        <v>6.2857142857142776</v>
      </c>
      <c r="R302">
        <f t="shared" si="49"/>
        <v>1171.0009697999999</v>
      </c>
      <c r="S302">
        <f t="shared" si="50"/>
        <v>570.00096980000001</v>
      </c>
      <c r="T302">
        <f t="shared" si="51"/>
        <v>301.00096980000001</v>
      </c>
      <c r="U302">
        <f t="shared" si="52"/>
        <v>300.00096980000001</v>
      </c>
      <c r="V302">
        <f t="shared" si="53"/>
        <v>53.239065038095184</v>
      </c>
      <c r="W302">
        <f t="shared" si="54"/>
        <v>-53.237125438095184</v>
      </c>
    </row>
    <row r="303" spans="1:23" ht="15" customHeight="1" x14ac:dyDescent="0.35">
      <c r="A303" t="str">
        <f>'Raw Data'!B301</f>
        <v>Ecolab Inc</v>
      </c>
      <c r="B303" t="str">
        <f>'Raw Data'!A301</f>
        <v>ecl</v>
      </c>
      <c r="C303" t="str">
        <f>IF('Raw Data'!E301="N/A","Unclassified",TRIM(SUBSTITUTE('Raw Data'!E301," and "," &amp; ")))</f>
        <v>Chemicals</v>
      </c>
      <c r="D303" s="17">
        <f>'Raw Data'!N301</f>
        <v>547</v>
      </c>
      <c r="E303" s="17">
        <f>'Raw Data'!O301</f>
        <v>373</v>
      </c>
      <c r="F303" s="17">
        <f>'Raw Data'!P301</f>
        <v>325</v>
      </c>
      <c r="G303" s="17">
        <f>'Raw Data'!Q301</f>
        <v>1245</v>
      </c>
      <c r="H303" s="18">
        <f>INDEX('Industry Stats'!$F$2:$F$49,MATCH($C303,'Industry Stats'!$A$2:$A$49,0))</f>
        <v>1058.8947368421052</v>
      </c>
      <c r="I303" s="19">
        <f t="shared" si="44"/>
        <v>186.1052631578948</v>
      </c>
      <c r="J303" s="20">
        <f t="shared" si="45"/>
        <v>0.17575426214026549</v>
      </c>
      <c r="K303" s="18">
        <f>INDEX('Industry Stats'!$C$2:$C$49,MATCH($C303,'Industry Stats'!$A$2:$A$49,0))</f>
        <v>463.73684210526318</v>
      </c>
      <c r="L303" s="19">
        <f t="shared" si="46"/>
        <v>83.263157894736821</v>
      </c>
      <c r="M303" s="18">
        <f>INDEX('Industry Stats'!$D$2:$D$49,MATCH($C303,'Industry Stats'!$A$2:$A$49,0))</f>
        <v>304.36842105263156</v>
      </c>
      <c r="N303" s="19">
        <f t="shared" si="47"/>
        <v>68.631578947368439</v>
      </c>
      <c r="O303" s="18">
        <f>INDEX('Industry Stats'!$E$2:$E$49,MATCH($C303,'Industry Stats'!$A$2:$A$49,0))</f>
        <v>290.78947368421052</v>
      </c>
      <c r="P303" s="19">
        <f t="shared" si="48"/>
        <v>34.21052631578948</v>
      </c>
      <c r="R303">
        <f t="shared" si="49"/>
        <v>1245.0009697</v>
      </c>
      <c r="S303">
        <f t="shared" si="50"/>
        <v>547.00096970000004</v>
      </c>
      <c r="T303">
        <f t="shared" si="51"/>
        <v>373.00096969999998</v>
      </c>
      <c r="U303">
        <f t="shared" si="52"/>
        <v>325.00096969999998</v>
      </c>
      <c r="V303">
        <f t="shared" si="53"/>
        <v>186.10623285789481</v>
      </c>
      <c r="W303">
        <f t="shared" si="54"/>
        <v>-186.10429345789478</v>
      </c>
    </row>
    <row r="304" spans="1:23" ht="15" customHeight="1" x14ac:dyDescent="0.35">
      <c r="A304" t="str">
        <f>'Raw Data'!B302</f>
        <v>Home Depot Inc</v>
      </c>
      <c r="B304" t="str">
        <f>'Raw Data'!A302</f>
        <v>hd</v>
      </c>
      <c r="C304" t="str">
        <f>IF('Raw Data'!E302="N/A","Unclassified",TRIM(SUBSTITUTE('Raw Data'!E302," and "," &amp; ")))</f>
        <v>Retail</v>
      </c>
      <c r="D304" s="17">
        <f>'Raw Data'!N302</f>
        <v>230</v>
      </c>
      <c r="E304" s="17">
        <f>'Raw Data'!O302</f>
        <v>317</v>
      </c>
      <c r="F304" s="17">
        <f>'Raw Data'!P302</f>
        <v>205</v>
      </c>
      <c r="G304" s="17">
        <f>'Raw Data'!Q302</f>
        <v>752</v>
      </c>
      <c r="H304" s="18">
        <f>INDEX('Industry Stats'!$F$2:$F$49,MATCH($C304,'Industry Stats'!$A$2:$A$49,0))</f>
        <v>918.57692307692309</v>
      </c>
      <c r="I304" s="19">
        <f t="shared" si="44"/>
        <v>-166.57692307692309</v>
      </c>
      <c r="J304" s="20">
        <f t="shared" si="45"/>
        <v>-0.18134237742327181</v>
      </c>
      <c r="K304" s="18">
        <f>INDEX('Industry Stats'!$C$2:$C$49,MATCH($C304,'Industry Stats'!$A$2:$A$49,0))</f>
        <v>380.30769230769232</v>
      </c>
      <c r="L304" s="19">
        <f t="shared" si="46"/>
        <v>-150.30769230769232</v>
      </c>
      <c r="M304" s="18">
        <f>INDEX('Industry Stats'!$D$2:$D$49,MATCH($C304,'Industry Stats'!$A$2:$A$49,0))</f>
        <v>274.96153846153845</v>
      </c>
      <c r="N304" s="19">
        <f t="shared" si="47"/>
        <v>42.038461538461547</v>
      </c>
      <c r="O304" s="18">
        <f>INDEX('Industry Stats'!$E$2:$E$49,MATCH($C304,'Industry Stats'!$A$2:$A$49,0))</f>
        <v>263.30769230769232</v>
      </c>
      <c r="P304" s="19">
        <f t="shared" si="48"/>
        <v>-58.307692307692321</v>
      </c>
      <c r="R304">
        <f t="shared" si="49"/>
        <v>752.00096959999996</v>
      </c>
      <c r="S304">
        <f t="shared" si="50"/>
        <v>230.00096959999999</v>
      </c>
      <c r="T304">
        <f t="shared" si="51"/>
        <v>317.00096960000002</v>
      </c>
      <c r="U304">
        <f t="shared" si="52"/>
        <v>205.00096959999999</v>
      </c>
      <c r="V304">
        <f t="shared" si="53"/>
        <v>-166.5759534769231</v>
      </c>
      <c r="W304">
        <f t="shared" si="54"/>
        <v>166.57789267692308</v>
      </c>
    </row>
    <row r="305" spans="1:23" ht="15" customHeight="1" x14ac:dyDescent="0.35">
      <c r="A305" t="str">
        <f>'Raw Data'!B303</f>
        <v>DTE Energy Co</v>
      </c>
      <c r="B305" t="str">
        <f>'Raw Data'!A303</f>
        <v>dte</v>
      </c>
      <c r="C305" t="str">
        <f>IF('Raw Data'!E303="N/A","Unclassified",TRIM(SUBSTITUTE('Raw Data'!E303," and "," &amp; ")))</f>
        <v>Utilities</v>
      </c>
      <c r="D305" s="17">
        <f>'Raw Data'!N303</f>
        <v>592</v>
      </c>
      <c r="E305" s="17">
        <f>'Raw Data'!O303</f>
        <v>313</v>
      </c>
      <c r="F305" s="17">
        <f>'Raw Data'!P303</f>
        <v>210</v>
      </c>
      <c r="G305" s="17">
        <f>'Raw Data'!Q303</f>
        <v>1115</v>
      </c>
      <c r="H305" s="18">
        <f>INDEX('Industry Stats'!$F$2:$F$49,MATCH($C305,'Industry Stats'!$A$2:$A$49,0))</f>
        <v>1190.6333333333334</v>
      </c>
      <c r="I305" s="19">
        <f t="shared" si="44"/>
        <v>-75.633333333333439</v>
      </c>
      <c r="J305" s="20">
        <f t="shared" si="45"/>
        <v>-6.3523614882835547E-2</v>
      </c>
      <c r="K305" s="18">
        <f>INDEX('Industry Stats'!$C$2:$C$49,MATCH($C305,'Industry Stats'!$A$2:$A$49,0))</f>
        <v>550.9666666666667</v>
      </c>
      <c r="L305" s="19">
        <f t="shared" si="46"/>
        <v>41.033333333333303</v>
      </c>
      <c r="M305" s="18">
        <f>INDEX('Industry Stats'!$D$2:$D$49,MATCH($C305,'Industry Stats'!$A$2:$A$49,0))</f>
        <v>357.4</v>
      </c>
      <c r="N305" s="19">
        <f t="shared" si="47"/>
        <v>-44.399999999999977</v>
      </c>
      <c r="O305" s="18">
        <f>INDEX('Industry Stats'!$E$2:$E$49,MATCH($C305,'Industry Stats'!$A$2:$A$49,0))</f>
        <v>282.26666666666665</v>
      </c>
      <c r="P305" s="19">
        <f t="shared" si="48"/>
        <v>-72.266666666666652</v>
      </c>
      <c r="R305">
        <f t="shared" si="49"/>
        <v>1115.0009695000001</v>
      </c>
      <c r="S305">
        <f t="shared" si="50"/>
        <v>592.0009695</v>
      </c>
      <c r="T305">
        <f t="shared" si="51"/>
        <v>313.0009695</v>
      </c>
      <c r="U305">
        <f t="shared" si="52"/>
        <v>210.0009695</v>
      </c>
      <c r="V305">
        <f t="shared" si="53"/>
        <v>-75.632363833333443</v>
      </c>
      <c r="W305">
        <f t="shared" si="54"/>
        <v>75.634302833333436</v>
      </c>
    </row>
    <row r="306" spans="1:23" ht="15" customHeight="1" x14ac:dyDescent="0.35">
      <c r="A306" t="str">
        <f>'Raw Data'!B304</f>
        <v>Edison International</v>
      </c>
      <c r="B306" t="str">
        <f>'Raw Data'!A304</f>
        <v>eix</v>
      </c>
      <c r="C306" t="str">
        <f>IF('Raw Data'!E304="N/A","Unclassified",TRIM(SUBSTITUTE('Raw Data'!E304," and "," &amp; ")))</f>
        <v>Utilities</v>
      </c>
      <c r="D306" s="17">
        <f>'Raw Data'!N304</f>
        <v>700</v>
      </c>
      <c r="E306" s="17">
        <f>'Raw Data'!O304</f>
        <v>513</v>
      </c>
      <c r="F306" s="17">
        <f>'Raw Data'!P304</f>
        <v>315</v>
      </c>
      <c r="G306" s="17">
        <f>'Raw Data'!Q304</f>
        <v>1528</v>
      </c>
      <c r="H306" s="18">
        <f>INDEX('Industry Stats'!$F$2:$F$49,MATCH($C306,'Industry Stats'!$A$2:$A$49,0))</f>
        <v>1190.6333333333334</v>
      </c>
      <c r="I306" s="19">
        <f t="shared" si="44"/>
        <v>337.36666666666656</v>
      </c>
      <c r="J306" s="20">
        <f t="shared" si="45"/>
        <v>0.28335059772110072</v>
      </c>
      <c r="K306" s="18">
        <f>INDEX('Industry Stats'!$C$2:$C$49,MATCH($C306,'Industry Stats'!$A$2:$A$49,0))</f>
        <v>550.9666666666667</v>
      </c>
      <c r="L306" s="19">
        <f t="shared" si="46"/>
        <v>149.0333333333333</v>
      </c>
      <c r="M306" s="18">
        <f>INDEX('Industry Stats'!$D$2:$D$49,MATCH($C306,'Industry Stats'!$A$2:$A$49,0))</f>
        <v>357.4</v>
      </c>
      <c r="N306" s="19">
        <f t="shared" si="47"/>
        <v>155.60000000000002</v>
      </c>
      <c r="O306" s="18">
        <f>INDEX('Industry Stats'!$E$2:$E$49,MATCH($C306,'Industry Stats'!$A$2:$A$49,0))</f>
        <v>282.26666666666665</v>
      </c>
      <c r="P306" s="19">
        <f t="shared" si="48"/>
        <v>32.733333333333348</v>
      </c>
      <c r="R306">
        <f t="shared" si="49"/>
        <v>1528.0009694</v>
      </c>
      <c r="S306">
        <f t="shared" si="50"/>
        <v>700.00096940000003</v>
      </c>
      <c r="T306">
        <f t="shared" si="51"/>
        <v>513.00096940000003</v>
      </c>
      <c r="U306">
        <f t="shared" si="52"/>
        <v>315.00096939999997</v>
      </c>
      <c r="V306">
        <f t="shared" si="53"/>
        <v>337.36763606666653</v>
      </c>
      <c r="W306">
        <f t="shared" si="54"/>
        <v>-337.36569726666659</v>
      </c>
    </row>
    <row r="307" spans="1:23" ht="15" customHeight="1" x14ac:dyDescent="0.35">
      <c r="A307" t="str">
        <f>'Raw Data'!B305</f>
        <v>Corning Inc</v>
      </c>
      <c r="B307" t="str">
        <f>'Raw Data'!A305</f>
        <v>glw</v>
      </c>
      <c r="C307" t="str">
        <f>IF('Raw Data'!E305="N/A","Unclassified",TRIM(SUBSTITUTE('Raw Data'!E305," and "," &amp; ")))</f>
        <v>Electrical Equipment</v>
      </c>
      <c r="D307" s="17">
        <f>'Raw Data'!N305</f>
        <v>200</v>
      </c>
      <c r="E307" s="17">
        <f>'Raw Data'!O305</f>
        <v>200</v>
      </c>
      <c r="F307" s="17">
        <f>'Raw Data'!P305</f>
        <v>200</v>
      </c>
      <c r="G307" s="17">
        <f>'Raw Data'!Q305</f>
        <v>600</v>
      </c>
      <c r="H307" s="18">
        <f>INDEX('Industry Stats'!$F$2:$F$49,MATCH($C307,'Industry Stats'!$A$2:$A$49,0))</f>
        <v>933</v>
      </c>
      <c r="I307" s="19">
        <f t="shared" si="44"/>
        <v>-333</v>
      </c>
      <c r="J307" s="20">
        <f t="shared" si="45"/>
        <v>-0.35691318327974275</v>
      </c>
      <c r="K307" s="18">
        <f>INDEX('Industry Stats'!$C$2:$C$49,MATCH($C307,'Industry Stats'!$A$2:$A$49,0))</f>
        <v>381.7037037037037</v>
      </c>
      <c r="L307" s="19">
        <f t="shared" si="46"/>
        <v>-181.7037037037037</v>
      </c>
      <c r="M307" s="18">
        <f>INDEX('Industry Stats'!$D$2:$D$49,MATCH($C307,'Industry Stats'!$A$2:$A$49,0))</f>
        <v>272.11111111111109</v>
      </c>
      <c r="N307" s="19">
        <f t="shared" si="47"/>
        <v>-72.111111111111086</v>
      </c>
      <c r="O307" s="18">
        <f>INDEX('Industry Stats'!$E$2:$E$49,MATCH($C307,'Industry Stats'!$A$2:$A$49,0))</f>
        <v>279.18518518518516</v>
      </c>
      <c r="P307" s="19">
        <f t="shared" si="48"/>
        <v>-79.185185185185162</v>
      </c>
      <c r="R307">
        <f t="shared" si="49"/>
        <v>600.00096929999995</v>
      </c>
      <c r="S307">
        <f t="shared" si="50"/>
        <v>200.00096930000001</v>
      </c>
      <c r="T307">
        <f t="shared" si="51"/>
        <v>200.00096930000001</v>
      </c>
      <c r="U307">
        <f t="shared" si="52"/>
        <v>200.00096930000001</v>
      </c>
      <c r="V307">
        <f t="shared" si="53"/>
        <v>-332.99903069999999</v>
      </c>
      <c r="W307">
        <f t="shared" si="54"/>
        <v>333.00096930000001</v>
      </c>
    </row>
    <row r="308" spans="1:23" ht="15" customHeight="1" x14ac:dyDescent="0.35">
      <c r="A308" t="str">
        <f>'Raw Data'!B306</f>
        <v>DaVita Inc</v>
      </c>
      <c r="B308" t="str">
        <f>'Raw Data'!A306</f>
        <v>dva</v>
      </c>
      <c r="C308" t="str">
        <f>IF('Raw Data'!E306="N/A","Unclassified",TRIM(SUBSTITUTE('Raw Data'!E306," and "," &amp; ")))</f>
        <v>Health Care</v>
      </c>
      <c r="D308" s="17">
        <f>'Raw Data'!N306</f>
        <v>260</v>
      </c>
      <c r="E308" s="17">
        <f>'Raw Data'!O306</f>
        <v>332</v>
      </c>
      <c r="F308" s="17">
        <f>'Raw Data'!P306</f>
        <v>300</v>
      </c>
      <c r="G308" s="17">
        <f>'Raw Data'!Q306</f>
        <v>892</v>
      </c>
      <c r="H308" s="18">
        <f>INDEX('Industry Stats'!$F$2:$F$49,MATCH($C308,'Industry Stats'!$A$2:$A$49,0))</f>
        <v>938.76470588235293</v>
      </c>
      <c r="I308" s="19">
        <f t="shared" si="44"/>
        <v>-46.764705882352928</v>
      </c>
      <c r="J308" s="20">
        <f t="shared" si="45"/>
        <v>-4.9815151325270993E-2</v>
      </c>
      <c r="K308" s="18">
        <f>INDEX('Industry Stats'!$C$2:$C$49,MATCH($C308,'Industry Stats'!$A$2:$A$49,0))</f>
        <v>374.52941176470586</v>
      </c>
      <c r="L308" s="19">
        <f t="shared" si="46"/>
        <v>-114.52941176470586</v>
      </c>
      <c r="M308" s="18">
        <f>INDEX('Industry Stats'!$D$2:$D$49,MATCH($C308,'Industry Stats'!$A$2:$A$49,0))</f>
        <v>287.43137254901961</v>
      </c>
      <c r="N308" s="19">
        <f t="shared" si="47"/>
        <v>44.568627450980387</v>
      </c>
      <c r="O308" s="18">
        <f>INDEX('Industry Stats'!$E$2:$E$49,MATCH($C308,'Industry Stats'!$A$2:$A$49,0))</f>
        <v>276.80392156862746</v>
      </c>
      <c r="P308" s="19">
        <f t="shared" si="48"/>
        <v>23.196078431372541</v>
      </c>
      <c r="R308">
        <f t="shared" si="49"/>
        <v>892.00096919999999</v>
      </c>
      <c r="S308">
        <f t="shared" si="50"/>
        <v>260.00096919999999</v>
      </c>
      <c r="T308">
        <f t="shared" si="51"/>
        <v>332.00096919999999</v>
      </c>
      <c r="U308">
        <f t="shared" si="52"/>
        <v>300.00096919999999</v>
      </c>
      <c r="V308">
        <f t="shared" si="53"/>
        <v>-46.763736682352928</v>
      </c>
      <c r="W308">
        <f t="shared" si="54"/>
        <v>46.765675082352928</v>
      </c>
    </row>
    <row r="309" spans="1:23" ht="15" customHeight="1" x14ac:dyDescent="0.35">
      <c r="A309" t="str">
        <f>'Raw Data'!B307</f>
        <v>Western Digital Corp</v>
      </c>
      <c r="B309" t="str">
        <f>'Raw Data'!A307</f>
        <v>wdc</v>
      </c>
      <c r="C309" t="str">
        <f>IF('Raw Data'!E307="N/A","Unclassified",TRIM(SUBSTITUTE('Raw Data'!E307," and "," &amp; ")))</f>
        <v>Technology</v>
      </c>
      <c r="D309" s="17">
        <f>'Raw Data'!N307</f>
        <v>545</v>
      </c>
      <c r="E309" s="17">
        <f>'Raw Data'!O307</f>
        <v>339</v>
      </c>
      <c r="F309" s="17">
        <f>'Raw Data'!P307</f>
        <v>260</v>
      </c>
      <c r="G309" s="17">
        <f>'Raw Data'!Q307</f>
        <v>1144</v>
      </c>
      <c r="H309" s="18">
        <f>INDEX('Industry Stats'!$F$2:$F$49,MATCH($C309,'Industry Stats'!$A$2:$A$49,0))</f>
        <v>1031.3174603174602</v>
      </c>
      <c r="I309" s="19">
        <f t="shared" si="44"/>
        <v>112.68253968253975</v>
      </c>
      <c r="J309" s="20">
        <f t="shared" si="45"/>
        <v>0.10926076985824888</v>
      </c>
      <c r="K309" s="18">
        <f>INDEX('Industry Stats'!$C$2:$C$49,MATCH($C309,'Industry Stats'!$A$2:$A$49,0))</f>
        <v>438.11111111111109</v>
      </c>
      <c r="L309" s="19">
        <f t="shared" si="46"/>
        <v>106.88888888888891</v>
      </c>
      <c r="M309" s="18">
        <f>INDEX('Industry Stats'!$D$2:$D$49,MATCH($C309,'Industry Stats'!$A$2:$A$49,0))</f>
        <v>307.90476190476193</v>
      </c>
      <c r="N309" s="19">
        <f t="shared" si="47"/>
        <v>31.095238095238074</v>
      </c>
      <c r="O309" s="18">
        <f>INDEX('Industry Stats'!$E$2:$E$49,MATCH($C309,'Industry Stats'!$A$2:$A$49,0))</f>
        <v>285.30158730158729</v>
      </c>
      <c r="P309" s="19">
        <f t="shared" si="48"/>
        <v>-25.30158730158729</v>
      </c>
      <c r="R309">
        <f t="shared" si="49"/>
        <v>1144.0009691</v>
      </c>
      <c r="S309">
        <f t="shared" si="50"/>
        <v>545.00096910000002</v>
      </c>
      <c r="T309">
        <f t="shared" si="51"/>
        <v>339.00096910000002</v>
      </c>
      <c r="U309">
        <f t="shared" si="52"/>
        <v>260.00096910000002</v>
      </c>
      <c r="V309">
        <f t="shared" si="53"/>
        <v>112.68350878253976</v>
      </c>
      <c r="W309">
        <f t="shared" si="54"/>
        <v>-112.68157058253975</v>
      </c>
    </row>
    <row r="310" spans="1:23" ht="15" customHeight="1" x14ac:dyDescent="0.35">
      <c r="A310" t="str">
        <f>'Raw Data'!B308</f>
        <v>Goldman Sachs Group Inc</v>
      </c>
      <c r="B310" t="str">
        <f>'Raw Data'!A308</f>
        <v>gs</v>
      </c>
      <c r="C310" t="str">
        <f>IF('Raw Data'!E308="N/A","Unclassified",TRIM(SUBSTITUTE('Raw Data'!E308," and "," &amp; ")))</f>
        <v>Financial Services</v>
      </c>
      <c r="D310" s="17">
        <f>'Raw Data'!N308</f>
        <v>525</v>
      </c>
      <c r="E310" s="17">
        <f>'Raw Data'!O308</f>
        <v>305</v>
      </c>
      <c r="F310" s="17">
        <f>'Raw Data'!P308</f>
        <v>305</v>
      </c>
      <c r="G310" s="17">
        <f>'Raw Data'!Q308</f>
        <v>1135</v>
      </c>
      <c r="H310" s="18">
        <f>INDEX('Industry Stats'!$F$2:$F$49,MATCH($C310,'Industry Stats'!$A$2:$A$49,0))</f>
        <v>909.33333333333337</v>
      </c>
      <c r="I310" s="19">
        <f t="shared" si="44"/>
        <v>225.66666666666663</v>
      </c>
      <c r="J310" s="20">
        <f t="shared" si="45"/>
        <v>0.24816715542521989</v>
      </c>
      <c r="K310" s="18">
        <f>INDEX('Industry Stats'!$C$2:$C$49,MATCH($C310,'Industry Stats'!$A$2:$A$49,0))</f>
        <v>367.63636363636363</v>
      </c>
      <c r="L310" s="19">
        <f t="shared" si="46"/>
        <v>157.36363636363637</v>
      </c>
      <c r="M310" s="18">
        <f>INDEX('Industry Stats'!$D$2:$D$49,MATCH($C310,'Industry Stats'!$A$2:$A$49,0))</f>
        <v>276.45454545454544</v>
      </c>
      <c r="N310" s="19">
        <f t="shared" si="47"/>
        <v>28.545454545454561</v>
      </c>
      <c r="O310" s="18">
        <f>INDEX('Industry Stats'!$E$2:$E$49,MATCH($C310,'Industry Stats'!$A$2:$A$49,0))</f>
        <v>265.24242424242425</v>
      </c>
      <c r="P310" s="19">
        <f t="shared" si="48"/>
        <v>39.757575757575751</v>
      </c>
      <c r="R310">
        <f t="shared" si="49"/>
        <v>1135.0009689999999</v>
      </c>
      <c r="S310">
        <f t="shared" si="50"/>
        <v>525.00096900000005</v>
      </c>
      <c r="T310">
        <f t="shared" si="51"/>
        <v>305.000969</v>
      </c>
      <c r="U310">
        <f t="shared" si="52"/>
        <v>305.000969</v>
      </c>
      <c r="V310">
        <f t="shared" si="53"/>
        <v>225.66763566666663</v>
      </c>
      <c r="W310">
        <f t="shared" si="54"/>
        <v>-225.66569766666663</v>
      </c>
    </row>
    <row r="311" spans="1:23" ht="15" customHeight="1" x14ac:dyDescent="0.35">
      <c r="A311" t="str">
        <f>'Raw Data'!B309</f>
        <v>DXC Technology Co</v>
      </c>
      <c r="B311" t="str">
        <f>'Raw Data'!A309</f>
        <v>dxc</v>
      </c>
      <c r="C311" t="str">
        <f>IF('Raw Data'!E309="N/A","Unclassified",TRIM(SUBSTITUTE('Raw Data'!E309," and "," &amp; ")))</f>
        <v>Technology</v>
      </c>
      <c r="D311" s="17">
        <f>'Raw Data'!N309</f>
        <v>505</v>
      </c>
      <c r="E311" s="17">
        <f>'Raw Data'!O309</f>
        <v>326</v>
      </c>
      <c r="F311" s="17">
        <f>'Raw Data'!P309</f>
        <v>305</v>
      </c>
      <c r="G311" s="17">
        <f>'Raw Data'!Q309</f>
        <v>1136</v>
      </c>
      <c r="H311" s="18">
        <f>INDEX('Industry Stats'!$F$2:$F$49,MATCH($C311,'Industry Stats'!$A$2:$A$49,0))</f>
        <v>1031.3174603174602</v>
      </c>
      <c r="I311" s="19">
        <f t="shared" si="44"/>
        <v>104.68253968253975</v>
      </c>
      <c r="J311" s="20">
        <f t="shared" si="45"/>
        <v>0.10150370153756183</v>
      </c>
      <c r="K311" s="18">
        <f>INDEX('Industry Stats'!$C$2:$C$49,MATCH($C311,'Industry Stats'!$A$2:$A$49,0))</f>
        <v>438.11111111111109</v>
      </c>
      <c r="L311" s="19">
        <f t="shared" si="46"/>
        <v>66.888888888888914</v>
      </c>
      <c r="M311" s="18">
        <f>INDEX('Industry Stats'!$D$2:$D$49,MATCH($C311,'Industry Stats'!$A$2:$A$49,0))</f>
        <v>307.90476190476193</v>
      </c>
      <c r="N311" s="19">
        <f t="shared" si="47"/>
        <v>18.095238095238074</v>
      </c>
      <c r="O311" s="18">
        <f>INDEX('Industry Stats'!$E$2:$E$49,MATCH($C311,'Industry Stats'!$A$2:$A$49,0))</f>
        <v>285.30158730158729</v>
      </c>
      <c r="P311" s="19">
        <f t="shared" si="48"/>
        <v>19.69841269841271</v>
      </c>
      <c r="R311">
        <f t="shared" si="49"/>
        <v>1136.0009689000001</v>
      </c>
      <c r="S311">
        <f t="shared" si="50"/>
        <v>505.00096889999998</v>
      </c>
      <c r="T311">
        <f t="shared" si="51"/>
        <v>326.00096889999998</v>
      </c>
      <c r="U311">
        <f t="shared" si="52"/>
        <v>305.00096889999998</v>
      </c>
      <c r="V311">
        <f t="shared" si="53"/>
        <v>104.68350858253976</v>
      </c>
      <c r="W311">
        <f t="shared" si="54"/>
        <v>-104.68157078253975</v>
      </c>
    </row>
    <row r="312" spans="1:23" ht="15" customHeight="1" x14ac:dyDescent="0.35">
      <c r="A312" t="str">
        <f>'Raw Data'!B310</f>
        <v>Eaton Corporation PLC</v>
      </c>
      <c r="B312" t="str">
        <f>'Raw Data'!A310</f>
        <v>etn</v>
      </c>
      <c r="C312" t="str">
        <f>IF('Raw Data'!E310="N/A","Unclassified",TRIM(SUBSTITUTE('Raw Data'!E310," and "," &amp; ")))</f>
        <v>Electrical Equipment</v>
      </c>
      <c r="D312" s="17">
        <f>'Raw Data'!N310</f>
        <v>520</v>
      </c>
      <c r="E312" s="17">
        <f>'Raw Data'!O310</f>
        <v>328</v>
      </c>
      <c r="F312" s="17">
        <f>'Raw Data'!P310</f>
        <v>320</v>
      </c>
      <c r="G312" s="17">
        <f>'Raw Data'!Q310</f>
        <v>1168</v>
      </c>
      <c r="H312" s="18">
        <f>INDEX('Industry Stats'!$F$2:$F$49,MATCH($C312,'Industry Stats'!$A$2:$A$49,0))</f>
        <v>933</v>
      </c>
      <c r="I312" s="19">
        <f t="shared" si="44"/>
        <v>235</v>
      </c>
      <c r="J312" s="20">
        <f t="shared" si="45"/>
        <v>0.25187566988210075</v>
      </c>
      <c r="K312" s="18">
        <f>INDEX('Industry Stats'!$C$2:$C$49,MATCH($C312,'Industry Stats'!$A$2:$A$49,0))</f>
        <v>381.7037037037037</v>
      </c>
      <c r="L312" s="19">
        <f t="shared" si="46"/>
        <v>138.2962962962963</v>
      </c>
      <c r="M312" s="18">
        <f>INDEX('Industry Stats'!$D$2:$D$49,MATCH($C312,'Industry Stats'!$A$2:$A$49,0))</f>
        <v>272.11111111111109</v>
      </c>
      <c r="N312" s="19">
        <f t="shared" si="47"/>
        <v>55.888888888888914</v>
      </c>
      <c r="O312" s="18">
        <f>INDEX('Industry Stats'!$E$2:$E$49,MATCH($C312,'Industry Stats'!$A$2:$A$49,0))</f>
        <v>279.18518518518516</v>
      </c>
      <c r="P312" s="19">
        <f t="shared" si="48"/>
        <v>40.814814814814838</v>
      </c>
      <c r="R312">
        <f t="shared" si="49"/>
        <v>1168.0009688</v>
      </c>
      <c r="S312">
        <f t="shared" si="50"/>
        <v>520.00096880000001</v>
      </c>
      <c r="T312">
        <f t="shared" si="51"/>
        <v>328.00096880000001</v>
      </c>
      <c r="U312">
        <f t="shared" si="52"/>
        <v>320.00096880000001</v>
      </c>
      <c r="V312">
        <f t="shared" si="53"/>
        <v>235.00096880000001</v>
      </c>
      <c r="W312">
        <f t="shared" si="54"/>
        <v>-234.99903119999999</v>
      </c>
    </row>
    <row r="313" spans="1:23" ht="15" customHeight="1" x14ac:dyDescent="0.35">
      <c r="A313" t="str">
        <f>'Raw Data'!B311</f>
        <v>Consolidated Edison Inc</v>
      </c>
      <c r="B313" t="str">
        <f>'Raw Data'!A311</f>
        <v>ed</v>
      </c>
      <c r="C313" t="str">
        <f>IF('Raw Data'!E311="N/A","Unclassified",TRIM(SUBSTITUTE('Raw Data'!E311," and "," &amp; ")))</f>
        <v>Utilities</v>
      </c>
      <c r="D313" s="17">
        <f>'Raw Data'!N311</f>
        <v>700</v>
      </c>
      <c r="E313" s="17">
        <f>'Raw Data'!O311</f>
        <v>358</v>
      </c>
      <c r="F313" s="17">
        <f>'Raw Data'!P311</f>
        <v>300</v>
      </c>
      <c r="G313" s="17">
        <f>'Raw Data'!Q311</f>
        <v>1358</v>
      </c>
      <c r="H313" s="18">
        <f>INDEX('Industry Stats'!$F$2:$F$49,MATCH($C313,'Industry Stats'!$A$2:$A$49,0))</f>
        <v>1190.6333333333334</v>
      </c>
      <c r="I313" s="19">
        <f t="shared" si="44"/>
        <v>167.36666666666656</v>
      </c>
      <c r="J313" s="20">
        <f t="shared" si="45"/>
        <v>0.1405694448332819</v>
      </c>
      <c r="K313" s="18">
        <f>INDEX('Industry Stats'!$C$2:$C$49,MATCH($C313,'Industry Stats'!$A$2:$A$49,0))</f>
        <v>550.9666666666667</v>
      </c>
      <c r="L313" s="19">
        <f t="shared" si="46"/>
        <v>149.0333333333333</v>
      </c>
      <c r="M313" s="18">
        <f>INDEX('Industry Stats'!$D$2:$D$49,MATCH($C313,'Industry Stats'!$A$2:$A$49,0))</f>
        <v>357.4</v>
      </c>
      <c r="N313" s="19">
        <f t="shared" si="47"/>
        <v>0.60000000000002274</v>
      </c>
      <c r="O313" s="18">
        <f>INDEX('Industry Stats'!$E$2:$E$49,MATCH($C313,'Industry Stats'!$A$2:$A$49,0))</f>
        <v>282.26666666666665</v>
      </c>
      <c r="P313" s="19">
        <f t="shared" si="48"/>
        <v>17.733333333333348</v>
      </c>
      <c r="R313">
        <f t="shared" si="49"/>
        <v>1358.0009686999999</v>
      </c>
      <c r="S313">
        <f t="shared" si="50"/>
        <v>700.00096870000004</v>
      </c>
      <c r="T313">
        <f t="shared" si="51"/>
        <v>358.00096869999999</v>
      </c>
      <c r="U313">
        <f t="shared" si="52"/>
        <v>300.00096869999999</v>
      </c>
      <c r="V313">
        <f t="shared" si="53"/>
        <v>167.36763536666655</v>
      </c>
      <c r="W313">
        <f t="shared" si="54"/>
        <v>-167.36569796666657</v>
      </c>
    </row>
    <row r="314" spans="1:23" ht="15" customHeight="1" x14ac:dyDescent="0.35">
      <c r="A314" t="str">
        <f>'Raw Data'!B312</f>
        <v>Hershey Co</v>
      </c>
      <c r="B314" t="str">
        <f>'Raw Data'!A312</f>
        <v>hsy</v>
      </c>
      <c r="C314" t="str">
        <f>IF('Raw Data'!E312="N/A","Unclassified",TRIM(SUBSTITUTE('Raw Data'!E312," and "," &amp; ")))</f>
        <v>Food Products</v>
      </c>
      <c r="D314" s="17">
        <f>'Raw Data'!N312</f>
        <v>525</v>
      </c>
      <c r="E314" s="17">
        <f>'Raw Data'!O312</f>
        <v>361</v>
      </c>
      <c r="F314" s="17">
        <f>'Raw Data'!P312</f>
        <v>300</v>
      </c>
      <c r="G314" s="17">
        <f>'Raw Data'!Q312</f>
        <v>1186</v>
      </c>
      <c r="H314" s="18">
        <f>INDEX('Industry Stats'!$F$2:$F$49,MATCH($C314,'Industry Stats'!$A$2:$A$49,0))</f>
        <v>1131.0714285714287</v>
      </c>
      <c r="I314" s="19">
        <f t="shared" si="44"/>
        <v>54.928571428571331</v>
      </c>
      <c r="J314" s="20">
        <f t="shared" si="45"/>
        <v>4.8563309125355135E-2</v>
      </c>
      <c r="K314" s="18">
        <f>INDEX('Industry Stats'!$C$2:$C$49,MATCH($C314,'Industry Stats'!$A$2:$A$49,0))</f>
        <v>516.57142857142856</v>
      </c>
      <c r="L314" s="19">
        <f t="shared" si="46"/>
        <v>8.4285714285714448</v>
      </c>
      <c r="M314" s="18">
        <f>INDEX('Industry Stats'!$D$2:$D$49,MATCH($C314,'Industry Stats'!$A$2:$A$49,0))</f>
        <v>311.28571428571428</v>
      </c>
      <c r="N314" s="19">
        <f t="shared" si="47"/>
        <v>49.714285714285722</v>
      </c>
      <c r="O314" s="18">
        <f>INDEX('Industry Stats'!$E$2:$E$49,MATCH($C314,'Industry Stats'!$A$2:$A$49,0))</f>
        <v>303.21428571428572</v>
      </c>
      <c r="P314" s="19">
        <f t="shared" si="48"/>
        <v>-3.2142857142857224</v>
      </c>
      <c r="R314">
        <f t="shared" si="49"/>
        <v>1186.0009686000001</v>
      </c>
      <c r="S314">
        <f t="shared" si="50"/>
        <v>525.00096859999996</v>
      </c>
      <c r="T314">
        <f t="shared" si="51"/>
        <v>361.00096860000002</v>
      </c>
      <c r="U314">
        <f t="shared" si="52"/>
        <v>300.00096860000002</v>
      </c>
      <c r="V314">
        <f t="shared" si="53"/>
        <v>54.929540028571331</v>
      </c>
      <c r="W314">
        <f t="shared" si="54"/>
        <v>-54.927602828571331</v>
      </c>
    </row>
    <row r="315" spans="1:23" ht="15" customHeight="1" x14ac:dyDescent="0.35">
      <c r="A315" t="str">
        <f>'Raw Data'!B313</f>
        <v>Johnson &amp; Johnson</v>
      </c>
      <c r="B315" t="str">
        <f>'Raw Data'!A313</f>
        <v>jnj</v>
      </c>
      <c r="C315" t="str">
        <f>IF('Raw Data'!E313="N/A","Unclassified",TRIM(SUBSTITUTE('Raw Data'!E313," and "," &amp; ")))</f>
        <v>Pharmaceuticals</v>
      </c>
      <c r="D315" s="17">
        <f>'Raw Data'!N313</f>
        <v>565</v>
      </c>
      <c r="E315" s="17">
        <f>'Raw Data'!O313</f>
        <v>308</v>
      </c>
      <c r="F315" s="17">
        <f>'Raw Data'!P313</f>
        <v>300</v>
      </c>
      <c r="G315" s="17">
        <f>'Raw Data'!Q313</f>
        <v>1173</v>
      </c>
      <c r="H315" s="18">
        <f>INDEX('Industry Stats'!$F$2:$F$49,MATCH($C315,'Industry Stats'!$A$2:$A$49,0))</f>
        <v>903.66666666666663</v>
      </c>
      <c r="I315" s="19">
        <f t="shared" si="44"/>
        <v>269.33333333333337</v>
      </c>
      <c r="J315" s="20">
        <f t="shared" si="45"/>
        <v>0.29804500184433796</v>
      </c>
      <c r="K315" s="18">
        <f>INDEX('Industry Stats'!$C$2:$C$49,MATCH($C315,'Industry Stats'!$A$2:$A$49,0))</f>
        <v>360.04761904761904</v>
      </c>
      <c r="L315" s="19">
        <f t="shared" si="46"/>
        <v>204.95238095238096</v>
      </c>
      <c r="M315" s="18">
        <f>INDEX('Industry Stats'!$D$2:$D$49,MATCH($C315,'Industry Stats'!$A$2:$A$49,0))</f>
        <v>269.66666666666669</v>
      </c>
      <c r="N315" s="19">
        <f t="shared" si="47"/>
        <v>38.333333333333314</v>
      </c>
      <c r="O315" s="18">
        <f>INDEX('Industry Stats'!$E$2:$E$49,MATCH($C315,'Industry Stats'!$A$2:$A$49,0))</f>
        <v>273.95238095238096</v>
      </c>
      <c r="P315" s="19">
        <f t="shared" si="48"/>
        <v>26.047619047619037</v>
      </c>
      <c r="R315">
        <f t="shared" si="49"/>
        <v>1173.0009685</v>
      </c>
      <c r="S315">
        <f t="shared" si="50"/>
        <v>565.0009685</v>
      </c>
      <c r="T315">
        <f t="shared" si="51"/>
        <v>308.0009685</v>
      </c>
      <c r="U315">
        <f t="shared" si="52"/>
        <v>300.0009685</v>
      </c>
      <c r="V315">
        <f t="shared" si="53"/>
        <v>269.33430183333337</v>
      </c>
      <c r="W315">
        <f t="shared" si="54"/>
        <v>-269.33236483333337</v>
      </c>
    </row>
    <row r="316" spans="1:23" ht="15" customHeight="1" x14ac:dyDescent="0.35">
      <c r="A316" t="str">
        <f>'Raw Data'!B314</f>
        <v>JPMorgan Chase &amp; Co</v>
      </c>
      <c r="B316" t="str">
        <f>'Raw Data'!A314</f>
        <v>jpm</v>
      </c>
      <c r="C316" t="str">
        <f>IF('Raw Data'!E314="N/A","Unclassified",TRIM(SUBSTITUTE('Raw Data'!E314," and "," &amp; ")))</f>
        <v>Banking</v>
      </c>
      <c r="D316" s="17">
        <f>'Raw Data'!N314</f>
        <v>505</v>
      </c>
      <c r="E316" s="17">
        <f>'Raw Data'!O314</f>
        <v>319</v>
      </c>
      <c r="F316" s="17">
        <f>'Raw Data'!P314</f>
        <v>338</v>
      </c>
      <c r="G316" s="17">
        <f>'Raw Data'!Q314</f>
        <v>1162</v>
      </c>
      <c r="H316" s="18">
        <f>INDEX('Industry Stats'!$F$2:$F$49,MATCH($C316,'Industry Stats'!$A$2:$A$49,0))</f>
        <v>898.31034482758616</v>
      </c>
      <c r="I316" s="19">
        <f t="shared" si="44"/>
        <v>263.68965517241384</v>
      </c>
      <c r="J316" s="20">
        <f t="shared" si="45"/>
        <v>0.29353959540900548</v>
      </c>
      <c r="K316" s="18">
        <f>INDEX('Industry Stats'!$C$2:$C$49,MATCH($C316,'Industry Stats'!$A$2:$A$49,0))</f>
        <v>341.48275862068965</v>
      </c>
      <c r="L316" s="19">
        <f t="shared" si="46"/>
        <v>163.51724137931035</v>
      </c>
      <c r="M316" s="18">
        <f>INDEX('Industry Stats'!$D$2:$D$49,MATCH($C316,'Industry Stats'!$A$2:$A$49,0))</f>
        <v>292.34482758620692</v>
      </c>
      <c r="N316" s="19">
        <f t="shared" si="47"/>
        <v>26.655172413793082</v>
      </c>
      <c r="O316" s="18">
        <f>INDEX('Industry Stats'!$E$2:$E$49,MATCH($C316,'Industry Stats'!$A$2:$A$49,0))</f>
        <v>264.48275862068965</v>
      </c>
      <c r="P316" s="19">
        <f t="shared" si="48"/>
        <v>73.517241379310349</v>
      </c>
      <c r="R316">
        <f t="shared" si="49"/>
        <v>1162.0009683999999</v>
      </c>
      <c r="S316">
        <f t="shared" si="50"/>
        <v>505.00096839999998</v>
      </c>
      <c r="T316">
        <f t="shared" si="51"/>
        <v>319.00096839999998</v>
      </c>
      <c r="U316">
        <f t="shared" si="52"/>
        <v>338.00096839999998</v>
      </c>
      <c r="V316">
        <f t="shared" si="53"/>
        <v>263.69062357241381</v>
      </c>
      <c r="W316">
        <f t="shared" si="54"/>
        <v>-263.68868677241386</v>
      </c>
    </row>
    <row r="317" spans="1:23" ht="15" customHeight="1" x14ac:dyDescent="0.35">
      <c r="A317" t="str">
        <f>'Raw Data'!B315</f>
        <v>Coca-Cola Co</v>
      </c>
      <c r="B317" t="str">
        <f>'Raw Data'!A315</f>
        <v>ko</v>
      </c>
      <c r="C317" t="str">
        <f>IF('Raw Data'!E315="N/A","Unclassified",TRIM(SUBSTITUTE('Raw Data'!E315," and "," &amp; ")))</f>
        <v>Beverages</v>
      </c>
      <c r="D317" s="17">
        <f>'Raw Data'!N315</f>
        <v>200</v>
      </c>
      <c r="E317" s="17">
        <f>'Raw Data'!O315</f>
        <v>201</v>
      </c>
      <c r="F317" s="17">
        <f>'Raw Data'!P315</f>
        <v>200</v>
      </c>
      <c r="G317" s="17">
        <f>'Raw Data'!Q315</f>
        <v>601</v>
      </c>
      <c r="H317" s="18">
        <f>INDEX('Industry Stats'!$F$2:$F$49,MATCH($C317,'Industry Stats'!$A$2:$A$49,0))</f>
        <v>1061</v>
      </c>
      <c r="I317" s="19">
        <f t="shared" si="44"/>
        <v>-460</v>
      </c>
      <c r="J317" s="20">
        <f t="shared" si="45"/>
        <v>-0.43355325164938735</v>
      </c>
      <c r="K317" s="18">
        <f>INDEX('Industry Stats'!$C$2:$C$49,MATCH($C317,'Industry Stats'!$A$2:$A$49,0))</f>
        <v>473.25</v>
      </c>
      <c r="L317" s="19">
        <f t="shared" si="46"/>
        <v>-273.25</v>
      </c>
      <c r="M317" s="18">
        <f>INDEX('Industry Stats'!$D$2:$D$49,MATCH($C317,'Industry Stats'!$A$2:$A$49,0))</f>
        <v>299.5</v>
      </c>
      <c r="N317" s="19">
        <f t="shared" si="47"/>
        <v>-98.5</v>
      </c>
      <c r="O317" s="18">
        <f>INDEX('Industry Stats'!$E$2:$E$49,MATCH($C317,'Industry Stats'!$A$2:$A$49,0))</f>
        <v>288.25</v>
      </c>
      <c r="P317" s="19">
        <f t="shared" si="48"/>
        <v>-88.25</v>
      </c>
      <c r="R317">
        <f t="shared" si="49"/>
        <v>601.00096829999995</v>
      </c>
      <c r="S317">
        <f t="shared" si="50"/>
        <v>200.00096830000001</v>
      </c>
      <c r="T317">
        <f t="shared" si="51"/>
        <v>201.00096830000001</v>
      </c>
      <c r="U317">
        <f t="shared" si="52"/>
        <v>200.00096830000001</v>
      </c>
      <c r="V317">
        <f t="shared" si="53"/>
        <v>-459.99903169999999</v>
      </c>
      <c r="W317">
        <f t="shared" si="54"/>
        <v>460.00096830000001</v>
      </c>
    </row>
    <row r="318" spans="1:23" ht="15" customHeight="1" x14ac:dyDescent="0.35">
      <c r="A318" t="str">
        <f>'Raw Data'!B316</f>
        <v>Carmax Inc</v>
      </c>
      <c r="B318" t="str">
        <f>'Raw Data'!A316</f>
        <v>kmx</v>
      </c>
      <c r="C318" t="str">
        <f>IF('Raw Data'!E316="N/A","Unclassified",TRIM(SUBSTITUTE('Raw Data'!E316," and "," &amp; ")))</f>
        <v>Retail</v>
      </c>
      <c r="D318" s="17">
        <f>'Raw Data'!N316</f>
        <v>251</v>
      </c>
      <c r="E318" s="17">
        <f>'Raw Data'!O316</f>
        <v>237</v>
      </c>
      <c r="F318" s="17">
        <f>'Raw Data'!P316</f>
        <v>300</v>
      </c>
      <c r="G318" s="17">
        <f>'Raw Data'!Q316</f>
        <v>788</v>
      </c>
      <c r="H318" s="18">
        <f>INDEX('Industry Stats'!$F$2:$F$49,MATCH($C318,'Industry Stats'!$A$2:$A$49,0))</f>
        <v>918.57692307692309</v>
      </c>
      <c r="I318" s="19">
        <f t="shared" si="44"/>
        <v>-130.57692307692309</v>
      </c>
      <c r="J318" s="20">
        <f t="shared" si="45"/>
        <v>-0.14215132102332204</v>
      </c>
      <c r="K318" s="18">
        <f>INDEX('Industry Stats'!$C$2:$C$49,MATCH($C318,'Industry Stats'!$A$2:$A$49,0))</f>
        <v>380.30769230769232</v>
      </c>
      <c r="L318" s="19">
        <f t="shared" si="46"/>
        <v>-129.30769230769232</v>
      </c>
      <c r="M318" s="18">
        <f>INDEX('Industry Stats'!$D$2:$D$49,MATCH($C318,'Industry Stats'!$A$2:$A$49,0))</f>
        <v>274.96153846153845</v>
      </c>
      <c r="N318" s="19">
        <f t="shared" si="47"/>
        <v>-37.961538461538453</v>
      </c>
      <c r="O318" s="18">
        <f>INDEX('Industry Stats'!$E$2:$E$49,MATCH($C318,'Industry Stats'!$A$2:$A$49,0))</f>
        <v>263.30769230769232</v>
      </c>
      <c r="P318" s="19">
        <f t="shared" si="48"/>
        <v>36.692307692307679</v>
      </c>
      <c r="R318">
        <f t="shared" si="49"/>
        <v>788.00096819999999</v>
      </c>
      <c r="S318">
        <f t="shared" si="50"/>
        <v>251.00096819999999</v>
      </c>
      <c r="T318">
        <f t="shared" si="51"/>
        <v>237.00096819999999</v>
      </c>
      <c r="U318">
        <f t="shared" si="52"/>
        <v>300.00096819999999</v>
      </c>
      <c r="V318">
        <f t="shared" si="53"/>
        <v>-130.57595487692311</v>
      </c>
      <c r="W318">
        <f t="shared" si="54"/>
        <v>130.57789127692308</v>
      </c>
    </row>
    <row r="319" spans="1:23" ht="15" customHeight="1" x14ac:dyDescent="0.35">
      <c r="A319" t="str">
        <f>'Raw Data'!B317</f>
        <v>Leidos Holdings Inc</v>
      </c>
      <c r="B319" t="str">
        <f>'Raw Data'!A317</f>
        <v>ldos</v>
      </c>
      <c r="C319" t="str">
        <f>IF('Raw Data'!E317="N/A","Unclassified",TRIM(SUBSTITUTE('Raw Data'!E317," and "," &amp; ")))</f>
        <v>Professional Services</v>
      </c>
      <c r="D319" s="17">
        <f>'Raw Data'!N317</f>
        <v>500</v>
      </c>
      <c r="E319" s="17">
        <f>'Raw Data'!O317</f>
        <v>300</v>
      </c>
      <c r="F319" s="17">
        <f>'Raw Data'!P317</f>
        <v>300</v>
      </c>
      <c r="G319" s="17">
        <f>'Raw Data'!Q317</f>
        <v>1100</v>
      </c>
      <c r="H319" s="18">
        <f>INDEX('Industry Stats'!$F$2:$F$49,MATCH($C319,'Industry Stats'!$A$2:$A$49,0))</f>
        <v>1047.8571428571429</v>
      </c>
      <c r="I319" s="19">
        <f t="shared" si="44"/>
        <v>52.14285714285711</v>
      </c>
      <c r="J319" s="20">
        <f t="shared" si="45"/>
        <v>4.9761417859577335E-2</v>
      </c>
      <c r="K319" s="18">
        <f>INDEX('Industry Stats'!$C$2:$C$49,MATCH($C319,'Industry Stats'!$A$2:$A$49,0))</f>
        <v>435</v>
      </c>
      <c r="L319" s="19">
        <f t="shared" si="46"/>
        <v>65</v>
      </c>
      <c r="M319" s="18">
        <f>INDEX('Industry Stats'!$D$2:$D$49,MATCH($C319,'Industry Stats'!$A$2:$A$49,0))</f>
        <v>312.42857142857144</v>
      </c>
      <c r="N319" s="19">
        <f t="shared" si="47"/>
        <v>-12.428571428571445</v>
      </c>
      <c r="O319" s="18">
        <f>INDEX('Industry Stats'!$E$2:$E$49,MATCH($C319,'Industry Stats'!$A$2:$A$49,0))</f>
        <v>300.42857142857144</v>
      </c>
      <c r="P319" s="19">
        <f t="shared" si="48"/>
        <v>-0.42857142857144481</v>
      </c>
      <c r="R319">
        <f t="shared" si="49"/>
        <v>1100.0009680999999</v>
      </c>
      <c r="S319">
        <f t="shared" si="50"/>
        <v>500.00096810000002</v>
      </c>
      <c r="T319">
        <f t="shared" si="51"/>
        <v>300.00096810000002</v>
      </c>
      <c r="U319">
        <f t="shared" si="52"/>
        <v>300.00096810000002</v>
      </c>
      <c r="V319">
        <f t="shared" si="53"/>
        <v>52.143825242857112</v>
      </c>
      <c r="W319">
        <f t="shared" si="54"/>
        <v>-52.141889042857109</v>
      </c>
    </row>
    <row r="320" spans="1:23" ht="15" customHeight="1" x14ac:dyDescent="0.35">
      <c r="A320" t="str">
        <f>'Raw Data'!B318</f>
        <v>Leggett &amp; Platt Inc</v>
      </c>
      <c r="B320" t="str">
        <f>'Raw Data'!A318</f>
        <v>leg</v>
      </c>
      <c r="C320" t="str">
        <f>IF('Raw Data'!E318="N/A","Unclassified",TRIM(SUBSTITUTE('Raw Data'!E318," and "," &amp; ")))</f>
        <v>Consumer products</v>
      </c>
      <c r="D320" s="17">
        <f>'Raw Data'!N318</f>
        <v>500</v>
      </c>
      <c r="E320" s="17">
        <f>'Raw Data'!O318</f>
        <v>300</v>
      </c>
      <c r="F320" s="17">
        <f>'Raw Data'!P318</f>
        <v>300</v>
      </c>
      <c r="G320" s="17">
        <f>'Raw Data'!Q318</f>
        <v>1100</v>
      </c>
      <c r="H320" s="18">
        <f>INDEX('Industry Stats'!$F$2:$F$49,MATCH($C320,'Industry Stats'!$A$2:$A$49,0))</f>
        <v>945.55</v>
      </c>
      <c r="I320" s="19">
        <f t="shared" si="44"/>
        <v>154.45000000000005</v>
      </c>
      <c r="J320" s="20">
        <f t="shared" si="45"/>
        <v>0.16334408545291107</v>
      </c>
      <c r="K320" s="18">
        <f>INDEX('Industry Stats'!$C$2:$C$49,MATCH($C320,'Industry Stats'!$A$2:$A$49,0))</f>
        <v>384.9</v>
      </c>
      <c r="L320" s="19">
        <f t="shared" si="46"/>
        <v>115.10000000000002</v>
      </c>
      <c r="M320" s="18">
        <f>INDEX('Industry Stats'!$D$2:$D$49,MATCH($C320,'Industry Stats'!$A$2:$A$49,0))</f>
        <v>285.7</v>
      </c>
      <c r="N320" s="19">
        <f t="shared" si="47"/>
        <v>14.300000000000011</v>
      </c>
      <c r="O320" s="18">
        <f>INDEX('Industry Stats'!$E$2:$E$49,MATCH($C320,'Industry Stats'!$A$2:$A$49,0))</f>
        <v>274.95</v>
      </c>
      <c r="P320" s="19">
        <f t="shared" si="48"/>
        <v>25.050000000000011</v>
      </c>
      <c r="R320">
        <f t="shared" si="49"/>
        <v>1100.0009680000001</v>
      </c>
      <c r="S320">
        <f t="shared" si="50"/>
        <v>500.000968</v>
      </c>
      <c r="T320">
        <f t="shared" si="51"/>
        <v>300.000968</v>
      </c>
      <c r="U320">
        <f t="shared" si="52"/>
        <v>300.000968</v>
      </c>
      <c r="V320">
        <f t="shared" si="53"/>
        <v>154.45096800000005</v>
      </c>
      <c r="W320">
        <f t="shared" si="54"/>
        <v>-154.44903200000005</v>
      </c>
    </row>
    <row r="321" spans="1:23" ht="15" customHeight="1" x14ac:dyDescent="0.35">
      <c r="A321" t="str">
        <f>'Raw Data'!B319</f>
        <v>McDonald's Corp</v>
      </c>
      <c r="B321" t="str">
        <f>'Raw Data'!A319</f>
        <v>mcd</v>
      </c>
      <c r="C321" t="str">
        <f>IF('Raw Data'!E319="N/A","Unclassified",TRIM(SUBSTITUTE('Raw Data'!E319," and "," &amp; ")))</f>
        <v>Hotels Restaurants &amp; Leisure</v>
      </c>
      <c r="D321" s="17">
        <f>'Raw Data'!N319</f>
        <v>505</v>
      </c>
      <c r="E321" s="17">
        <f>'Raw Data'!O319</f>
        <v>326</v>
      </c>
      <c r="F321" s="17">
        <f>'Raw Data'!P319</f>
        <v>305</v>
      </c>
      <c r="G321" s="17">
        <f>'Raw Data'!Q319</f>
        <v>1136</v>
      </c>
      <c r="H321" s="18">
        <f>INDEX('Industry Stats'!$F$2:$F$49,MATCH($C321,'Industry Stats'!$A$2:$A$49,0))</f>
        <v>918.86363636363637</v>
      </c>
      <c r="I321" s="19">
        <f t="shared" si="44"/>
        <v>217.13636363636363</v>
      </c>
      <c r="J321" s="20">
        <f t="shared" si="45"/>
        <v>0.23630967103635914</v>
      </c>
      <c r="K321" s="18">
        <f>INDEX('Industry Stats'!$C$2:$C$49,MATCH($C321,'Industry Stats'!$A$2:$A$49,0))</f>
        <v>374.63636363636363</v>
      </c>
      <c r="L321" s="19">
        <f t="shared" si="46"/>
        <v>130.36363636363637</v>
      </c>
      <c r="M321" s="18">
        <f>INDEX('Industry Stats'!$D$2:$D$49,MATCH($C321,'Industry Stats'!$A$2:$A$49,0))</f>
        <v>283.04545454545456</v>
      </c>
      <c r="N321" s="19">
        <f t="shared" si="47"/>
        <v>42.954545454545439</v>
      </c>
      <c r="O321" s="18">
        <f>INDEX('Industry Stats'!$E$2:$E$49,MATCH($C321,'Industry Stats'!$A$2:$A$49,0))</f>
        <v>261.18181818181819</v>
      </c>
      <c r="P321" s="19">
        <f t="shared" si="48"/>
        <v>43.818181818181813</v>
      </c>
      <c r="R321">
        <f t="shared" si="49"/>
        <v>1136.0009679</v>
      </c>
      <c r="S321">
        <f t="shared" si="50"/>
        <v>505.00096789999998</v>
      </c>
      <c r="T321">
        <f t="shared" si="51"/>
        <v>326.00096789999998</v>
      </c>
      <c r="U321">
        <f t="shared" si="52"/>
        <v>305.00096789999998</v>
      </c>
      <c r="V321">
        <f t="shared" si="53"/>
        <v>217.13733153636363</v>
      </c>
      <c r="W321">
        <f t="shared" si="54"/>
        <v>-217.13539573636362</v>
      </c>
    </row>
    <row r="322" spans="1:23" ht="15" customHeight="1" x14ac:dyDescent="0.35">
      <c r="A322" t="str">
        <f>'Raw Data'!B320</f>
        <v>Linde PLC</v>
      </c>
      <c r="B322" t="str">
        <f>'Raw Data'!A320</f>
        <v>lin</v>
      </c>
      <c r="C322" t="str">
        <f>IF('Raw Data'!E320="N/A","Unclassified",TRIM(SUBSTITUTE('Raw Data'!E320," and "," &amp; ")))</f>
        <v>Chemicals</v>
      </c>
      <c r="D322" s="17">
        <f>'Raw Data'!N320</f>
        <v>210</v>
      </c>
      <c r="E322" s="17">
        <f>'Raw Data'!O320</f>
        <v>240</v>
      </c>
      <c r="F322" s="17">
        <f>'Raw Data'!P320</f>
        <v>275</v>
      </c>
      <c r="G322" s="17">
        <f>'Raw Data'!Q320</f>
        <v>725</v>
      </c>
      <c r="H322" s="18">
        <f>INDEX('Industry Stats'!$F$2:$F$49,MATCH($C322,'Industry Stats'!$A$2:$A$49,0))</f>
        <v>1058.8947368421052</v>
      </c>
      <c r="I322" s="19">
        <f t="shared" si="44"/>
        <v>-333.8947368421052</v>
      </c>
      <c r="J322" s="20">
        <f t="shared" si="45"/>
        <v>-0.31532382325165265</v>
      </c>
      <c r="K322" s="18">
        <f>INDEX('Industry Stats'!$C$2:$C$49,MATCH($C322,'Industry Stats'!$A$2:$A$49,0))</f>
        <v>463.73684210526318</v>
      </c>
      <c r="L322" s="19">
        <f t="shared" si="46"/>
        <v>-253.73684210526318</v>
      </c>
      <c r="M322" s="18">
        <f>INDEX('Industry Stats'!$D$2:$D$49,MATCH($C322,'Industry Stats'!$A$2:$A$49,0))</f>
        <v>304.36842105263156</v>
      </c>
      <c r="N322" s="19">
        <f t="shared" si="47"/>
        <v>-64.368421052631561</v>
      </c>
      <c r="O322" s="18">
        <f>INDEX('Industry Stats'!$E$2:$E$49,MATCH($C322,'Industry Stats'!$A$2:$A$49,0))</f>
        <v>290.78947368421052</v>
      </c>
      <c r="P322" s="19">
        <f t="shared" si="48"/>
        <v>-15.78947368421052</v>
      </c>
      <c r="R322">
        <f t="shared" si="49"/>
        <v>725.00096780000001</v>
      </c>
      <c r="S322">
        <f t="shared" si="50"/>
        <v>210.00096780000001</v>
      </c>
      <c r="T322">
        <f t="shared" si="51"/>
        <v>240.00096780000001</v>
      </c>
      <c r="U322">
        <f t="shared" si="52"/>
        <v>275.00096780000001</v>
      </c>
      <c r="V322">
        <f t="shared" si="53"/>
        <v>-333.89376904210519</v>
      </c>
      <c r="W322">
        <f t="shared" si="54"/>
        <v>333.89570464210522</v>
      </c>
    </row>
    <row r="323" spans="1:23" ht="15" customHeight="1" x14ac:dyDescent="0.35">
      <c r="A323" t="str">
        <f>'Raw Data'!B321</f>
        <v>Lumen Technologies Inc</v>
      </c>
      <c r="B323" t="str">
        <f>'Raw Data'!A321</f>
        <v>lumn</v>
      </c>
      <c r="C323" t="str">
        <f>IF('Raw Data'!E321="N/A","Unclassified",TRIM(SUBSTITUTE('Raw Data'!E321," and "," &amp; ")))</f>
        <v>Telecommunication</v>
      </c>
      <c r="D323" s="17">
        <f>'Raw Data'!N321</f>
        <v>535</v>
      </c>
      <c r="E323" s="17">
        <f>'Raw Data'!O321</f>
        <v>327</v>
      </c>
      <c r="F323" s="17">
        <f>'Raw Data'!P321</f>
        <v>305</v>
      </c>
      <c r="G323" s="17">
        <f>'Raw Data'!Q321</f>
        <v>1167</v>
      </c>
      <c r="H323" s="18">
        <f>INDEX('Industry Stats'!$F$2:$F$49,MATCH($C323,'Industry Stats'!$A$2:$A$49,0))</f>
        <v>928.33333333333337</v>
      </c>
      <c r="I323" s="19">
        <f t="shared" si="44"/>
        <v>238.66666666666663</v>
      </c>
      <c r="J323" s="20">
        <f t="shared" si="45"/>
        <v>0.25709156193895866</v>
      </c>
      <c r="K323" s="18">
        <f>INDEX('Industry Stats'!$C$2:$C$49,MATCH($C323,'Industry Stats'!$A$2:$A$49,0))</f>
        <v>362.33333333333331</v>
      </c>
      <c r="L323" s="19">
        <f t="shared" si="46"/>
        <v>172.66666666666669</v>
      </c>
      <c r="M323" s="18">
        <f>INDEX('Industry Stats'!$D$2:$D$49,MATCH($C323,'Industry Stats'!$A$2:$A$49,0))</f>
        <v>286</v>
      </c>
      <c r="N323" s="19">
        <f t="shared" si="47"/>
        <v>41</v>
      </c>
      <c r="O323" s="18">
        <f>INDEX('Industry Stats'!$E$2:$E$49,MATCH($C323,'Industry Stats'!$A$2:$A$49,0))</f>
        <v>280</v>
      </c>
      <c r="P323" s="19">
        <f t="shared" si="48"/>
        <v>25</v>
      </c>
      <c r="R323">
        <f t="shared" si="49"/>
        <v>1167.0009677</v>
      </c>
      <c r="S323">
        <f t="shared" si="50"/>
        <v>535.00096770000005</v>
      </c>
      <c r="T323">
        <f t="shared" si="51"/>
        <v>327.00096769999999</v>
      </c>
      <c r="U323">
        <f t="shared" si="52"/>
        <v>305.00096769999999</v>
      </c>
      <c r="V323">
        <f t="shared" si="53"/>
        <v>238.66763436666662</v>
      </c>
      <c r="W323">
        <f t="shared" si="54"/>
        <v>-238.66569896666664</v>
      </c>
    </row>
    <row r="324" spans="1:23" ht="15" customHeight="1" x14ac:dyDescent="0.35">
      <c r="A324" t="str">
        <f>'Raw Data'!B322</f>
        <v>LyondellBasell Industries NV</v>
      </c>
      <c r="B324" t="str">
        <f>'Raw Data'!A322</f>
        <v>lyb</v>
      </c>
      <c r="C324" t="str">
        <f>IF('Raw Data'!E322="N/A","Unclassified",TRIM(SUBSTITUTE('Raw Data'!E322," and "," &amp; ")))</f>
        <v>Chemicals</v>
      </c>
      <c r="D324" s="17">
        <f>'Raw Data'!N322</f>
        <v>587</v>
      </c>
      <c r="E324" s="17">
        <f>'Raw Data'!O322</f>
        <v>352</v>
      </c>
      <c r="F324" s="17">
        <f>'Raw Data'!P322</f>
        <v>330</v>
      </c>
      <c r="G324" s="17">
        <f>'Raw Data'!Q322</f>
        <v>1269</v>
      </c>
      <c r="H324" s="18">
        <f>INDEX('Industry Stats'!$F$2:$F$49,MATCH($C324,'Industry Stats'!$A$2:$A$49,0))</f>
        <v>1058.8947368421052</v>
      </c>
      <c r="I324" s="19">
        <f t="shared" ref="I324:I387" si="55">G324-H324</f>
        <v>210.1052631578948</v>
      </c>
      <c r="J324" s="20">
        <f t="shared" ref="J324:J387" si="56">I324/H324</f>
        <v>0.19841940454296941</v>
      </c>
      <c r="K324" s="18">
        <f>INDEX('Industry Stats'!$C$2:$C$49,MATCH($C324,'Industry Stats'!$A$2:$A$49,0))</f>
        <v>463.73684210526318</v>
      </c>
      <c r="L324" s="19">
        <f t="shared" ref="L324:L387" si="57">D324-K324</f>
        <v>123.26315789473682</v>
      </c>
      <c r="M324" s="18">
        <f>INDEX('Industry Stats'!$D$2:$D$49,MATCH($C324,'Industry Stats'!$A$2:$A$49,0))</f>
        <v>304.36842105263156</v>
      </c>
      <c r="N324" s="19">
        <f t="shared" ref="N324:N387" si="58">E324-M324</f>
        <v>47.631578947368439</v>
      </c>
      <c r="O324" s="18">
        <f>INDEX('Industry Stats'!$E$2:$E$49,MATCH($C324,'Industry Stats'!$A$2:$A$49,0))</f>
        <v>290.78947368421052</v>
      </c>
      <c r="P324" s="19">
        <f t="shared" ref="P324:P387" si="59">F324-O324</f>
        <v>39.21052631578948</v>
      </c>
      <c r="R324">
        <f t="shared" ref="R324:R387" si="60">G324+(10000-ROW())/10000000</f>
        <v>1269.0009676</v>
      </c>
      <c r="S324">
        <f t="shared" ref="S324:S387" si="61">D324+(10000-ROW())/10000000</f>
        <v>587.00096759999997</v>
      </c>
      <c r="T324">
        <f t="shared" ref="T324:T387" si="62">E324+(10000-ROW())/10000000</f>
        <v>352.00096760000002</v>
      </c>
      <c r="U324">
        <f t="shared" ref="U324:U387" si="63">F324+(10000-ROW())/10000000</f>
        <v>330.00096760000002</v>
      </c>
      <c r="V324">
        <f t="shared" ref="V324:V387" si="64">I324+(10000-ROW())/10000000</f>
        <v>210.10623075789479</v>
      </c>
      <c r="W324">
        <f t="shared" ref="W324:W387" si="65">-I324+(10000-ROW())/10000000</f>
        <v>-210.1042955578948</v>
      </c>
    </row>
    <row r="325" spans="1:23" ht="15" customHeight="1" x14ac:dyDescent="0.35">
      <c r="A325" t="str">
        <f>'Raw Data'!B323</f>
        <v>Moody's Corp</v>
      </c>
      <c r="B325" t="str">
        <f>'Raw Data'!A323</f>
        <v>mco</v>
      </c>
      <c r="C325" t="str">
        <f>IF('Raw Data'!E323="N/A","Unclassified",TRIM(SUBSTITUTE('Raw Data'!E323," and "," &amp; ")))</f>
        <v>Financial Services</v>
      </c>
      <c r="D325" s="17">
        <f>'Raw Data'!N323</f>
        <v>515</v>
      </c>
      <c r="E325" s="17">
        <f>'Raw Data'!O323</f>
        <v>308</v>
      </c>
      <c r="F325" s="17">
        <f>'Raw Data'!P323</f>
        <v>235</v>
      </c>
      <c r="G325" s="17">
        <f>'Raw Data'!Q323</f>
        <v>1058</v>
      </c>
      <c r="H325" s="18">
        <f>INDEX('Industry Stats'!$F$2:$F$49,MATCH($C325,'Industry Stats'!$A$2:$A$49,0))</f>
        <v>909.33333333333337</v>
      </c>
      <c r="I325" s="19">
        <f t="shared" si="55"/>
        <v>148.66666666666663</v>
      </c>
      <c r="J325" s="20">
        <f t="shared" si="56"/>
        <v>0.16348973607038117</v>
      </c>
      <c r="K325" s="18">
        <f>INDEX('Industry Stats'!$C$2:$C$49,MATCH($C325,'Industry Stats'!$A$2:$A$49,0))</f>
        <v>367.63636363636363</v>
      </c>
      <c r="L325" s="19">
        <f t="shared" si="57"/>
        <v>147.36363636363637</v>
      </c>
      <c r="M325" s="18">
        <f>INDEX('Industry Stats'!$D$2:$D$49,MATCH($C325,'Industry Stats'!$A$2:$A$49,0))</f>
        <v>276.45454545454544</v>
      </c>
      <c r="N325" s="19">
        <f t="shared" si="58"/>
        <v>31.545454545454561</v>
      </c>
      <c r="O325" s="18">
        <f>INDEX('Industry Stats'!$E$2:$E$49,MATCH($C325,'Industry Stats'!$A$2:$A$49,0))</f>
        <v>265.24242424242425</v>
      </c>
      <c r="P325" s="19">
        <f t="shared" si="59"/>
        <v>-30.242424242424249</v>
      </c>
      <c r="R325">
        <f t="shared" si="60"/>
        <v>1058.0009674999999</v>
      </c>
      <c r="S325">
        <f t="shared" si="61"/>
        <v>515.0009675</v>
      </c>
      <c r="T325">
        <f t="shared" si="62"/>
        <v>308.0009675</v>
      </c>
      <c r="U325">
        <f t="shared" si="63"/>
        <v>235.0009675</v>
      </c>
      <c r="V325">
        <f t="shared" si="64"/>
        <v>148.66763416666663</v>
      </c>
      <c r="W325">
        <f t="shared" si="65"/>
        <v>-148.66569916666663</v>
      </c>
    </row>
    <row r="326" spans="1:23" ht="15" customHeight="1" x14ac:dyDescent="0.35">
      <c r="A326" t="str">
        <f>'Raw Data'!B324</f>
        <v>Mckesson Corp</v>
      </c>
      <c r="B326" t="str">
        <f>'Raw Data'!A324</f>
        <v>mck</v>
      </c>
      <c r="C326" t="str">
        <f>IF('Raw Data'!E324="N/A","Unclassified",TRIM(SUBSTITUTE('Raw Data'!E324," and "," &amp; ")))</f>
        <v>Health Care</v>
      </c>
      <c r="D326" s="17">
        <f>'Raw Data'!N324</f>
        <v>500</v>
      </c>
      <c r="E326" s="17">
        <f>'Raw Data'!O324</f>
        <v>303</v>
      </c>
      <c r="F326" s="17">
        <f>'Raw Data'!P324</f>
        <v>310</v>
      </c>
      <c r="G326" s="17">
        <f>'Raw Data'!Q324</f>
        <v>1113</v>
      </c>
      <c r="H326" s="18">
        <f>INDEX('Industry Stats'!$F$2:$F$49,MATCH($C326,'Industry Stats'!$A$2:$A$49,0))</f>
        <v>938.76470588235293</v>
      </c>
      <c r="I326" s="19">
        <f t="shared" si="55"/>
        <v>174.23529411764707</v>
      </c>
      <c r="J326" s="20">
        <f t="shared" si="56"/>
        <v>0.18560060154144997</v>
      </c>
      <c r="K326" s="18">
        <f>INDEX('Industry Stats'!$C$2:$C$49,MATCH($C326,'Industry Stats'!$A$2:$A$49,0))</f>
        <v>374.52941176470586</v>
      </c>
      <c r="L326" s="19">
        <f t="shared" si="57"/>
        <v>125.47058823529414</v>
      </c>
      <c r="M326" s="18">
        <f>INDEX('Industry Stats'!$D$2:$D$49,MATCH($C326,'Industry Stats'!$A$2:$A$49,0))</f>
        <v>287.43137254901961</v>
      </c>
      <c r="N326" s="19">
        <f t="shared" si="58"/>
        <v>15.568627450980387</v>
      </c>
      <c r="O326" s="18">
        <f>INDEX('Industry Stats'!$E$2:$E$49,MATCH($C326,'Industry Stats'!$A$2:$A$49,0))</f>
        <v>276.80392156862746</v>
      </c>
      <c r="P326" s="19">
        <f t="shared" si="59"/>
        <v>33.196078431372541</v>
      </c>
      <c r="R326">
        <f t="shared" si="60"/>
        <v>1113.0009674</v>
      </c>
      <c r="S326">
        <f t="shared" si="61"/>
        <v>500.00096739999998</v>
      </c>
      <c r="T326">
        <f t="shared" si="62"/>
        <v>303.00096739999998</v>
      </c>
      <c r="U326">
        <f t="shared" si="63"/>
        <v>310.00096739999998</v>
      </c>
      <c r="V326">
        <f t="shared" si="64"/>
        <v>174.23626151764708</v>
      </c>
      <c r="W326">
        <f t="shared" si="65"/>
        <v>-174.23432671764706</v>
      </c>
    </row>
    <row r="327" spans="1:23" ht="15" customHeight="1" x14ac:dyDescent="0.35">
      <c r="A327" t="str">
        <f>'Raw Data'!B325</f>
        <v>Masco Corp</v>
      </c>
      <c r="B327" t="str">
        <f>'Raw Data'!A325</f>
        <v>mas</v>
      </c>
      <c r="C327" t="str">
        <f>IF('Raw Data'!E325="N/A","Unclassified",TRIM(SUBSTITUTE('Raw Data'!E325," and "," &amp; ")))</f>
        <v>Building</v>
      </c>
      <c r="D327" s="17">
        <f>'Raw Data'!N325</f>
        <v>522</v>
      </c>
      <c r="E327" s="17">
        <f>'Raw Data'!O325</f>
        <v>323</v>
      </c>
      <c r="F327" s="17">
        <f>'Raw Data'!P325</f>
        <v>305</v>
      </c>
      <c r="G327" s="17">
        <f>'Raw Data'!Q325</f>
        <v>1150</v>
      </c>
      <c r="H327" s="18">
        <f>INDEX('Industry Stats'!$F$2:$F$49,MATCH($C327,'Industry Stats'!$A$2:$A$49,0))</f>
        <v>1074.2</v>
      </c>
      <c r="I327" s="19">
        <f t="shared" si="55"/>
        <v>75.799999999999955</v>
      </c>
      <c r="J327" s="20">
        <f t="shared" si="56"/>
        <v>7.0564140755911331E-2</v>
      </c>
      <c r="K327" s="18">
        <f>INDEX('Industry Stats'!$C$2:$C$49,MATCH($C327,'Industry Stats'!$A$2:$A$49,0))</f>
        <v>476.7</v>
      </c>
      <c r="L327" s="19">
        <f t="shared" si="57"/>
        <v>45.300000000000011</v>
      </c>
      <c r="M327" s="18">
        <f>INDEX('Industry Stats'!$D$2:$D$49,MATCH($C327,'Industry Stats'!$A$2:$A$49,0))</f>
        <v>305.10000000000002</v>
      </c>
      <c r="N327" s="19">
        <f t="shared" si="58"/>
        <v>17.899999999999977</v>
      </c>
      <c r="O327" s="18">
        <f>INDEX('Industry Stats'!$E$2:$E$49,MATCH($C327,'Industry Stats'!$A$2:$A$49,0))</f>
        <v>292.39999999999998</v>
      </c>
      <c r="P327" s="19">
        <f t="shared" si="59"/>
        <v>12.600000000000023</v>
      </c>
      <c r="R327">
        <f t="shared" si="60"/>
        <v>1150.0009673</v>
      </c>
      <c r="S327">
        <f t="shared" si="61"/>
        <v>522.00096729999996</v>
      </c>
      <c r="T327">
        <f t="shared" si="62"/>
        <v>323.00096730000001</v>
      </c>
      <c r="U327">
        <f t="shared" si="63"/>
        <v>305.00096730000001</v>
      </c>
      <c r="V327">
        <f t="shared" si="64"/>
        <v>75.800967299999954</v>
      </c>
      <c r="W327">
        <f t="shared" si="65"/>
        <v>-75.799032699999955</v>
      </c>
    </row>
    <row r="328" spans="1:23" ht="15" customHeight="1" x14ac:dyDescent="0.35">
      <c r="A328" t="str">
        <f>'Raw Data'!B326</f>
        <v>Lowe's Companies Inc</v>
      </c>
      <c r="B328" t="str">
        <f>'Raw Data'!A326</f>
        <v>low</v>
      </c>
      <c r="C328" t="str">
        <f>IF('Raw Data'!E326="N/A","Unclassified",TRIM(SUBSTITUTE('Raw Data'!E326," and "," &amp; ")))</f>
        <v>Retail</v>
      </c>
      <c r="D328" s="17">
        <f>'Raw Data'!N326</f>
        <v>218</v>
      </c>
      <c r="E328" s="17">
        <f>'Raw Data'!O326</f>
        <v>200</v>
      </c>
      <c r="F328" s="17">
        <f>'Raw Data'!P326</f>
        <v>200</v>
      </c>
      <c r="G328" s="17">
        <f>'Raw Data'!Q326</f>
        <v>618</v>
      </c>
      <c r="H328" s="18">
        <f>INDEX('Industry Stats'!$F$2:$F$49,MATCH($C328,'Industry Stats'!$A$2:$A$49,0))</f>
        <v>918.57692307692309</v>
      </c>
      <c r="I328" s="19">
        <f t="shared" si="55"/>
        <v>-300.57692307692309</v>
      </c>
      <c r="J328" s="20">
        <f t="shared" si="56"/>
        <v>-0.3272201984675292</v>
      </c>
      <c r="K328" s="18">
        <f>INDEX('Industry Stats'!$C$2:$C$49,MATCH($C328,'Industry Stats'!$A$2:$A$49,0))</f>
        <v>380.30769230769232</v>
      </c>
      <c r="L328" s="19">
        <f t="shared" si="57"/>
        <v>-162.30769230769232</v>
      </c>
      <c r="M328" s="18">
        <f>INDEX('Industry Stats'!$D$2:$D$49,MATCH($C328,'Industry Stats'!$A$2:$A$49,0))</f>
        <v>274.96153846153845</v>
      </c>
      <c r="N328" s="19">
        <f t="shared" si="58"/>
        <v>-74.961538461538453</v>
      </c>
      <c r="O328" s="18">
        <f>INDEX('Industry Stats'!$E$2:$E$49,MATCH($C328,'Industry Stats'!$A$2:$A$49,0))</f>
        <v>263.30769230769232</v>
      </c>
      <c r="P328" s="19">
        <f t="shared" si="59"/>
        <v>-63.307692307692321</v>
      </c>
      <c r="R328">
        <f t="shared" si="60"/>
        <v>618.00096719999999</v>
      </c>
      <c r="S328">
        <f t="shared" si="61"/>
        <v>218.00096719999999</v>
      </c>
      <c r="T328">
        <f t="shared" si="62"/>
        <v>200.00096719999999</v>
      </c>
      <c r="U328">
        <f t="shared" si="63"/>
        <v>200.00096719999999</v>
      </c>
      <c r="V328">
        <f t="shared" si="64"/>
        <v>-300.5759558769231</v>
      </c>
      <c r="W328">
        <f t="shared" si="65"/>
        <v>300.57789027692309</v>
      </c>
    </row>
    <row r="329" spans="1:23" ht="15" customHeight="1" x14ac:dyDescent="0.35">
      <c r="A329" t="str">
        <f>'Raw Data'!B327</f>
        <v>Medtronic PLC</v>
      </c>
      <c r="B329" t="str">
        <f>'Raw Data'!A327</f>
        <v>mdt</v>
      </c>
      <c r="C329" t="str">
        <f>IF('Raw Data'!E327="N/A","Unclassified",TRIM(SUBSTITUTE('Raw Data'!E327," and "," &amp; ")))</f>
        <v>Health Care</v>
      </c>
      <c r="D329" s="17">
        <f>'Raw Data'!N327</f>
        <v>515</v>
      </c>
      <c r="E329" s="17">
        <f>'Raw Data'!O327</f>
        <v>308</v>
      </c>
      <c r="F329" s="17">
        <f>'Raw Data'!P327</f>
        <v>315</v>
      </c>
      <c r="G329" s="17">
        <f>'Raw Data'!Q327</f>
        <v>1138</v>
      </c>
      <c r="H329" s="18">
        <f>INDEX('Industry Stats'!$F$2:$F$49,MATCH($C329,'Industry Stats'!$A$2:$A$49,0))</f>
        <v>938.76470588235293</v>
      </c>
      <c r="I329" s="19">
        <f t="shared" si="55"/>
        <v>199.23529411764707</v>
      </c>
      <c r="J329" s="20">
        <f t="shared" si="56"/>
        <v>0.21223134281596592</v>
      </c>
      <c r="K329" s="18">
        <f>INDEX('Industry Stats'!$C$2:$C$49,MATCH($C329,'Industry Stats'!$A$2:$A$49,0))</f>
        <v>374.52941176470586</v>
      </c>
      <c r="L329" s="19">
        <f t="shared" si="57"/>
        <v>140.47058823529414</v>
      </c>
      <c r="M329" s="18">
        <f>INDEX('Industry Stats'!$D$2:$D$49,MATCH($C329,'Industry Stats'!$A$2:$A$49,0))</f>
        <v>287.43137254901961</v>
      </c>
      <c r="N329" s="19">
        <f t="shared" si="58"/>
        <v>20.568627450980387</v>
      </c>
      <c r="O329" s="18">
        <f>INDEX('Industry Stats'!$E$2:$E$49,MATCH($C329,'Industry Stats'!$A$2:$A$49,0))</f>
        <v>276.80392156862746</v>
      </c>
      <c r="P329" s="19">
        <f t="shared" si="59"/>
        <v>38.196078431372541</v>
      </c>
      <c r="R329">
        <f t="shared" si="60"/>
        <v>1138.0009671</v>
      </c>
      <c r="S329">
        <f t="shared" si="61"/>
        <v>515.00096710000003</v>
      </c>
      <c r="T329">
        <f t="shared" si="62"/>
        <v>308.00096710000003</v>
      </c>
      <c r="U329">
        <f t="shared" si="63"/>
        <v>315.00096710000003</v>
      </c>
      <c r="V329">
        <f t="shared" si="64"/>
        <v>199.23626121764707</v>
      </c>
      <c r="W329">
        <f t="shared" si="65"/>
        <v>-199.23432701764708</v>
      </c>
    </row>
    <row r="330" spans="1:23" ht="15" customHeight="1" x14ac:dyDescent="0.35">
      <c r="A330" t="str">
        <f>'Raw Data'!B328</f>
        <v>McCormick &amp; Company Inc</v>
      </c>
      <c r="B330" t="str">
        <f>'Raw Data'!A328</f>
        <v>mkc</v>
      </c>
      <c r="C330" t="str">
        <f>IF('Raw Data'!E328="N/A","Unclassified",TRIM(SUBSTITUTE('Raw Data'!E328," and "," &amp; ")))</f>
        <v>Food Products</v>
      </c>
      <c r="D330" s="17">
        <f>'Raw Data'!N328</f>
        <v>500</v>
      </c>
      <c r="E330" s="17">
        <f>'Raw Data'!O328</f>
        <v>300</v>
      </c>
      <c r="F330" s="17">
        <f>'Raw Data'!P328</f>
        <v>300</v>
      </c>
      <c r="G330" s="17">
        <f>'Raw Data'!Q328</f>
        <v>1100</v>
      </c>
      <c r="H330" s="18">
        <f>INDEX('Industry Stats'!$F$2:$F$49,MATCH($C330,'Industry Stats'!$A$2:$A$49,0))</f>
        <v>1131.0714285714287</v>
      </c>
      <c r="I330" s="19">
        <f t="shared" si="55"/>
        <v>-31.071428571428669</v>
      </c>
      <c r="J330" s="20">
        <f t="shared" si="56"/>
        <v>-2.7470792548152909E-2</v>
      </c>
      <c r="K330" s="18">
        <f>INDEX('Industry Stats'!$C$2:$C$49,MATCH($C330,'Industry Stats'!$A$2:$A$49,0))</f>
        <v>516.57142857142856</v>
      </c>
      <c r="L330" s="19">
        <f t="shared" si="57"/>
        <v>-16.571428571428555</v>
      </c>
      <c r="M330" s="18">
        <f>INDEX('Industry Stats'!$D$2:$D$49,MATCH($C330,'Industry Stats'!$A$2:$A$49,0))</f>
        <v>311.28571428571428</v>
      </c>
      <c r="N330" s="19">
        <f t="shared" si="58"/>
        <v>-11.285714285714278</v>
      </c>
      <c r="O330" s="18">
        <f>INDEX('Industry Stats'!$E$2:$E$49,MATCH($C330,'Industry Stats'!$A$2:$A$49,0))</f>
        <v>303.21428571428572</v>
      </c>
      <c r="P330" s="19">
        <f t="shared" si="59"/>
        <v>-3.2142857142857224</v>
      </c>
      <c r="R330">
        <f t="shared" si="60"/>
        <v>1100.0009669999999</v>
      </c>
      <c r="S330">
        <f t="shared" si="61"/>
        <v>500.000967</v>
      </c>
      <c r="T330">
        <f t="shared" si="62"/>
        <v>300.000967</v>
      </c>
      <c r="U330">
        <f t="shared" si="63"/>
        <v>300.000967</v>
      </c>
      <c r="V330">
        <f t="shared" si="64"/>
        <v>-31.07046157142867</v>
      </c>
      <c r="W330">
        <f t="shared" si="65"/>
        <v>31.072395571428668</v>
      </c>
    </row>
    <row r="331" spans="1:23" ht="15" customHeight="1" x14ac:dyDescent="0.35">
      <c r="A331" t="str">
        <f>'Raw Data'!B329</f>
        <v>MetLife Inc</v>
      </c>
      <c r="B331" t="str">
        <f>'Raw Data'!A329</f>
        <v>met</v>
      </c>
      <c r="C331" t="str">
        <f>IF('Raw Data'!E329="N/A","Unclassified",TRIM(SUBSTITUTE('Raw Data'!E329," and "," &amp; ")))</f>
        <v>Insurance</v>
      </c>
      <c r="D331" s="17">
        <f>'Raw Data'!N329</f>
        <v>517</v>
      </c>
      <c r="E331" s="17">
        <f>'Raw Data'!O329</f>
        <v>305</v>
      </c>
      <c r="F331" s="17">
        <f>'Raw Data'!P329</f>
        <v>305</v>
      </c>
      <c r="G331" s="17">
        <f>'Raw Data'!Q329</f>
        <v>1127</v>
      </c>
      <c r="H331" s="18">
        <f>INDEX('Industry Stats'!$F$2:$F$49,MATCH($C331,'Industry Stats'!$A$2:$A$49,0))</f>
        <v>1012.3703703703703</v>
      </c>
      <c r="I331" s="19">
        <f t="shared" si="55"/>
        <v>114.62962962962968</v>
      </c>
      <c r="J331" s="20">
        <f t="shared" si="56"/>
        <v>0.11322894563547235</v>
      </c>
      <c r="K331" s="18">
        <f>INDEX('Industry Stats'!$C$2:$C$49,MATCH($C331,'Industry Stats'!$A$2:$A$49,0))</f>
        <v>425.25925925925924</v>
      </c>
      <c r="L331" s="19">
        <f t="shared" si="57"/>
        <v>91.740740740740762</v>
      </c>
      <c r="M331" s="18">
        <f>INDEX('Industry Stats'!$D$2:$D$49,MATCH($C331,'Industry Stats'!$A$2:$A$49,0))</f>
        <v>295.66666666666669</v>
      </c>
      <c r="N331" s="19">
        <f t="shared" si="58"/>
        <v>9.3333333333333144</v>
      </c>
      <c r="O331" s="18">
        <f>INDEX('Industry Stats'!$E$2:$E$49,MATCH($C331,'Industry Stats'!$A$2:$A$49,0))</f>
        <v>291.44444444444446</v>
      </c>
      <c r="P331" s="19">
        <f t="shared" si="59"/>
        <v>13.555555555555543</v>
      </c>
      <c r="R331">
        <f t="shared" si="60"/>
        <v>1127.0009669000001</v>
      </c>
      <c r="S331">
        <f t="shared" si="61"/>
        <v>517.00096689999998</v>
      </c>
      <c r="T331">
        <f t="shared" si="62"/>
        <v>305.00096689999998</v>
      </c>
      <c r="U331">
        <f t="shared" si="63"/>
        <v>305.00096689999998</v>
      </c>
      <c r="V331">
        <f t="shared" si="64"/>
        <v>114.63059652962967</v>
      </c>
      <c r="W331">
        <f t="shared" si="65"/>
        <v>-114.62866272962968</v>
      </c>
    </row>
    <row r="332" spans="1:23" ht="15" customHeight="1" x14ac:dyDescent="0.35">
      <c r="A332" t="str">
        <f>'Raw Data'!B330</f>
        <v>MGM Resorts International</v>
      </c>
      <c r="B332" t="str">
        <f>'Raw Data'!A330</f>
        <v>mgm</v>
      </c>
      <c r="C332" t="str">
        <f>IF('Raw Data'!E330="N/A","Unclassified",TRIM(SUBSTITUTE('Raw Data'!E330," and "," &amp; ")))</f>
        <v>Hotels Restaurants &amp; Leisure</v>
      </c>
      <c r="D332" s="17">
        <f>'Raw Data'!N330</f>
        <v>500</v>
      </c>
      <c r="E332" s="17">
        <f>'Raw Data'!O330</f>
        <v>300</v>
      </c>
      <c r="F332" s="17">
        <f>'Raw Data'!P330</f>
        <v>200</v>
      </c>
      <c r="G332" s="17">
        <f>'Raw Data'!Q330</f>
        <v>1000</v>
      </c>
      <c r="H332" s="18">
        <f>INDEX('Industry Stats'!$F$2:$F$49,MATCH($C332,'Industry Stats'!$A$2:$A$49,0))</f>
        <v>918.86363636363637</v>
      </c>
      <c r="I332" s="19">
        <f t="shared" si="55"/>
        <v>81.136363636363626</v>
      </c>
      <c r="J332" s="20">
        <f t="shared" si="56"/>
        <v>8.8300766757358387E-2</v>
      </c>
      <c r="K332" s="18">
        <f>INDEX('Industry Stats'!$C$2:$C$49,MATCH($C332,'Industry Stats'!$A$2:$A$49,0))</f>
        <v>374.63636363636363</v>
      </c>
      <c r="L332" s="19">
        <f t="shared" si="57"/>
        <v>125.36363636363637</v>
      </c>
      <c r="M332" s="18">
        <f>INDEX('Industry Stats'!$D$2:$D$49,MATCH($C332,'Industry Stats'!$A$2:$A$49,0))</f>
        <v>283.04545454545456</v>
      </c>
      <c r="N332" s="19">
        <f t="shared" si="58"/>
        <v>16.954545454545439</v>
      </c>
      <c r="O332" s="18">
        <f>INDEX('Industry Stats'!$E$2:$E$49,MATCH($C332,'Industry Stats'!$A$2:$A$49,0))</f>
        <v>261.18181818181819</v>
      </c>
      <c r="P332" s="19">
        <f t="shared" si="59"/>
        <v>-61.181818181818187</v>
      </c>
      <c r="R332">
        <f t="shared" si="60"/>
        <v>1000.0009668</v>
      </c>
      <c r="S332">
        <f t="shared" si="61"/>
        <v>500.00096680000001</v>
      </c>
      <c r="T332">
        <f t="shared" si="62"/>
        <v>300.00096680000001</v>
      </c>
      <c r="U332">
        <f t="shared" si="63"/>
        <v>200.00096679999999</v>
      </c>
      <c r="V332">
        <f t="shared" si="64"/>
        <v>81.137330436363627</v>
      </c>
      <c r="W332">
        <f t="shared" si="65"/>
        <v>-81.135396836363626</v>
      </c>
    </row>
    <row r="333" spans="1:23" ht="15" customHeight="1" x14ac:dyDescent="0.35">
      <c r="A333" t="str">
        <f>'Raw Data'!B331</f>
        <v>Marsh &amp; McLennan Companies Inc</v>
      </c>
      <c r="B333" t="str">
        <f>'Raw Data'!A331</f>
        <v>mmc</v>
      </c>
      <c r="C333" t="str">
        <f>IF('Raw Data'!E331="N/A","Unclassified",TRIM(SUBSTITUTE('Raw Data'!E331," and "," &amp; ")))</f>
        <v>Insurance</v>
      </c>
      <c r="D333" s="17">
        <f>'Raw Data'!N331</f>
        <v>500</v>
      </c>
      <c r="E333" s="17">
        <f>'Raw Data'!O331</f>
        <v>300</v>
      </c>
      <c r="F333" s="17">
        <f>'Raw Data'!P331</f>
        <v>300</v>
      </c>
      <c r="G333" s="17">
        <f>'Raw Data'!Q331</f>
        <v>1100</v>
      </c>
      <c r="H333" s="18">
        <f>INDEX('Industry Stats'!$F$2:$F$49,MATCH($C333,'Industry Stats'!$A$2:$A$49,0))</f>
        <v>1012.3703703703703</v>
      </c>
      <c r="I333" s="19">
        <f t="shared" si="55"/>
        <v>87.629629629629676</v>
      </c>
      <c r="J333" s="20">
        <f t="shared" si="56"/>
        <v>8.655886441794107E-2</v>
      </c>
      <c r="K333" s="18">
        <f>INDEX('Industry Stats'!$C$2:$C$49,MATCH($C333,'Industry Stats'!$A$2:$A$49,0))</f>
        <v>425.25925925925924</v>
      </c>
      <c r="L333" s="19">
        <f t="shared" si="57"/>
        <v>74.740740740740762</v>
      </c>
      <c r="M333" s="18">
        <f>INDEX('Industry Stats'!$D$2:$D$49,MATCH($C333,'Industry Stats'!$A$2:$A$49,0))</f>
        <v>295.66666666666669</v>
      </c>
      <c r="N333" s="19">
        <f t="shared" si="58"/>
        <v>4.3333333333333144</v>
      </c>
      <c r="O333" s="18">
        <f>INDEX('Industry Stats'!$E$2:$E$49,MATCH($C333,'Industry Stats'!$A$2:$A$49,0))</f>
        <v>291.44444444444446</v>
      </c>
      <c r="P333" s="19">
        <f t="shared" si="59"/>
        <v>8.5555555555555429</v>
      </c>
      <c r="R333">
        <f t="shared" si="60"/>
        <v>1100.0009666999999</v>
      </c>
      <c r="S333">
        <f t="shared" si="61"/>
        <v>500.00096669999999</v>
      </c>
      <c r="T333">
        <f t="shared" si="62"/>
        <v>300.00096669999999</v>
      </c>
      <c r="U333">
        <f t="shared" si="63"/>
        <v>300.00096669999999</v>
      </c>
      <c r="V333">
        <f t="shared" si="64"/>
        <v>87.630596329629682</v>
      </c>
      <c r="W333">
        <f t="shared" si="65"/>
        <v>-87.62866292962967</v>
      </c>
    </row>
    <row r="334" spans="1:23" ht="15" customHeight="1" x14ac:dyDescent="0.35">
      <c r="A334" t="str">
        <f>'Raw Data'!B332</f>
        <v>Altria Group Inc</v>
      </c>
      <c r="B334" t="str">
        <f>'Raw Data'!A332</f>
        <v>mo</v>
      </c>
      <c r="C334" t="str">
        <f>IF('Raw Data'!E332="N/A","Unclassified",TRIM(SUBSTITUTE('Raw Data'!E332," and "," &amp; ")))</f>
        <v>Tobacco</v>
      </c>
      <c r="D334" s="17">
        <f>'Raw Data'!N332</f>
        <v>500</v>
      </c>
      <c r="E334" s="17">
        <f>'Raw Data'!O332</f>
        <v>327</v>
      </c>
      <c r="F334" s="17">
        <f>'Raw Data'!P332</f>
        <v>341</v>
      </c>
      <c r="G334" s="17">
        <f>'Raw Data'!Q332</f>
        <v>1168</v>
      </c>
      <c r="H334" s="18">
        <f>INDEX('Industry Stats'!$F$2:$F$49,MATCH($C334,'Industry Stats'!$A$2:$A$49,0))</f>
        <v>1165</v>
      </c>
      <c r="I334" s="19">
        <f t="shared" si="55"/>
        <v>3</v>
      </c>
      <c r="J334" s="20">
        <f t="shared" si="56"/>
        <v>2.5751072961373391E-3</v>
      </c>
      <c r="K334" s="18">
        <f>INDEX('Industry Stats'!$C$2:$C$49,MATCH($C334,'Industry Stats'!$A$2:$A$49,0))</f>
        <v>510</v>
      </c>
      <c r="L334" s="19">
        <f t="shared" si="57"/>
        <v>-10</v>
      </c>
      <c r="M334" s="18">
        <f>INDEX('Industry Stats'!$D$2:$D$49,MATCH($C334,'Industry Stats'!$A$2:$A$49,0))</f>
        <v>327</v>
      </c>
      <c r="N334" s="19">
        <f t="shared" si="58"/>
        <v>0</v>
      </c>
      <c r="O334" s="18">
        <f>INDEX('Industry Stats'!$E$2:$E$49,MATCH($C334,'Industry Stats'!$A$2:$A$49,0))</f>
        <v>328</v>
      </c>
      <c r="P334" s="19">
        <f t="shared" si="59"/>
        <v>13</v>
      </c>
      <c r="R334">
        <f t="shared" si="60"/>
        <v>1168.0009666000001</v>
      </c>
      <c r="S334">
        <f t="shared" si="61"/>
        <v>500.00096660000003</v>
      </c>
      <c r="T334">
        <f t="shared" si="62"/>
        <v>327.00096660000003</v>
      </c>
      <c r="U334">
        <f t="shared" si="63"/>
        <v>341.00096660000003</v>
      </c>
      <c r="V334">
        <f t="shared" si="64"/>
        <v>3.0009665999999999</v>
      </c>
      <c r="W334">
        <f t="shared" si="65"/>
        <v>-2.9990334000000001</v>
      </c>
    </row>
    <row r="335" spans="1:23" ht="15" customHeight="1" x14ac:dyDescent="0.35">
      <c r="A335" t="str">
        <f>'Raw Data'!B333</f>
        <v>Borgwarner Inc</v>
      </c>
      <c r="B335" t="str">
        <f>'Raw Data'!A333</f>
        <v>bwa</v>
      </c>
      <c r="C335" t="str">
        <f>IF('Raw Data'!E333="N/A","Unclassified",TRIM(SUBSTITUTE('Raw Data'!E333," and "," &amp; ")))</f>
        <v>Auto Components</v>
      </c>
      <c r="D335" s="17">
        <f>'Raw Data'!N333</f>
        <v>260</v>
      </c>
      <c r="E335" s="17">
        <f>'Raw Data'!O333</f>
        <v>206</v>
      </c>
      <c r="F335" s="17">
        <f>'Raw Data'!P333</f>
        <v>230</v>
      </c>
      <c r="G335" s="17">
        <f>'Raw Data'!Q333</f>
        <v>696</v>
      </c>
      <c r="H335" s="18">
        <f>INDEX('Industry Stats'!$F$2:$F$49,MATCH($C335,'Industry Stats'!$A$2:$A$49,0))</f>
        <v>833.33333333333337</v>
      </c>
      <c r="I335" s="19">
        <f t="shared" si="55"/>
        <v>-137.33333333333337</v>
      </c>
      <c r="J335" s="20">
        <f t="shared" si="56"/>
        <v>-0.16480000000000003</v>
      </c>
      <c r="K335" s="18">
        <f>INDEX('Industry Stats'!$C$2:$C$49,MATCH($C335,'Industry Stats'!$A$2:$A$49,0))</f>
        <v>338.33333333333331</v>
      </c>
      <c r="L335" s="19">
        <f t="shared" si="57"/>
        <v>-78.333333333333314</v>
      </c>
      <c r="M335" s="18">
        <f>INDEX('Industry Stats'!$D$2:$D$49,MATCH($C335,'Industry Stats'!$A$2:$A$49,0))</f>
        <v>248.33333333333334</v>
      </c>
      <c r="N335" s="19">
        <f t="shared" si="58"/>
        <v>-42.333333333333343</v>
      </c>
      <c r="O335" s="18">
        <f>INDEX('Industry Stats'!$E$2:$E$49,MATCH($C335,'Industry Stats'!$A$2:$A$49,0))</f>
        <v>246.66666666666666</v>
      </c>
      <c r="P335" s="19">
        <f t="shared" si="59"/>
        <v>-16.666666666666657</v>
      </c>
      <c r="R335">
        <f t="shared" si="60"/>
        <v>696.0009665</v>
      </c>
      <c r="S335">
        <f t="shared" si="61"/>
        <v>260.0009665</v>
      </c>
      <c r="T335">
        <f t="shared" si="62"/>
        <v>206.0009665</v>
      </c>
      <c r="U335">
        <f t="shared" si="63"/>
        <v>230.0009665</v>
      </c>
      <c r="V335">
        <f t="shared" si="64"/>
        <v>-137.33236683333337</v>
      </c>
      <c r="W335">
        <f t="shared" si="65"/>
        <v>137.33429983333338</v>
      </c>
    </row>
    <row r="336" spans="1:23" ht="15" customHeight="1" x14ac:dyDescent="0.35">
      <c r="A336" t="str">
        <f>'Raw Data'!B334</f>
        <v>Merck &amp; Co Inc</v>
      </c>
      <c r="B336" t="str">
        <f>'Raw Data'!A334</f>
        <v>mrk</v>
      </c>
      <c r="C336" t="str">
        <f>IF('Raw Data'!E334="N/A","Unclassified",TRIM(SUBSTITUTE('Raw Data'!E334," and "," &amp; ")))</f>
        <v>Pharmaceuticals</v>
      </c>
      <c r="D336" s="17">
        <f>'Raw Data'!N334</f>
        <v>500</v>
      </c>
      <c r="E336" s="17">
        <f>'Raw Data'!O334</f>
        <v>305</v>
      </c>
      <c r="F336" s="17">
        <f>'Raw Data'!P334</f>
        <v>315</v>
      </c>
      <c r="G336" s="17">
        <f>'Raw Data'!Q334</f>
        <v>1120</v>
      </c>
      <c r="H336" s="18">
        <f>INDEX('Industry Stats'!$F$2:$F$49,MATCH($C336,'Industry Stats'!$A$2:$A$49,0))</f>
        <v>903.66666666666663</v>
      </c>
      <c r="I336" s="19">
        <f t="shared" si="55"/>
        <v>216.33333333333337</v>
      </c>
      <c r="J336" s="20">
        <f t="shared" si="56"/>
        <v>0.23939505717447443</v>
      </c>
      <c r="K336" s="18">
        <f>INDEX('Industry Stats'!$C$2:$C$49,MATCH($C336,'Industry Stats'!$A$2:$A$49,0))</f>
        <v>360.04761904761904</v>
      </c>
      <c r="L336" s="19">
        <f t="shared" si="57"/>
        <v>139.95238095238096</v>
      </c>
      <c r="M336" s="18">
        <f>INDEX('Industry Stats'!$D$2:$D$49,MATCH($C336,'Industry Stats'!$A$2:$A$49,0))</f>
        <v>269.66666666666669</v>
      </c>
      <c r="N336" s="19">
        <f t="shared" si="58"/>
        <v>35.333333333333314</v>
      </c>
      <c r="O336" s="18">
        <f>INDEX('Industry Stats'!$E$2:$E$49,MATCH($C336,'Industry Stats'!$A$2:$A$49,0))</f>
        <v>273.95238095238096</v>
      </c>
      <c r="P336" s="19">
        <f t="shared" si="59"/>
        <v>41.047619047619037</v>
      </c>
      <c r="R336">
        <f t="shared" si="60"/>
        <v>1120.0009663999999</v>
      </c>
      <c r="S336">
        <f t="shared" si="61"/>
        <v>500.00096639999998</v>
      </c>
      <c r="T336">
        <f t="shared" si="62"/>
        <v>305.00096639999998</v>
      </c>
      <c r="U336">
        <f t="shared" si="63"/>
        <v>315.00096639999998</v>
      </c>
      <c r="V336">
        <f t="shared" si="64"/>
        <v>216.33429973333338</v>
      </c>
      <c r="W336">
        <f t="shared" si="65"/>
        <v>-216.33236693333336</v>
      </c>
    </row>
    <row r="337" spans="1:23" ht="15" customHeight="1" x14ac:dyDescent="0.35">
      <c r="A337" t="str">
        <f>'Raw Data'!B335</f>
        <v>Marathon Oil Corp</v>
      </c>
      <c r="B337" t="str">
        <f>'Raw Data'!A335</f>
        <v>mro</v>
      </c>
      <c r="C337" t="str">
        <f>IF('Raw Data'!E335="N/A","Unclassified",TRIM(SUBSTITUTE('Raw Data'!E335," and "," &amp; ")))</f>
        <v>Energy</v>
      </c>
      <c r="D337" s="17">
        <f>'Raw Data'!N335</f>
        <v>530</v>
      </c>
      <c r="E337" s="17">
        <f>'Raw Data'!O335</f>
        <v>313</v>
      </c>
      <c r="F337" s="17">
        <f>'Raw Data'!P335</f>
        <v>305</v>
      </c>
      <c r="G337" s="17">
        <f>'Raw Data'!Q335</f>
        <v>1148</v>
      </c>
      <c r="H337" s="18">
        <f>INDEX('Industry Stats'!$F$2:$F$49,MATCH($C337,'Industry Stats'!$A$2:$A$49,0))</f>
        <v>1117.7619047619048</v>
      </c>
      <c r="I337" s="19">
        <f t="shared" si="55"/>
        <v>30.238095238095184</v>
      </c>
      <c r="J337" s="20">
        <f t="shared" si="56"/>
        <v>2.7052358028372976E-2</v>
      </c>
      <c r="K337" s="18">
        <f>INDEX('Industry Stats'!$C$2:$C$49,MATCH($C337,'Industry Stats'!$A$2:$A$49,0))</f>
        <v>515.09523809523807</v>
      </c>
      <c r="L337" s="19">
        <f t="shared" si="57"/>
        <v>14.904761904761926</v>
      </c>
      <c r="M337" s="18">
        <f>INDEX('Industry Stats'!$D$2:$D$49,MATCH($C337,'Industry Stats'!$A$2:$A$49,0))</f>
        <v>308.95238095238096</v>
      </c>
      <c r="N337" s="19">
        <f t="shared" si="58"/>
        <v>4.0476190476190368</v>
      </c>
      <c r="O337" s="18">
        <f>INDEX('Industry Stats'!$E$2:$E$49,MATCH($C337,'Industry Stats'!$A$2:$A$49,0))</f>
        <v>293.71428571428572</v>
      </c>
      <c r="P337" s="19">
        <f t="shared" si="59"/>
        <v>11.285714285714278</v>
      </c>
      <c r="R337">
        <f t="shared" si="60"/>
        <v>1148.0009663000001</v>
      </c>
      <c r="S337">
        <f t="shared" si="61"/>
        <v>530.00096629999996</v>
      </c>
      <c r="T337">
        <f t="shared" si="62"/>
        <v>313.00096630000002</v>
      </c>
      <c r="U337">
        <f t="shared" si="63"/>
        <v>305.00096630000002</v>
      </c>
      <c r="V337">
        <f t="shared" si="64"/>
        <v>30.239061538095186</v>
      </c>
      <c r="W337">
        <f t="shared" si="65"/>
        <v>-30.237128938095182</v>
      </c>
    </row>
    <row r="338" spans="1:23" ht="15" customHeight="1" x14ac:dyDescent="0.35">
      <c r="A338" t="str">
        <f>'Raw Data'!B336</f>
        <v>Marathon Petroleum Corp</v>
      </c>
      <c r="B338" t="str">
        <f>'Raw Data'!A336</f>
        <v>mpc</v>
      </c>
      <c r="C338" t="str">
        <f>IF('Raw Data'!E336="N/A","Unclassified",TRIM(SUBSTITUTE('Raw Data'!E336," and "," &amp; ")))</f>
        <v>Energy</v>
      </c>
      <c r="D338" s="17">
        <f>'Raw Data'!N336</f>
        <v>700</v>
      </c>
      <c r="E338" s="17">
        <f>'Raw Data'!O336</f>
        <v>366</v>
      </c>
      <c r="F338" s="17">
        <f>'Raw Data'!P336</f>
        <v>315</v>
      </c>
      <c r="G338" s="17">
        <f>'Raw Data'!Q336</f>
        <v>1381</v>
      </c>
      <c r="H338" s="18">
        <f>INDEX('Industry Stats'!$F$2:$F$49,MATCH($C338,'Industry Stats'!$A$2:$A$49,0))</f>
        <v>1117.7619047619048</v>
      </c>
      <c r="I338" s="19">
        <f t="shared" si="55"/>
        <v>263.23809523809518</v>
      </c>
      <c r="J338" s="20">
        <f t="shared" si="56"/>
        <v>0.235504622332041</v>
      </c>
      <c r="K338" s="18">
        <f>INDEX('Industry Stats'!$C$2:$C$49,MATCH($C338,'Industry Stats'!$A$2:$A$49,0))</f>
        <v>515.09523809523807</v>
      </c>
      <c r="L338" s="19">
        <f t="shared" si="57"/>
        <v>184.90476190476193</v>
      </c>
      <c r="M338" s="18">
        <f>INDEX('Industry Stats'!$D$2:$D$49,MATCH($C338,'Industry Stats'!$A$2:$A$49,0))</f>
        <v>308.95238095238096</v>
      </c>
      <c r="N338" s="19">
        <f t="shared" si="58"/>
        <v>57.047619047619037</v>
      </c>
      <c r="O338" s="18">
        <f>INDEX('Industry Stats'!$E$2:$E$49,MATCH($C338,'Industry Stats'!$A$2:$A$49,0))</f>
        <v>293.71428571428572</v>
      </c>
      <c r="P338" s="19">
        <f t="shared" si="59"/>
        <v>21.285714285714278</v>
      </c>
      <c r="R338">
        <f t="shared" si="60"/>
        <v>1381.0009662</v>
      </c>
      <c r="S338">
        <f t="shared" si="61"/>
        <v>700.00096619999999</v>
      </c>
      <c r="T338">
        <f t="shared" si="62"/>
        <v>366.00096619999999</v>
      </c>
      <c r="U338">
        <f t="shared" si="63"/>
        <v>315.00096619999999</v>
      </c>
      <c r="V338">
        <f t="shared" si="64"/>
        <v>263.23906143809518</v>
      </c>
      <c r="W338">
        <f t="shared" si="65"/>
        <v>-263.23712903809519</v>
      </c>
    </row>
    <row r="339" spans="1:23" ht="15" customHeight="1" x14ac:dyDescent="0.35">
      <c r="A339" t="str">
        <f>'Raw Data'!B337</f>
        <v>Morgan Stanley</v>
      </c>
      <c r="B339" t="str">
        <f>'Raw Data'!A337</f>
        <v>ms</v>
      </c>
      <c r="C339" t="str">
        <f>IF('Raw Data'!E337="N/A","Unclassified",TRIM(SUBSTITUTE('Raw Data'!E337," and "," &amp; ")))</f>
        <v>Financial Services</v>
      </c>
      <c r="D339" s="17">
        <f>'Raw Data'!N337</f>
        <v>555</v>
      </c>
      <c r="E339" s="17">
        <f>'Raw Data'!O337</f>
        <v>303</v>
      </c>
      <c r="F339" s="17">
        <f>'Raw Data'!P337</f>
        <v>320</v>
      </c>
      <c r="G339" s="17">
        <f>'Raw Data'!Q337</f>
        <v>1178</v>
      </c>
      <c r="H339" s="18">
        <f>INDEX('Industry Stats'!$F$2:$F$49,MATCH($C339,'Industry Stats'!$A$2:$A$49,0))</f>
        <v>909.33333333333337</v>
      </c>
      <c r="I339" s="19">
        <f t="shared" si="55"/>
        <v>268.66666666666663</v>
      </c>
      <c r="J339" s="20">
        <f t="shared" si="56"/>
        <v>0.29545454545454541</v>
      </c>
      <c r="K339" s="18">
        <f>INDEX('Industry Stats'!$C$2:$C$49,MATCH($C339,'Industry Stats'!$A$2:$A$49,0))</f>
        <v>367.63636363636363</v>
      </c>
      <c r="L339" s="19">
        <f t="shared" si="57"/>
        <v>187.36363636363637</v>
      </c>
      <c r="M339" s="18">
        <f>INDEX('Industry Stats'!$D$2:$D$49,MATCH($C339,'Industry Stats'!$A$2:$A$49,0))</f>
        <v>276.45454545454544</v>
      </c>
      <c r="N339" s="19">
        <f t="shared" si="58"/>
        <v>26.545454545454561</v>
      </c>
      <c r="O339" s="18">
        <f>INDEX('Industry Stats'!$E$2:$E$49,MATCH($C339,'Industry Stats'!$A$2:$A$49,0))</f>
        <v>265.24242424242425</v>
      </c>
      <c r="P339" s="19">
        <f t="shared" si="59"/>
        <v>54.757575757575751</v>
      </c>
      <c r="R339">
        <f t="shared" si="60"/>
        <v>1178.0009660999999</v>
      </c>
      <c r="S339">
        <f t="shared" si="61"/>
        <v>555.00096610000003</v>
      </c>
      <c r="T339">
        <f t="shared" si="62"/>
        <v>303.00096610000003</v>
      </c>
      <c r="U339">
        <f t="shared" si="63"/>
        <v>320.00096610000003</v>
      </c>
      <c r="V339">
        <f t="shared" si="64"/>
        <v>268.66763276666666</v>
      </c>
      <c r="W339">
        <f t="shared" si="65"/>
        <v>-268.6657005666666</v>
      </c>
    </row>
    <row r="340" spans="1:23" ht="15" customHeight="1" x14ac:dyDescent="0.35">
      <c r="A340" t="str">
        <f>'Raw Data'!B338</f>
        <v>M&amp;T Bank Corp</v>
      </c>
      <c r="B340" t="str">
        <f>'Raw Data'!A338</f>
        <v>mtb</v>
      </c>
      <c r="C340" t="str">
        <f>IF('Raw Data'!E338="N/A","Unclassified",TRIM(SUBSTITUTE('Raw Data'!E338," and "," &amp; ")))</f>
        <v>Banking</v>
      </c>
      <c r="D340" s="17">
        <f>'Raw Data'!N338</f>
        <v>500</v>
      </c>
      <c r="E340" s="17">
        <f>'Raw Data'!O338</f>
        <v>303</v>
      </c>
      <c r="F340" s="17">
        <f>'Raw Data'!P338</f>
        <v>260</v>
      </c>
      <c r="G340" s="17">
        <f>'Raw Data'!Q338</f>
        <v>1063</v>
      </c>
      <c r="H340" s="18">
        <f>INDEX('Industry Stats'!$F$2:$F$49,MATCH($C340,'Industry Stats'!$A$2:$A$49,0))</f>
        <v>898.31034482758616</v>
      </c>
      <c r="I340" s="19">
        <f t="shared" si="55"/>
        <v>164.68965517241384</v>
      </c>
      <c r="J340" s="20">
        <f t="shared" si="56"/>
        <v>0.18333269356262721</v>
      </c>
      <c r="K340" s="18">
        <f>INDEX('Industry Stats'!$C$2:$C$49,MATCH($C340,'Industry Stats'!$A$2:$A$49,0))</f>
        <v>341.48275862068965</v>
      </c>
      <c r="L340" s="19">
        <f t="shared" si="57"/>
        <v>158.51724137931035</v>
      </c>
      <c r="M340" s="18">
        <f>INDEX('Industry Stats'!$D$2:$D$49,MATCH($C340,'Industry Stats'!$A$2:$A$49,0))</f>
        <v>292.34482758620692</v>
      </c>
      <c r="N340" s="19">
        <f t="shared" si="58"/>
        <v>10.655172413793082</v>
      </c>
      <c r="O340" s="18">
        <f>INDEX('Industry Stats'!$E$2:$E$49,MATCH($C340,'Industry Stats'!$A$2:$A$49,0))</f>
        <v>264.48275862068965</v>
      </c>
      <c r="P340" s="19">
        <f t="shared" si="59"/>
        <v>-4.4827586206896513</v>
      </c>
      <c r="R340">
        <f t="shared" si="60"/>
        <v>1063.0009660000001</v>
      </c>
      <c r="S340">
        <f t="shared" si="61"/>
        <v>500.00096600000001</v>
      </c>
      <c r="T340">
        <f t="shared" si="62"/>
        <v>303.00096600000001</v>
      </c>
      <c r="U340">
        <f t="shared" si="63"/>
        <v>260.00096600000001</v>
      </c>
      <c r="V340">
        <f t="shared" si="64"/>
        <v>164.69062117241384</v>
      </c>
      <c r="W340">
        <f t="shared" si="65"/>
        <v>-164.68868917241383</v>
      </c>
    </row>
    <row r="341" spans="1:23" ht="15" customHeight="1" x14ac:dyDescent="0.35">
      <c r="A341" t="str">
        <f>'Raw Data'!B339</f>
        <v>Mettler-Toledo International Inc</v>
      </c>
      <c r="B341" t="str">
        <f>'Raw Data'!A339</f>
        <v>mtd</v>
      </c>
      <c r="C341" t="str">
        <f>IF('Raw Data'!E339="N/A","Unclassified",TRIM(SUBSTITUTE('Raw Data'!E339," and "," &amp; ")))</f>
        <v>Life Sciences Tools &amp; Services</v>
      </c>
      <c r="D341" s="17">
        <f>'Raw Data'!N339</f>
        <v>505</v>
      </c>
      <c r="E341" s="17">
        <f>'Raw Data'!O339</f>
        <v>300</v>
      </c>
      <c r="F341" s="17">
        <f>'Raw Data'!P339</f>
        <v>240</v>
      </c>
      <c r="G341" s="17">
        <f>'Raw Data'!Q339</f>
        <v>1045</v>
      </c>
      <c r="H341" s="18">
        <f>INDEX('Industry Stats'!$F$2:$F$49,MATCH($C341,'Industry Stats'!$A$2:$A$49,0))</f>
        <v>993.125</v>
      </c>
      <c r="I341" s="19">
        <f t="shared" si="55"/>
        <v>51.875</v>
      </c>
      <c r="J341" s="20">
        <f t="shared" si="56"/>
        <v>5.2234109502831971E-2</v>
      </c>
      <c r="K341" s="18">
        <f>INDEX('Industry Stats'!$C$2:$C$49,MATCH($C341,'Industry Stats'!$A$2:$A$49,0))</f>
        <v>421.375</v>
      </c>
      <c r="L341" s="19">
        <f t="shared" si="57"/>
        <v>83.625</v>
      </c>
      <c r="M341" s="18">
        <f>INDEX('Industry Stats'!$D$2:$D$49,MATCH($C341,'Industry Stats'!$A$2:$A$49,0))</f>
        <v>294.5</v>
      </c>
      <c r="N341" s="19">
        <f t="shared" si="58"/>
        <v>5.5</v>
      </c>
      <c r="O341" s="18">
        <f>INDEX('Industry Stats'!$E$2:$E$49,MATCH($C341,'Industry Stats'!$A$2:$A$49,0))</f>
        <v>277.25</v>
      </c>
      <c r="P341" s="19">
        <f t="shared" si="59"/>
        <v>-37.25</v>
      </c>
      <c r="R341">
        <f t="shared" si="60"/>
        <v>1045.0009659</v>
      </c>
      <c r="S341">
        <f t="shared" si="61"/>
        <v>505.00096589999998</v>
      </c>
      <c r="T341">
        <f t="shared" si="62"/>
        <v>300.00096589999998</v>
      </c>
      <c r="U341">
        <f t="shared" si="63"/>
        <v>240.00096590000001</v>
      </c>
      <c r="V341">
        <f t="shared" si="64"/>
        <v>51.875965899999997</v>
      </c>
      <c r="W341">
        <f t="shared" si="65"/>
        <v>-51.874034100000003</v>
      </c>
    </row>
    <row r="342" spans="1:23" ht="15" customHeight="1" x14ac:dyDescent="0.35">
      <c r="A342" t="str">
        <f>'Raw Data'!B340</f>
        <v>Motorola Solutions Inc</v>
      </c>
      <c r="B342" t="str">
        <f>'Raw Data'!A340</f>
        <v>msi</v>
      </c>
      <c r="C342" t="str">
        <f>IF('Raw Data'!E340="N/A","Unclassified",TRIM(SUBSTITUTE('Raw Data'!E340," and "," &amp; ")))</f>
        <v>Communications</v>
      </c>
      <c r="D342" s="17">
        <f>'Raw Data'!N340</f>
        <v>505</v>
      </c>
      <c r="E342" s="17">
        <f>'Raw Data'!O340</f>
        <v>305</v>
      </c>
      <c r="F342" s="17">
        <f>'Raw Data'!P340</f>
        <v>347</v>
      </c>
      <c r="G342" s="17">
        <f>'Raw Data'!Q340</f>
        <v>1157</v>
      </c>
      <c r="H342" s="18">
        <f>INDEX('Industry Stats'!$F$2:$F$49,MATCH($C342,'Industry Stats'!$A$2:$A$49,0))</f>
        <v>938.22222222222217</v>
      </c>
      <c r="I342" s="19">
        <f t="shared" si="55"/>
        <v>218.77777777777783</v>
      </c>
      <c r="J342" s="20">
        <f t="shared" si="56"/>
        <v>0.23318332543818102</v>
      </c>
      <c r="K342" s="18">
        <f>INDEX('Industry Stats'!$C$2:$C$49,MATCH($C342,'Industry Stats'!$A$2:$A$49,0))</f>
        <v>385</v>
      </c>
      <c r="L342" s="19">
        <f t="shared" si="57"/>
        <v>120</v>
      </c>
      <c r="M342" s="18">
        <f>INDEX('Industry Stats'!$D$2:$D$49,MATCH($C342,'Industry Stats'!$A$2:$A$49,0))</f>
        <v>278.77777777777777</v>
      </c>
      <c r="N342" s="19">
        <f t="shared" si="58"/>
        <v>26.222222222222229</v>
      </c>
      <c r="O342" s="18">
        <f>INDEX('Industry Stats'!$E$2:$E$49,MATCH($C342,'Industry Stats'!$A$2:$A$49,0))</f>
        <v>274.44444444444446</v>
      </c>
      <c r="P342" s="19">
        <f t="shared" si="59"/>
        <v>72.555555555555543</v>
      </c>
      <c r="R342">
        <f t="shared" si="60"/>
        <v>1157.0009657999999</v>
      </c>
      <c r="S342">
        <f t="shared" si="61"/>
        <v>505.00096580000002</v>
      </c>
      <c r="T342">
        <f t="shared" si="62"/>
        <v>305.00096580000002</v>
      </c>
      <c r="U342">
        <f t="shared" si="63"/>
        <v>347.00096580000002</v>
      </c>
      <c r="V342">
        <f t="shared" si="64"/>
        <v>218.77874357777782</v>
      </c>
      <c r="W342">
        <f t="shared" si="65"/>
        <v>-218.77681197777784</v>
      </c>
    </row>
    <row r="343" spans="1:23" ht="15" customHeight="1" x14ac:dyDescent="0.35">
      <c r="A343" t="str">
        <f>'Raw Data'!B341</f>
        <v>Nextera Energy Inc</v>
      </c>
      <c r="B343" t="str">
        <f>'Raw Data'!A341</f>
        <v>nee</v>
      </c>
      <c r="C343" t="str">
        <f>IF('Raw Data'!E341="N/A","Unclassified",TRIM(SUBSTITUTE('Raw Data'!E341," and "," &amp; ")))</f>
        <v>Utilities</v>
      </c>
      <c r="D343" s="17">
        <f>'Raw Data'!N341</f>
        <v>668</v>
      </c>
      <c r="E343" s="17">
        <f>'Raw Data'!O341</f>
        <v>306</v>
      </c>
      <c r="F343" s="17">
        <f>'Raw Data'!P341</f>
        <v>313</v>
      </c>
      <c r="G343" s="17">
        <f>'Raw Data'!Q341</f>
        <v>1287</v>
      </c>
      <c r="H343" s="18">
        <f>INDEX('Industry Stats'!$F$2:$F$49,MATCH($C343,'Industry Stats'!$A$2:$A$49,0))</f>
        <v>1190.6333333333334</v>
      </c>
      <c r="I343" s="19">
        <f t="shared" si="55"/>
        <v>96.366666666666561</v>
      </c>
      <c r="J343" s="20">
        <f t="shared" si="56"/>
        <v>8.09373162742517E-2</v>
      </c>
      <c r="K343" s="18">
        <f>INDEX('Industry Stats'!$C$2:$C$49,MATCH($C343,'Industry Stats'!$A$2:$A$49,0))</f>
        <v>550.9666666666667</v>
      </c>
      <c r="L343" s="19">
        <f t="shared" si="57"/>
        <v>117.0333333333333</v>
      </c>
      <c r="M343" s="18">
        <f>INDEX('Industry Stats'!$D$2:$D$49,MATCH($C343,'Industry Stats'!$A$2:$A$49,0))</f>
        <v>357.4</v>
      </c>
      <c r="N343" s="19">
        <f t="shared" si="58"/>
        <v>-51.399999999999977</v>
      </c>
      <c r="O343" s="18">
        <f>INDEX('Industry Stats'!$E$2:$E$49,MATCH($C343,'Industry Stats'!$A$2:$A$49,0))</f>
        <v>282.26666666666665</v>
      </c>
      <c r="P343" s="19">
        <f t="shared" si="59"/>
        <v>30.733333333333348</v>
      </c>
      <c r="R343">
        <f t="shared" si="60"/>
        <v>1287.0009657000001</v>
      </c>
      <c r="S343">
        <f t="shared" si="61"/>
        <v>668.00096570000005</v>
      </c>
      <c r="T343">
        <f t="shared" si="62"/>
        <v>306.00096569999999</v>
      </c>
      <c r="U343">
        <f t="shared" si="63"/>
        <v>313.00096569999999</v>
      </c>
      <c r="V343">
        <f t="shared" si="64"/>
        <v>96.367632366666555</v>
      </c>
      <c r="W343">
        <f t="shared" si="65"/>
        <v>-96.365700966666566</v>
      </c>
    </row>
    <row r="344" spans="1:23" ht="15" customHeight="1" x14ac:dyDescent="0.35">
      <c r="A344" t="str">
        <f>'Raw Data'!B342</f>
        <v>MSCI Inc</v>
      </c>
      <c r="B344" t="str">
        <f>'Raw Data'!A342</f>
        <v>msci</v>
      </c>
      <c r="C344" t="str">
        <f>IF('Raw Data'!E342="N/A","Unclassified",TRIM(SUBSTITUTE('Raw Data'!E342," and "," &amp; ")))</f>
        <v>Financial Services</v>
      </c>
      <c r="D344" s="17">
        <f>'Raw Data'!N342</f>
        <v>580</v>
      </c>
      <c r="E344" s="17">
        <f>'Raw Data'!O342</f>
        <v>347</v>
      </c>
      <c r="F344" s="17">
        <f>'Raw Data'!P342</f>
        <v>335</v>
      </c>
      <c r="G344" s="17">
        <f>'Raw Data'!Q342</f>
        <v>1262</v>
      </c>
      <c r="H344" s="18">
        <f>INDEX('Industry Stats'!$F$2:$F$49,MATCH($C344,'Industry Stats'!$A$2:$A$49,0))</f>
        <v>909.33333333333337</v>
      </c>
      <c r="I344" s="19">
        <f t="shared" si="55"/>
        <v>352.66666666666663</v>
      </c>
      <c r="J344" s="20">
        <f t="shared" si="56"/>
        <v>0.38782991202346034</v>
      </c>
      <c r="K344" s="18">
        <f>INDEX('Industry Stats'!$C$2:$C$49,MATCH($C344,'Industry Stats'!$A$2:$A$49,0))</f>
        <v>367.63636363636363</v>
      </c>
      <c r="L344" s="19">
        <f t="shared" si="57"/>
        <v>212.36363636363637</v>
      </c>
      <c r="M344" s="18">
        <f>INDEX('Industry Stats'!$D$2:$D$49,MATCH($C344,'Industry Stats'!$A$2:$A$49,0))</f>
        <v>276.45454545454544</v>
      </c>
      <c r="N344" s="19">
        <f t="shared" si="58"/>
        <v>70.545454545454561</v>
      </c>
      <c r="O344" s="18">
        <f>INDEX('Industry Stats'!$E$2:$E$49,MATCH($C344,'Industry Stats'!$A$2:$A$49,0))</f>
        <v>265.24242424242425</v>
      </c>
      <c r="P344" s="19">
        <f t="shared" si="59"/>
        <v>69.757575757575751</v>
      </c>
      <c r="R344">
        <f t="shared" si="60"/>
        <v>1262.0009656</v>
      </c>
      <c r="S344">
        <f t="shared" si="61"/>
        <v>580.00096559999997</v>
      </c>
      <c r="T344">
        <f t="shared" si="62"/>
        <v>347.00096559999997</v>
      </c>
      <c r="U344">
        <f t="shared" si="63"/>
        <v>335.00096559999997</v>
      </c>
      <c r="V344">
        <f t="shared" si="64"/>
        <v>352.6676322666666</v>
      </c>
      <c r="W344">
        <f t="shared" si="65"/>
        <v>-352.66570106666666</v>
      </c>
    </row>
    <row r="345" spans="1:23" ht="15" customHeight="1" x14ac:dyDescent="0.35">
      <c r="A345" t="str">
        <f>'Raw Data'!B343</f>
        <v>Norwegian Cruise Line Holdings Ltd</v>
      </c>
      <c r="B345" t="str">
        <f>'Raw Data'!A343</f>
        <v>nclh</v>
      </c>
      <c r="C345" t="str">
        <f>IF('Raw Data'!E343="N/A","Unclassified",TRIM(SUBSTITUTE('Raw Data'!E343," and "," &amp; ")))</f>
        <v>Hotels Restaurants &amp; Leisure</v>
      </c>
      <c r="D345" s="17">
        <f>'Raw Data'!N343</f>
        <v>495</v>
      </c>
      <c r="E345" s="17">
        <f>'Raw Data'!O343</f>
        <v>306</v>
      </c>
      <c r="F345" s="17">
        <f>'Raw Data'!P343</f>
        <v>300</v>
      </c>
      <c r="G345" s="17">
        <f>'Raw Data'!Q343</f>
        <v>1101</v>
      </c>
      <c r="H345" s="18">
        <f>INDEX('Industry Stats'!$F$2:$F$49,MATCH($C345,'Industry Stats'!$A$2:$A$49,0))</f>
        <v>918.86363636363637</v>
      </c>
      <c r="I345" s="19">
        <f t="shared" si="55"/>
        <v>182.13636363636363</v>
      </c>
      <c r="J345" s="20">
        <f t="shared" si="56"/>
        <v>0.19821914419985159</v>
      </c>
      <c r="K345" s="18">
        <f>INDEX('Industry Stats'!$C$2:$C$49,MATCH($C345,'Industry Stats'!$A$2:$A$49,0))</f>
        <v>374.63636363636363</v>
      </c>
      <c r="L345" s="19">
        <f t="shared" si="57"/>
        <v>120.36363636363637</v>
      </c>
      <c r="M345" s="18">
        <f>INDEX('Industry Stats'!$D$2:$D$49,MATCH($C345,'Industry Stats'!$A$2:$A$49,0))</f>
        <v>283.04545454545456</v>
      </c>
      <c r="N345" s="19">
        <f t="shared" si="58"/>
        <v>22.954545454545439</v>
      </c>
      <c r="O345" s="18">
        <f>INDEX('Industry Stats'!$E$2:$E$49,MATCH($C345,'Industry Stats'!$A$2:$A$49,0))</f>
        <v>261.18181818181819</v>
      </c>
      <c r="P345" s="19">
        <f t="shared" si="59"/>
        <v>38.818181818181813</v>
      </c>
      <c r="R345">
        <f t="shared" si="60"/>
        <v>1101.0009654999999</v>
      </c>
      <c r="S345">
        <f t="shared" si="61"/>
        <v>495.00096550000001</v>
      </c>
      <c r="T345">
        <f t="shared" si="62"/>
        <v>306.00096550000001</v>
      </c>
      <c r="U345">
        <f t="shared" si="63"/>
        <v>300.00096550000001</v>
      </c>
      <c r="V345">
        <f t="shared" si="64"/>
        <v>182.13732913636363</v>
      </c>
      <c r="W345">
        <f t="shared" si="65"/>
        <v>-182.13539813636362</v>
      </c>
    </row>
    <row r="346" spans="1:23" ht="15" customHeight="1" x14ac:dyDescent="0.35">
      <c r="A346" t="str">
        <f>'Raw Data'!B344</f>
        <v>NiSource Inc</v>
      </c>
      <c r="B346" t="str">
        <f>'Raw Data'!A344</f>
        <v>ni</v>
      </c>
      <c r="C346" t="str">
        <f>IF('Raw Data'!E344="N/A","Unclassified",TRIM(SUBSTITUTE('Raw Data'!E344," and "," &amp; ")))</f>
        <v>Utilities</v>
      </c>
      <c r="D346" s="17">
        <f>'Raw Data'!N344</f>
        <v>361</v>
      </c>
      <c r="E346" s="17">
        <f>'Raw Data'!O344</f>
        <v>322</v>
      </c>
      <c r="F346" s="17">
        <f>'Raw Data'!P344</f>
        <v>223</v>
      </c>
      <c r="G346" s="17">
        <f>'Raw Data'!Q344</f>
        <v>906</v>
      </c>
      <c r="H346" s="18">
        <f>INDEX('Industry Stats'!$F$2:$F$49,MATCH($C346,'Industry Stats'!$A$2:$A$49,0))</f>
        <v>1190.6333333333334</v>
      </c>
      <c r="I346" s="19">
        <f t="shared" si="55"/>
        <v>-284.63333333333344</v>
      </c>
      <c r="J346" s="20">
        <f t="shared" si="56"/>
        <v>-0.23906044402138923</v>
      </c>
      <c r="K346" s="18">
        <f>INDEX('Industry Stats'!$C$2:$C$49,MATCH($C346,'Industry Stats'!$A$2:$A$49,0))</f>
        <v>550.9666666666667</v>
      </c>
      <c r="L346" s="19">
        <f t="shared" si="57"/>
        <v>-189.9666666666667</v>
      </c>
      <c r="M346" s="18">
        <f>INDEX('Industry Stats'!$D$2:$D$49,MATCH($C346,'Industry Stats'!$A$2:$A$49,0))</f>
        <v>357.4</v>
      </c>
      <c r="N346" s="19">
        <f t="shared" si="58"/>
        <v>-35.399999999999977</v>
      </c>
      <c r="O346" s="18">
        <f>INDEX('Industry Stats'!$E$2:$E$49,MATCH($C346,'Industry Stats'!$A$2:$A$49,0))</f>
        <v>282.26666666666665</v>
      </c>
      <c r="P346" s="19">
        <f t="shared" si="59"/>
        <v>-59.266666666666652</v>
      </c>
      <c r="R346">
        <f t="shared" si="60"/>
        <v>906.00096540000004</v>
      </c>
      <c r="S346">
        <f t="shared" si="61"/>
        <v>361.00096539999998</v>
      </c>
      <c r="T346">
        <f t="shared" si="62"/>
        <v>322.00096539999998</v>
      </c>
      <c r="U346">
        <f t="shared" si="63"/>
        <v>223.00096540000001</v>
      </c>
      <c r="V346">
        <f t="shared" si="64"/>
        <v>-284.63236793333346</v>
      </c>
      <c r="W346">
        <f t="shared" si="65"/>
        <v>284.63429873333342</v>
      </c>
    </row>
    <row r="347" spans="1:23" ht="15" customHeight="1" x14ac:dyDescent="0.35">
      <c r="A347" t="str">
        <f>'Raw Data'!B345</f>
        <v>Northrop Grumman Corp</v>
      </c>
      <c r="B347" t="str">
        <f>'Raw Data'!A345</f>
        <v>noc</v>
      </c>
      <c r="C347" t="str">
        <f>IF('Raw Data'!E345="N/A","Unclassified",TRIM(SUBSTITUTE('Raw Data'!E345," and "," &amp; ")))</f>
        <v>Aerospace &amp; Defense</v>
      </c>
      <c r="D347" s="17">
        <f>'Raw Data'!N345</f>
        <v>505</v>
      </c>
      <c r="E347" s="17">
        <f>'Raw Data'!O345</f>
        <v>302</v>
      </c>
      <c r="F347" s="17">
        <f>'Raw Data'!P345</f>
        <v>300</v>
      </c>
      <c r="G347" s="17">
        <f>'Raw Data'!Q345</f>
        <v>1107</v>
      </c>
      <c r="H347" s="18">
        <f>INDEX('Industry Stats'!$F$2:$F$49,MATCH($C347,'Industry Stats'!$A$2:$A$49,0))</f>
        <v>1048.1818181818182</v>
      </c>
      <c r="I347" s="19">
        <f t="shared" si="55"/>
        <v>58.818181818181756</v>
      </c>
      <c r="J347" s="20">
        <f t="shared" si="56"/>
        <v>5.61144839549002E-2</v>
      </c>
      <c r="K347" s="18">
        <f>INDEX('Industry Stats'!$C$2:$C$49,MATCH($C347,'Industry Stats'!$A$2:$A$49,0))</f>
        <v>461.36363636363637</v>
      </c>
      <c r="L347" s="19">
        <f t="shared" si="57"/>
        <v>43.636363636363626</v>
      </c>
      <c r="M347" s="18">
        <f>INDEX('Industry Stats'!$D$2:$D$49,MATCH($C347,'Industry Stats'!$A$2:$A$49,0))</f>
        <v>296.36363636363637</v>
      </c>
      <c r="N347" s="19">
        <f t="shared" si="58"/>
        <v>5.636363636363626</v>
      </c>
      <c r="O347" s="18">
        <f>INDEX('Industry Stats'!$E$2:$E$49,MATCH($C347,'Industry Stats'!$A$2:$A$49,0))</f>
        <v>290.45454545454544</v>
      </c>
      <c r="P347" s="19">
        <f t="shared" si="59"/>
        <v>9.545454545454561</v>
      </c>
      <c r="R347">
        <f t="shared" si="60"/>
        <v>1107.0009653</v>
      </c>
      <c r="S347">
        <f t="shared" si="61"/>
        <v>505.00096530000002</v>
      </c>
      <c r="T347">
        <f t="shared" si="62"/>
        <v>302.00096530000002</v>
      </c>
      <c r="U347">
        <f t="shared" si="63"/>
        <v>300.00096530000002</v>
      </c>
      <c r="V347">
        <f t="shared" si="64"/>
        <v>58.819147118181753</v>
      </c>
      <c r="W347">
        <f t="shared" si="65"/>
        <v>-58.817216518181759</v>
      </c>
    </row>
    <row r="348" spans="1:23" ht="15" customHeight="1" x14ac:dyDescent="0.35">
      <c r="A348" t="str">
        <f>'Raw Data'!B346</f>
        <v>ServiceNow Inc</v>
      </c>
      <c r="B348" t="str">
        <f>'Raw Data'!A346</f>
        <v>now</v>
      </c>
      <c r="C348" t="str">
        <f>IF('Raw Data'!E346="N/A","Unclassified",TRIM(SUBSTITUTE('Raw Data'!E346," and "," &amp; ")))</f>
        <v>Technology</v>
      </c>
      <c r="D348" s="17">
        <f>'Raw Data'!N346</f>
        <v>550</v>
      </c>
      <c r="E348" s="17">
        <f>'Raw Data'!O346</f>
        <v>374</v>
      </c>
      <c r="F348" s="17">
        <f>'Raw Data'!P346</f>
        <v>350</v>
      </c>
      <c r="G348" s="17">
        <f>'Raw Data'!Q346</f>
        <v>1274</v>
      </c>
      <c r="H348" s="18">
        <f>INDEX('Industry Stats'!$F$2:$F$49,MATCH($C348,'Industry Stats'!$A$2:$A$49,0))</f>
        <v>1031.3174603174602</v>
      </c>
      <c r="I348" s="19">
        <f t="shared" si="55"/>
        <v>242.68253968253975</v>
      </c>
      <c r="J348" s="20">
        <f t="shared" si="56"/>
        <v>0.23531313006941354</v>
      </c>
      <c r="K348" s="18">
        <f>INDEX('Industry Stats'!$C$2:$C$49,MATCH($C348,'Industry Stats'!$A$2:$A$49,0))</f>
        <v>438.11111111111109</v>
      </c>
      <c r="L348" s="19">
        <f t="shared" si="57"/>
        <v>111.88888888888891</v>
      </c>
      <c r="M348" s="18">
        <f>INDEX('Industry Stats'!$D$2:$D$49,MATCH($C348,'Industry Stats'!$A$2:$A$49,0))</f>
        <v>307.90476190476193</v>
      </c>
      <c r="N348" s="19">
        <f t="shared" si="58"/>
        <v>66.095238095238074</v>
      </c>
      <c r="O348" s="18">
        <f>INDEX('Industry Stats'!$E$2:$E$49,MATCH($C348,'Industry Stats'!$A$2:$A$49,0))</f>
        <v>285.30158730158729</v>
      </c>
      <c r="P348" s="19">
        <f t="shared" si="59"/>
        <v>64.69841269841271</v>
      </c>
      <c r="R348">
        <f t="shared" si="60"/>
        <v>1274.0009652000001</v>
      </c>
      <c r="S348">
        <f t="shared" si="61"/>
        <v>550.0009652</v>
      </c>
      <c r="T348">
        <f t="shared" si="62"/>
        <v>374.0009652</v>
      </c>
      <c r="U348">
        <f t="shared" si="63"/>
        <v>350.0009652</v>
      </c>
      <c r="V348">
        <f t="shared" si="64"/>
        <v>242.68350488253975</v>
      </c>
      <c r="W348">
        <f t="shared" si="65"/>
        <v>-242.68157448253976</v>
      </c>
    </row>
    <row r="349" spans="1:23" ht="15" customHeight="1" x14ac:dyDescent="0.35">
      <c r="A349" t="str">
        <f>'Raw Data'!B347</f>
        <v>Nucor Corp</v>
      </c>
      <c r="B349" t="str">
        <f>'Raw Data'!A347</f>
        <v>nue</v>
      </c>
      <c r="C349" t="str">
        <f>IF('Raw Data'!E347="N/A","Unclassified",TRIM(SUBSTITUTE('Raw Data'!E347," and "," &amp; ")))</f>
        <v>Metals &amp; Mining</v>
      </c>
      <c r="D349" s="17">
        <f>'Raw Data'!N347</f>
        <v>374</v>
      </c>
      <c r="E349" s="17">
        <f>'Raw Data'!O347</f>
        <v>340</v>
      </c>
      <c r="F349" s="17">
        <f>'Raw Data'!P347</f>
        <v>225</v>
      </c>
      <c r="G349" s="17">
        <f>'Raw Data'!Q347</f>
        <v>939</v>
      </c>
      <c r="H349" s="18">
        <f>INDEX('Industry Stats'!$F$2:$F$49,MATCH($C349,'Industry Stats'!$A$2:$A$49,0))</f>
        <v>987</v>
      </c>
      <c r="I349" s="19">
        <f t="shared" si="55"/>
        <v>-48</v>
      </c>
      <c r="J349" s="20">
        <f t="shared" si="56"/>
        <v>-4.8632218844984802E-2</v>
      </c>
      <c r="K349" s="18">
        <f>INDEX('Industry Stats'!$C$2:$C$49,MATCH($C349,'Industry Stats'!$A$2:$A$49,0))</f>
        <v>427.3</v>
      </c>
      <c r="L349" s="19">
        <f t="shared" si="57"/>
        <v>-53.300000000000011</v>
      </c>
      <c r="M349" s="18">
        <f>INDEX('Industry Stats'!$D$2:$D$49,MATCH($C349,'Industry Stats'!$A$2:$A$49,0))</f>
        <v>289.2</v>
      </c>
      <c r="N349" s="19">
        <f t="shared" si="58"/>
        <v>50.800000000000011</v>
      </c>
      <c r="O349" s="18">
        <f>INDEX('Industry Stats'!$E$2:$E$49,MATCH($C349,'Industry Stats'!$A$2:$A$49,0))</f>
        <v>270.5</v>
      </c>
      <c r="P349" s="19">
        <f t="shared" si="59"/>
        <v>-45.5</v>
      </c>
      <c r="R349">
        <f t="shared" si="60"/>
        <v>939.00096510000003</v>
      </c>
      <c r="S349">
        <f t="shared" si="61"/>
        <v>374.00096509999997</v>
      </c>
      <c r="T349">
        <f t="shared" si="62"/>
        <v>340.00096509999997</v>
      </c>
      <c r="U349">
        <f t="shared" si="63"/>
        <v>225.0009651</v>
      </c>
      <c r="V349">
        <f t="shared" si="64"/>
        <v>-47.999034899999998</v>
      </c>
      <c r="W349">
        <f t="shared" si="65"/>
        <v>48.000965100000002</v>
      </c>
    </row>
    <row r="350" spans="1:23" ht="15" customHeight="1" x14ac:dyDescent="0.35">
      <c r="A350" t="str">
        <f>'Raw Data'!B348</f>
        <v>Nielsen Holdings PLC</v>
      </c>
      <c r="B350" t="str">
        <f>'Raw Data'!A348</f>
        <v>nlsn</v>
      </c>
      <c r="C350" t="str">
        <f>IF('Raw Data'!E348="N/A","Unclassified",TRIM(SUBSTITUTE('Raw Data'!E348," and "," &amp; ")))</f>
        <v>Professional Services</v>
      </c>
      <c r="D350" s="17">
        <f>'Raw Data'!N348</f>
        <v>500</v>
      </c>
      <c r="E350" s="17">
        <f>'Raw Data'!O348</f>
        <v>310</v>
      </c>
      <c r="F350" s="17">
        <f>'Raw Data'!P348</f>
        <v>300</v>
      </c>
      <c r="G350" s="17">
        <f>'Raw Data'!Q348</f>
        <v>1110</v>
      </c>
      <c r="H350" s="18">
        <f>INDEX('Industry Stats'!$F$2:$F$49,MATCH($C350,'Industry Stats'!$A$2:$A$49,0))</f>
        <v>1047.8571428571429</v>
      </c>
      <c r="I350" s="19">
        <f t="shared" si="55"/>
        <v>62.14285714285711</v>
      </c>
      <c r="J350" s="20">
        <f t="shared" si="56"/>
        <v>5.9304703476482583E-2</v>
      </c>
      <c r="K350" s="18">
        <f>INDEX('Industry Stats'!$C$2:$C$49,MATCH($C350,'Industry Stats'!$A$2:$A$49,0))</f>
        <v>435</v>
      </c>
      <c r="L350" s="19">
        <f t="shared" si="57"/>
        <v>65</v>
      </c>
      <c r="M350" s="18">
        <f>INDEX('Industry Stats'!$D$2:$D$49,MATCH($C350,'Industry Stats'!$A$2:$A$49,0))</f>
        <v>312.42857142857144</v>
      </c>
      <c r="N350" s="19">
        <f t="shared" si="58"/>
        <v>-2.4285714285714448</v>
      </c>
      <c r="O350" s="18">
        <f>INDEX('Industry Stats'!$E$2:$E$49,MATCH($C350,'Industry Stats'!$A$2:$A$49,0))</f>
        <v>300.42857142857144</v>
      </c>
      <c r="P350" s="19">
        <f t="shared" si="59"/>
        <v>-0.42857142857144481</v>
      </c>
      <c r="R350">
        <f t="shared" si="60"/>
        <v>1110.000965</v>
      </c>
      <c r="S350">
        <f t="shared" si="61"/>
        <v>500.00096500000001</v>
      </c>
      <c r="T350">
        <f t="shared" si="62"/>
        <v>310.00096500000001</v>
      </c>
      <c r="U350">
        <f t="shared" si="63"/>
        <v>300.00096500000001</v>
      </c>
      <c r="V350">
        <f t="shared" si="64"/>
        <v>62.143822142857111</v>
      </c>
      <c r="W350">
        <f t="shared" si="65"/>
        <v>-62.14189214285711</v>
      </c>
    </row>
    <row r="351" spans="1:23" ht="15" customHeight="1" x14ac:dyDescent="0.35">
      <c r="A351" t="str">
        <f>'Raw Data'!B349</f>
        <v>Norfolk Southern Corp</v>
      </c>
      <c r="B351" t="str">
        <f>'Raw Data'!A349</f>
        <v>nsc</v>
      </c>
      <c r="C351" t="str">
        <f>IF('Raw Data'!E349="N/A","Unclassified",TRIM(SUBSTITUTE('Raw Data'!E349," and "," &amp; ")))</f>
        <v>Road &amp; Rail</v>
      </c>
      <c r="D351" s="17">
        <f>'Raw Data'!N349</f>
        <v>358</v>
      </c>
      <c r="E351" s="17">
        <f>'Raw Data'!O349</f>
        <v>339</v>
      </c>
      <c r="F351" s="17">
        <f>'Raw Data'!P349</f>
        <v>330</v>
      </c>
      <c r="G351" s="17">
        <f>'Raw Data'!Q349</f>
        <v>1027</v>
      </c>
      <c r="H351" s="18">
        <f>INDEX('Industry Stats'!$F$2:$F$49,MATCH($C351,'Industry Stats'!$A$2:$A$49,0))</f>
        <v>1076.3333333333333</v>
      </c>
      <c r="I351" s="19">
        <f t="shared" si="55"/>
        <v>-49.333333333333258</v>
      </c>
      <c r="J351" s="20">
        <f t="shared" si="56"/>
        <v>-4.5834623722514643E-2</v>
      </c>
      <c r="K351" s="18">
        <f>INDEX('Industry Stats'!$C$2:$C$49,MATCH($C351,'Industry Stats'!$A$2:$A$49,0))</f>
        <v>452.83333333333331</v>
      </c>
      <c r="L351" s="19">
        <f t="shared" si="57"/>
        <v>-94.833333333333314</v>
      </c>
      <c r="M351" s="18">
        <f>INDEX('Industry Stats'!$D$2:$D$49,MATCH($C351,'Industry Stats'!$A$2:$A$49,0))</f>
        <v>326.33333333333331</v>
      </c>
      <c r="N351" s="19">
        <f t="shared" si="58"/>
        <v>12.666666666666686</v>
      </c>
      <c r="O351" s="18">
        <f>INDEX('Industry Stats'!$E$2:$E$49,MATCH($C351,'Industry Stats'!$A$2:$A$49,0))</f>
        <v>297.16666666666669</v>
      </c>
      <c r="P351" s="19">
        <f t="shared" si="59"/>
        <v>32.833333333333314</v>
      </c>
      <c r="R351">
        <f t="shared" si="60"/>
        <v>1027.0009649000001</v>
      </c>
      <c r="S351">
        <f t="shared" si="61"/>
        <v>358.00096489999999</v>
      </c>
      <c r="T351">
        <f t="shared" si="62"/>
        <v>339.00096489999999</v>
      </c>
      <c r="U351">
        <f t="shared" si="63"/>
        <v>330.00096489999999</v>
      </c>
      <c r="V351">
        <f t="shared" si="64"/>
        <v>-49.332368433333258</v>
      </c>
      <c r="W351">
        <f t="shared" si="65"/>
        <v>49.334298233333257</v>
      </c>
    </row>
    <row r="352" spans="1:23" ht="15" customHeight="1" x14ac:dyDescent="0.35">
      <c r="A352" t="str">
        <f>'Raw Data'!B350</f>
        <v>NVR Inc</v>
      </c>
      <c r="B352" t="str">
        <f>'Raw Data'!A350</f>
        <v>nvr</v>
      </c>
      <c r="C352" t="str">
        <f>IF('Raw Data'!E350="N/A","Unclassified",TRIM(SUBSTITUTE('Raw Data'!E350," and "," &amp; ")))</f>
        <v>Consumer products</v>
      </c>
      <c r="D352" s="17">
        <f>'Raw Data'!N350</f>
        <v>265</v>
      </c>
      <c r="E352" s="17">
        <f>'Raw Data'!O350</f>
        <v>206</v>
      </c>
      <c r="F352" s="17">
        <f>'Raw Data'!P350</f>
        <v>205</v>
      </c>
      <c r="G352" s="17">
        <f>'Raw Data'!Q350</f>
        <v>676</v>
      </c>
      <c r="H352" s="18">
        <f>INDEX('Industry Stats'!$F$2:$F$49,MATCH($C352,'Industry Stats'!$A$2:$A$49,0))</f>
        <v>945.55</v>
      </c>
      <c r="I352" s="19">
        <f t="shared" si="55"/>
        <v>-269.54999999999995</v>
      </c>
      <c r="J352" s="20">
        <f t="shared" si="56"/>
        <v>-0.28507218021257463</v>
      </c>
      <c r="K352" s="18">
        <f>INDEX('Industry Stats'!$C$2:$C$49,MATCH($C352,'Industry Stats'!$A$2:$A$49,0))</f>
        <v>384.9</v>
      </c>
      <c r="L352" s="19">
        <f t="shared" si="57"/>
        <v>-119.89999999999998</v>
      </c>
      <c r="M352" s="18">
        <f>INDEX('Industry Stats'!$D$2:$D$49,MATCH($C352,'Industry Stats'!$A$2:$A$49,0))</f>
        <v>285.7</v>
      </c>
      <c r="N352" s="19">
        <f t="shared" si="58"/>
        <v>-79.699999999999989</v>
      </c>
      <c r="O352" s="18">
        <f>INDEX('Industry Stats'!$E$2:$E$49,MATCH($C352,'Industry Stats'!$A$2:$A$49,0))</f>
        <v>274.95</v>
      </c>
      <c r="P352" s="19">
        <f t="shared" si="59"/>
        <v>-69.949999999999989</v>
      </c>
      <c r="R352">
        <f t="shared" si="60"/>
        <v>676.00096480000002</v>
      </c>
      <c r="S352">
        <f t="shared" si="61"/>
        <v>265.00096480000002</v>
      </c>
      <c r="T352">
        <f t="shared" si="62"/>
        <v>206.00096479999999</v>
      </c>
      <c r="U352">
        <f t="shared" si="63"/>
        <v>205.00096479999999</v>
      </c>
      <c r="V352">
        <f t="shared" si="64"/>
        <v>-269.54903519999993</v>
      </c>
      <c r="W352">
        <f t="shared" si="65"/>
        <v>269.55096479999997</v>
      </c>
    </row>
    <row r="353" spans="1:23" ht="15" customHeight="1" x14ac:dyDescent="0.35">
      <c r="A353" t="str">
        <f>'Raw Data'!B351</f>
        <v>Progressive Corp</v>
      </c>
      <c r="B353" t="str">
        <f>'Raw Data'!A351</f>
        <v>pgr</v>
      </c>
      <c r="C353" t="str">
        <f>IF('Raw Data'!E351="N/A","Unclassified",TRIM(SUBSTITUTE('Raw Data'!E351," and "," &amp; ")))</f>
        <v>Insurance</v>
      </c>
      <c r="D353" s="17">
        <f>'Raw Data'!N351</f>
        <v>350</v>
      </c>
      <c r="E353" s="17">
        <f>'Raw Data'!O351</f>
        <v>355</v>
      </c>
      <c r="F353" s="17">
        <f>'Raw Data'!P351</f>
        <v>270</v>
      </c>
      <c r="G353" s="17">
        <f>'Raw Data'!Q351</f>
        <v>975</v>
      </c>
      <c r="H353" s="18">
        <f>INDEX('Industry Stats'!$F$2:$F$49,MATCH($C353,'Industry Stats'!$A$2:$A$49,0))</f>
        <v>1012.3703703703703</v>
      </c>
      <c r="I353" s="19">
        <f t="shared" si="55"/>
        <v>-37.370370370370324</v>
      </c>
      <c r="J353" s="20">
        <f t="shared" si="56"/>
        <v>-3.6913733811370412E-2</v>
      </c>
      <c r="K353" s="18">
        <f>INDEX('Industry Stats'!$C$2:$C$49,MATCH($C353,'Industry Stats'!$A$2:$A$49,0))</f>
        <v>425.25925925925924</v>
      </c>
      <c r="L353" s="19">
        <f t="shared" si="57"/>
        <v>-75.259259259259238</v>
      </c>
      <c r="M353" s="18">
        <f>INDEX('Industry Stats'!$D$2:$D$49,MATCH($C353,'Industry Stats'!$A$2:$A$49,0))</f>
        <v>295.66666666666669</v>
      </c>
      <c r="N353" s="19">
        <f t="shared" si="58"/>
        <v>59.333333333333314</v>
      </c>
      <c r="O353" s="18">
        <f>INDEX('Industry Stats'!$E$2:$E$49,MATCH($C353,'Industry Stats'!$A$2:$A$49,0))</f>
        <v>291.44444444444446</v>
      </c>
      <c r="P353" s="19">
        <f t="shared" si="59"/>
        <v>-21.444444444444457</v>
      </c>
      <c r="R353">
        <f t="shared" si="60"/>
        <v>975.00096470000005</v>
      </c>
      <c r="S353">
        <f t="shared" si="61"/>
        <v>350.0009647</v>
      </c>
      <c r="T353">
        <f t="shared" si="62"/>
        <v>355.0009647</v>
      </c>
      <c r="U353">
        <f t="shared" si="63"/>
        <v>270.0009647</v>
      </c>
      <c r="V353">
        <f t="shared" si="64"/>
        <v>-37.369405670370327</v>
      </c>
      <c r="W353">
        <f t="shared" si="65"/>
        <v>37.371335070370321</v>
      </c>
    </row>
    <row r="354" spans="1:23" ht="15" customHeight="1" x14ac:dyDescent="0.35">
      <c r="A354" t="str">
        <f>'Raw Data'!B352</f>
        <v>Pfizer Inc</v>
      </c>
      <c r="B354" t="str">
        <f>'Raw Data'!A352</f>
        <v>pfe</v>
      </c>
      <c r="C354" t="str">
        <f>IF('Raw Data'!E352="N/A","Unclassified",TRIM(SUBSTITUTE('Raw Data'!E352," and "," &amp; ")))</f>
        <v>Pharmaceuticals</v>
      </c>
      <c r="D354" s="17">
        <f>'Raw Data'!N352</f>
        <v>500</v>
      </c>
      <c r="E354" s="17">
        <f>'Raw Data'!O352</f>
        <v>300</v>
      </c>
      <c r="F354" s="17">
        <f>'Raw Data'!P352</f>
        <v>300</v>
      </c>
      <c r="G354" s="17">
        <f>'Raw Data'!Q352</f>
        <v>1100</v>
      </c>
      <c r="H354" s="18">
        <f>INDEX('Industry Stats'!$F$2:$F$49,MATCH($C354,'Industry Stats'!$A$2:$A$49,0))</f>
        <v>903.66666666666663</v>
      </c>
      <c r="I354" s="19">
        <f t="shared" si="55"/>
        <v>196.33333333333337</v>
      </c>
      <c r="J354" s="20">
        <f t="shared" si="56"/>
        <v>0.21726300258207309</v>
      </c>
      <c r="K354" s="18">
        <f>INDEX('Industry Stats'!$C$2:$C$49,MATCH($C354,'Industry Stats'!$A$2:$A$49,0))</f>
        <v>360.04761904761904</v>
      </c>
      <c r="L354" s="19">
        <f t="shared" si="57"/>
        <v>139.95238095238096</v>
      </c>
      <c r="M354" s="18">
        <f>INDEX('Industry Stats'!$D$2:$D$49,MATCH($C354,'Industry Stats'!$A$2:$A$49,0))</f>
        <v>269.66666666666669</v>
      </c>
      <c r="N354" s="19">
        <f t="shared" si="58"/>
        <v>30.333333333333314</v>
      </c>
      <c r="O354" s="18">
        <f>INDEX('Industry Stats'!$E$2:$E$49,MATCH($C354,'Industry Stats'!$A$2:$A$49,0))</f>
        <v>273.95238095238096</v>
      </c>
      <c r="P354" s="19">
        <f t="shared" si="59"/>
        <v>26.047619047619037</v>
      </c>
      <c r="R354">
        <f t="shared" si="60"/>
        <v>1100.0009646000001</v>
      </c>
      <c r="S354">
        <f t="shared" si="61"/>
        <v>500.00096459999997</v>
      </c>
      <c r="T354">
        <f t="shared" si="62"/>
        <v>300.00096459999997</v>
      </c>
      <c r="U354">
        <f t="shared" si="63"/>
        <v>300.00096459999997</v>
      </c>
      <c r="V354">
        <f t="shared" si="64"/>
        <v>196.33429793333337</v>
      </c>
      <c r="W354">
        <f t="shared" si="65"/>
        <v>-196.33236873333337</v>
      </c>
    </row>
    <row r="355" spans="1:23" ht="15" customHeight="1" x14ac:dyDescent="0.35">
      <c r="A355" t="str">
        <f>'Raw Data'!B353</f>
        <v>Pultegroup Inc</v>
      </c>
      <c r="B355" t="str">
        <f>'Raw Data'!A353</f>
        <v>phm</v>
      </c>
      <c r="C355" t="str">
        <f>IF('Raw Data'!E353="N/A","Unclassified",TRIM(SUBSTITUTE('Raw Data'!E353," and "," &amp; ")))</f>
        <v>Consumer products</v>
      </c>
      <c r="D355" s="17">
        <f>'Raw Data'!N353</f>
        <v>215</v>
      </c>
      <c r="E355" s="17">
        <f>'Raw Data'!O353</f>
        <v>203</v>
      </c>
      <c r="F355" s="17">
        <f>'Raw Data'!P353</f>
        <v>240</v>
      </c>
      <c r="G355" s="17">
        <f>'Raw Data'!Q353</f>
        <v>658</v>
      </c>
      <c r="H355" s="18">
        <f>INDEX('Industry Stats'!$F$2:$F$49,MATCH($C355,'Industry Stats'!$A$2:$A$49,0))</f>
        <v>945.55</v>
      </c>
      <c r="I355" s="19">
        <f t="shared" si="55"/>
        <v>-287.54999999999995</v>
      </c>
      <c r="J355" s="20">
        <f t="shared" si="56"/>
        <v>-0.3041087197927132</v>
      </c>
      <c r="K355" s="18">
        <f>INDEX('Industry Stats'!$C$2:$C$49,MATCH($C355,'Industry Stats'!$A$2:$A$49,0))</f>
        <v>384.9</v>
      </c>
      <c r="L355" s="19">
        <f t="shared" si="57"/>
        <v>-169.89999999999998</v>
      </c>
      <c r="M355" s="18">
        <f>INDEX('Industry Stats'!$D$2:$D$49,MATCH($C355,'Industry Stats'!$A$2:$A$49,0))</f>
        <v>285.7</v>
      </c>
      <c r="N355" s="19">
        <f t="shared" si="58"/>
        <v>-82.699999999999989</v>
      </c>
      <c r="O355" s="18">
        <f>INDEX('Industry Stats'!$E$2:$E$49,MATCH($C355,'Industry Stats'!$A$2:$A$49,0))</f>
        <v>274.95</v>
      </c>
      <c r="P355" s="19">
        <f t="shared" si="59"/>
        <v>-34.949999999999989</v>
      </c>
      <c r="R355">
        <f t="shared" si="60"/>
        <v>658.00096450000001</v>
      </c>
      <c r="S355">
        <f t="shared" si="61"/>
        <v>215.00096450000001</v>
      </c>
      <c r="T355">
        <f t="shared" si="62"/>
        <v>203.00096450000001</v>
      </c>
      <c r="U355">
        <f t="shared" si="63"/>
        <v>240.00096450000001</v>
      </c>
      <c r="V355">
        <f t="shared" si="64"/>
        <v>-287.54903549999995</v>
      </c>
      <c r="W355">
        <f t="shared" si="65"/>
        <v>287.55096449999996</v>
      </c>
    </row>
    <row r="356" spans="1:23" ht="15" customHeight="1" x14ac:dyDescent="0.35">
      <c r="A356" t="str">
        <f>'Raw Data'!B354</f>
        <v>Parker-Hannifin Corp</v>
      </c>
      <c r="B356" t="str">
        <f>'Raw Data'!A354</f>
        <v>ph</v>
      </c>
      <c r="C356" t="str">
        <f>IF('Raw Data'!E354="N/A","Unclassified",TRIM(SUBSTITUTE('Raw Data'!E354," and "," &amp; ")))</f>
        <v>Machinery</v>
      </c>
      <c r="D356" s="17">
        <f>'Raw Data'!N354</f>
        <v>325</v>
      </c>
      <c r="E356" s="17">
        <f>'Raw Data'!O354</f>
        <v>303</v>
      </c>
      <c r="F356" s="17">
        <f>'Raw Data'!P354</f>
        <v>225</v>
      </c>
      <c r="G356" s="17">
        <f>'Raw Data'!Q354</f>
        <v>853</v>
      </c>
      <c r="H356" s="18">
        <f>INDEX('Industry Stats'!$F$2:$F$49,MATCH($C356,'Industry Stats'!$A$2:$A$49,0))</f>
        <v>1048.047619047619</v>
      </c>
      <c r="I356" s="19">
        <f t="shared" si="55"/>
        <v>-195.04761904761904</v>
      </c>
      <c r="J356" s="20">
        <f t="shared" si="56"/>
        <v>-0.18610568403834793</v>
      </c>
      <c r="K356" s="18">
        <f>INDEX('Industry Stats'!$C$2:$C$49,MATCH($C356,'Industry Stats'!$A$2:$A$49,0))</f>
        <v>459.57142857142856</v>
      </c>
      <c r="L356" s="19">
        <f t="shared" si="57"/>
        <v>-134.57142857142856</v>
      </c>
      <c r="M356" s="18">
        <f>INDEX('Industry Stats'!$D$2:$D$49,MATCH($C356,'Industry Stats'!$A$2:$A$49,0))</f>
        <v>313.66666666666669</v>
      </c>
      <c r="N356" s="19">
        <f t="shared" si="58"/>
        <v>-10.666666666666686</v>
      </c>
      <c r="O356" s="18">
        <f>INDEX('Industry Stats'!$E$2:$E$49,MATCH($C356,'Industry Stats'!$A$2:$A$49,0))</f>
        <v>274.8095238095238</v>
      </c>
      <c r="P356" s="19">
        <f t="shared" si="59"/>
        <v>-49.809523809523796</v>
      </c>
      <c r="R356">
        <f t="shared" si="60"/>
        <v>853.00096440000004</v>
      </c>
      <c r="S356">
        <f t="shared" si="61"/>
        <v>325.00096439999999</v>
      </c>
      <c r="T356">
        <f t="shared" si="62"/>
        <v>303.00096439999999</v>
      </c>
      <c r="U356">
        <f t="shared" si="63"/>
        <v>225.00096439999999</v>
      </c>
      <c r="V356">
        <f t="shared" si="64"/>
        <v>-195.04665464761905</v>
      </c>
      <c r="W356">
        <f t="shared" si="65"/>
        <v>195.04858344761902</v>
      </c>
    </row>
    <row r="357" spans="1:23" ht="15" customHeight="1" x14ac:dyDescent="0.35">
      <c r="A357" t="str">
        <f>'Raw Data'!B355</f>
        <v>PerkinElmer Inc</v>
      </c>
      <c r="B357" t="str">
        <f>'Raw Data'!A355</f>
        <v>pki</v>
      </c>
      <c r="C357" t="str">
        <f>IF('Raw Data'!E355="N/A","Unclassified",TRIM(SUBSTITUTE('Raw Data'!E355," and "," &amp; ")))</f>
        <v>Life Sciences Tools &amp; Services</v>
      </c>
      <c r="D357" s="17">
        <f>'Raw Data'!N355</f>
        <v>515</v>
      </c>
      <c r="E357" s="17">
        <f>'Raw Data'!O355</f>
        <v>316</v>
      </c>
      <c r="F357" s="17">
        <f>'Raw Data'!P355</f>
        <v>325</v>
      </c>
      <c r="G357" s="17">
        <f>'Raw Data'!Q355</f>
        <v>1156</v>
      </c>
      <c r="H357" s="18">
        <f>INDEX('Industry Stats'!$F$2:$F$49,MATCH($C357,'Industry Stats'!$A$2:$A$49,0))</f>
        <v>993.125</v>
      </c>
      <c r="I357" s="19">
        <f t="shared" si="55"/>
        <v>162.875</v>
      </c>
      <c r="J357" s="20">
        <f t="shared" si="56"/>
        <v>0.16400251730648208</v>
      </c>
      <c r="K357" s="18">
        <f>INDEX('Industry Stats'!$C$2:$C$49,MATCH($C357,'Industry Stats'!$A$2:$A$49,0))</f>
        <v>421.375</v>
      </c>
      <c r="L357" s="19">
        <f t="shared" si="57"/>
        <v>93.625</v>
      </c>
      <c r="M357" s="18">
        <f>INDEX('Industry Stats'!$D$2:$D$49,MATCH($C357,'Industry Stats'!$A$2:$A$49,0))</f>
        <v>294.5</v>
      </c>
      <c r="N357" s="19">
        <f t="shared" si="58"/>
        <v>21.5</v>
      </c>
      <c r="O357" s="18">
        <f>INDEX('Industry Stats'!$E$2:$E$49,MATCH($C357,'Industry Stats'!$A$2:$A$49,0))</f>
        <v>277.25</v>
      </c>
      <c r="P357" s="19">
        <f t="shared" si="59"/>
        <v>47.75</v>
      </c>
      <c r="R357">
        <f t="shared" si="60"/>
        <v>1156.0009643000001</v>
      </c>
      <c r="S357">
        <f t="shared" si="61"/>
        <v>515.00096429999996</v>
      </c>
      <c r="T357">
        <f t="shared" si="62"/>
        <v>316.00096430000002</v>
      </c>
      <c r="U357">
        <f t="shared" si="63"/>
        <v>325.00096430000002</v>
      </c>
      <c r="V357">
        <f t="shared" si="64"/>
        <v>162.87596429999999</v>
      </c>
      <c r="W357">
        <f t="shared" si="65"/>
        <v>-162.87403570000001</v>
      </c>
    </row>
    <row r="358" spans="1:23" ht="15" customHeight="1" x14ac:dyDescent="0.35">
      <c r="A358" t="str">
        <f>'Raw Data'!B356</f>
        <v>Prologis Inc</v>
      </c>
      <c r="B358" t="str">
        <f>'Raw Data'!A356</f>
        <v>pld</v>
      </c>
      <c r="C358" t="str">
        <f>IF('Raw Data'!E356="N/A","Unclassified",TRIM(SUBSTITUTE('Raw Data'!E356," and "," &amp; ")))</f>
        <v>Real Estate</v>
      </c>
      <c r="D358" s="17">
        <f>'Raw Data'!N356</f>
        <v>579</v>
      </c>
      <c r="E358" s="17">
        <f>'Raw Data'!O356</f>
        <v>374</v>
      </c>
      <c r="F358" s="17">
        <f>'Raw Data'!P356</f>
        <v>315</v>
      </c>
      <c r="G358" s="17">
        <f>'Raw Data'!Q356</f>
        <v>1268</v>
      </c>
      <c r="H358" s="18">
        <f>INDEX('Industry Stats'!$F$2:$F$49,MATCH($C358,'Industry Stats'!$A$2:$A$49,0))</f>
        <v>995.94444444444446</v>
      </c>
      <c r="I358" s="19">
        <f t="shared" si="55"/>
        <v>272.05555555555554</v>
      </c>
      <c r="J358" s="20">
        <f t="shared" si="56"/>
        <v>0.27316338483851171</v>
      </c>
      <c r="K358" s="18">
        <f>INDEX('Industry Stats'!$C$2:$C$49,MATCH($C358,'Industry Stats'!$A$2:$A$49,0))</f>
        <v>431.38888888888891</v>
      </c>
      <c r="L358" s="19">
        <f t="shared" si="57"/>
        <v>147.61111111111109</v>
      </c>
      <c r="M358" s="18">
        <f>INDEX('Industry Stats'!$D$2:$D$49,MATCH($C358,'Industry Stats'!$A$2:$A$49,0))</f>
        <v>290.91666666666669</v>
      </c>
      <c r="N358" s="19">
        <f t="shared" si="58"/>
        <v>83.083333333333314</v>
      </c>
      <c r="O358" s="18">
        <f>INDEX('Industry Stats'!$E$2:$E$49,MATCH($C358,'Industry Stats'!$A$2:$A$49,0))</f>
        <v>273.63888888888891</v>
      </c>
      <c r="P358" s="19">
        <f t="shared" si="59"/>
        <v>41.361111111111086</v>
      </c>
      <c r="R358">
        <f t="shared" si="60"/>
        <v>1268.0009642</v>
      </c>
      <c r="S358">
        <f t="shared" si="61"/>
        <v>579.0009642</v>
      </c>
      <c r="T358">
        <f t="shared" si="62"/>
        <v>374.0009642</v>
      </c>
      <c r="U358">
        <f t="shared" si="63"/>
        <v>315.0009642</v>
      </c>
      <c r="V358">
        <f t="shared" si="64"/>
        <v>272.05651975555554</v>
      </c>
      <c r="W358">
        <f t="shared" si="65"/>
        <v>-272.05459135555554</v>
      </c>
    </row>
    <row r="359" spans="1:23" ht="15" customHeight="1" x14ac:dyDescent="0.35">
      <c r="A359" t="str">
        <f>'Raw Data'!B357</f>
        <v>PPG Industries Inc</v>
      </c>
      <c r="B359" t="str">
        <f>'Raw Data'!A357</f>
        <v>ppg</v>
      </c>
      <c r="C359" t="str">
        <f>IF('Raw Data'!E357="N/A","Unclassified",TRIM(SUBSTITUTE('Raw Data'!E357," and "," &amp; ")))</f>
        <v>Chemicals</v>
      </c>
      <c r="D359" s="17">
        <f>'Raw Data'!N357</f>
        <v>293</v>
      </c>
      <c r="E359" s="17">
        <f>'Raw Data'!O357</f>
        <v>236</v>
      </c>
      <c r="F359" s="17">
        <f>'Raw Data'!P357</f>
        <v>220</v>
      </c>
      <c r="G359" s="17">
        <f>'Raw Data'!Q357</f>
        <v>749</v>
      </c>
      <c r="H359" s="18">
        <f>INDEX('Industry Stats'!$F$2:$F$49,MATCH($C359,'Industry Stats'!$A$2:$A$49,0))</f>
        <v>1058.8947368421052</v>
      </c>
      <c r="I359" s="19">
        <f t="shared" si="55"/>
        <v>-309.8947368421052</v>
      </c>
      <c r="J359" s="20">
        <f t="shared" si="56"/>
        <v>-0.29265868084894869</v>
      </c>
      <c r="K359" s="18">
        <f>INDEX('Industry Stats'!$C$2:$C$49,MATCH($C359,'Industry Stats'!$A$2:$A$49,0))</f>
        <v>463.73684210526318</v>
      </c>
      <c r="L359" s="19">
        <f t="shared" si="57"/>
        <v>-170.73684210526318</v>
      </c>
      <c r="M359" s="18">
        <f>INDEX('Industry Stats'!$D$2:$D$49,MATCH($C359,'Industry Stats'!$A$2:$A$49,0))</f>
        <v>304.36842105263156</v>
      </c>
      <c r="N359" s="19">
        <f t="shared" si="58"/>
        <v>-68.368421052631561</v>
      </c>
      <c r="O359" s="18">
        <f>INDEX('Industry Stats'!$E$2:$E$49,MATCH($C359,'Industry Stats'!$A$2:$A$49,0))</f>
        <v>290.78947368421052</v>
      </c>
      <c r="P359" s="19">
        <f t="shared" si="59"/>
        <v>-70.78947368421052</v>
      </c>
      <c r="R359">
        <f t="shared" si="60"/>
        <v>749.00096410000003</v>
      </c>
      <c r="S359">
        <f t="shared" si="61"/>
        <v>293.00096409999998</v>
      </c>
      <c r="T359">
        <f t="shared" si="62"/>
        <v>236.0009641</v>
      </c>
      <c r="U359">
        <f t="shared" si="63"/>
        <v>220.0009641</v>
      </c>
      <c r="V359">
        <f t="shared" si="64"/>
        <v>-309.89377274210523</v>
      </c>
      <c r="W359">
        <f t="shared" si="65"/>
        <v>309.89570094210518</v>
      </c>
    </row>
    <row r="360" spans="1:23" ht="15" customHeight="1" x14ac:dyDescent="0.35">
      <c r="A360" t="str">
        <f>'Raw Data'!B358</f>
        <v>Public Storage</v>
      </c>
      <c r="B360" t="str">
        <f>'Raw Data'!A358</f>
        <v>psa</v>
      </c>
      <c r="C360" t="str">
        <f>IF('Raw Data'!E358="N/A","Unclassified",TRIM(SUBSTITUTE('Raw Data'!E358," and "," &amp; ")))</f>
        <v>Real Estate</v>
      </c>
      <c r="D360" s="17">
        <f>'Raw Data'!N358</f>
        <v>235</v>
      </c>
      <c r="E360" s="17">
        <f>'Raw Data'!O358</f>
        <v>245</v>
      </c>
      <c r="F360" s="17">
        <f>'Raw Data'!P358</f>
        <v>205</v>
      </c>
      <c r="G360" s="17">
        <f>'Raw Data'!Q358</f>
        <v>685</v>
      </c>
      <c r="H360" s="18">
        <f>INDEX('Industry Stats'!$F$2:$F$49,MATCH($C360,'Industry Stats'!$A$2:$A$49,0))</f>
        <v>995.94444444444446</v>
      </c>
      <c r="I360" s="19">
        <f t="shared" si="55"/>
        <v>-310.94444444444446</v>
      </c>
      <c r="J360" s="20">
        <f t="shared" si="56"/>
        <v>-0.31221063200758631</v>
      </c>
      <c r="K360" s="18">
        <f>INDEX('Industry Stats'!$C$2:$C$49,MATCH($C360,'Industry Stats'!$A$2:$A$49,0))</f>
        <v>431.38888888888891</v>
      </c>
      <c r="L360" s="19">
        <f t="shared" si="57"/>
        <v>-196.38888888888891</v>
      </c>
      <c r="M360" s="18">
        <f>INDEX('Industry Stats'!$D$2:$D$49,MATCH($C360,'Industry Stats'!$A$2:$A$49,0))</f>
        <v>290.91666666666669</v>
      </c>
      <c r="N360" s="19">
        <f t="shared" si="58"/>
        <v>-45.916666666666686</v>
      </c>
      <c r="O360" s="18">
        <f>INDEX('Industry Stats'!$E$2:$E$49,MATCH($C360,'Industry Stats'!$A$2:$A$49,0))</f>
        <v>273.63888888888891</v>
      </c>
      <c r="P360" s="19">
        <f t="shared" si="59"/>
        <v>-68.638888888888914</v>
      </c>
      <c r="R360">
        <f t="shared" si="60"/>
        <v>685.00096399999995</v>
      </c>
      <c r="S360">
        <f t="shared" si="61"/>
        <v>235.00096400000001</v>
      </c>
      <c r="T360">
        <f t="shared" si="62"/>
        <v>245.00096400000001</v>
      </c>
      <c r="U360">
        <f t="shared" si="63"/>
        <v>205.00096400000001</v>
      </c>
      <c r="V360">
        <f t="shared" si="64"/>
        <v>-310.94348044444445</v>
      </c>
      <c r="W360">
        <f t="shared" si="65"/>
        <v>310.94540844444447</v>
      </c>
    </row>
    <row r="361" spans="1:23" ht="15" customHeight="1" x14ac:dyDescent="0.35">
      <c r="A361" t="str">
        <f>'Raw Data'!B359</f>
        <v>PNC Financial Services Group Inc</v>
      </c>
      <c r="B361" t="str">
        <f>'Raw Data'!A359</f>
        <v>pnc</v>
      </c>
      <c r="C361" t="str">
        <f>IF('Raw Data'!E359="N/A","Unclassified",TRIM(SUBSTITUTE('Raw Data'!E359," and "," &amp; ")))</f>
        <v>Banking</v>
      </c>
      <c r="D361" s="17">
        <f>'Raw Data'!N359</f>
        <v>455</v>
      </c>
      <c r="E361" s="17">
        <f>'Raw Data'!O359</f>
        <v>323</v>
      </c>
      <c r="F361" s="17">
        <f>'Raw Data'!P359</f>
        <v>300</v>
      </c>
      <c r="G361" s="17">
        <f>'Raw Data'!Q359</f>
        <v>1078</v>
      </c>
      <c r="H361" s="18">
        <f>INDEX('Industry Stats'!$F$2:$F$49,MATCH($C361,'Industry Stats'!$A$2:$A$49,0))</f>
        <v>898.31034482758616</v>
      </c>
      <c r="I361" s="19">
        <f t="shared" si="55"/>
        <v>179.68965517241384</v>
      </c>
      <c r="J361" s="20">
        <f t="shared" si="56"/>
        <v>0.20003070899389663</v>
      </c>
      <c r="K361" s="18">
        <f>INDEX('Industry Stats'!$C$2:$C$49,MATCH($C361,'Industry Stats'!$A$2:$A$49,0))</f>
        <v>341.48275862068965</v>
      </c>
      <c r="L361" s="19">
        <f t="shared" si="57"/>
        <v>113.51724137931035</v>
      </c>
      <c r="M361" s="18">
        <f>INDEX('Industry Stats'!$D$2:$D$49,MATCH($C361,'Industry Stats'!$A$2:$A$49,0))</f>
        <v>292.34482758620692</v>
      </c>
      <c r="N361" s="19">
        <f t="shared" si="58"/>
        <v>30.655172413793082</v>
      </c>
      <c r="O361" s="18">
        <f>INDEX('Industry Stats'!$E$2:$E$49,MATCH($C361,'Industry Stats'!$A$2:$A$49,0))</f>
        <v>264.48275862068965</v>
      </c>
      <c r="P361" s="19">
        <f t="shared" si="59"/>
        <v>35.517241379310349</v>
      </c>
      <c r="R361">
        <f t="shared" si="60"/>
        <v>1078.0009639</v>
      </c>
      <c r="S361">
        <f t="shared" si="61"/>
        <v>455.00096389999999</v>
      </c>
      <c r="T361">
        <f t="shared" si="62"/>
        <v>323.00096389999999</v>
      </c>
      <c r="U361">
        <f t="shared" si="63"/>
        <v>300.00096389999999</v>
      </c>
      <c r="V361">
        <f t="shared" si="64"/>
        <v>179.69061907241382</v>
      </c>
      <c r="W361">
        <f t="shared" si="65"/>
        <v>-179.68869127241385</v>
      </c>
    </row>
    <row r="362" spans="1:23" ht="15" customHeight="1" x14ac:dyDescent="0.35">
      <c r="A362" t="str">
        <f>'Raw Data'!B360</f>
        <v>Philip Morris International Inc</v>
      </c>
      <c r="B362" t="str">
        <f>'Raw Data'!A360</f>
        <v>pm</v>
      </c>
      <c r="C362" t="str">
        <f>IF('Raw Data'!E360="N/A","Unclassified",TRIM(SUBSTITUTE('Raw Data'!E360," and "," &amp; ")))</f>
        <v>Tobacco</v>
      </c>
      <c r="D362" s="17">
        <f>'Raw Data'!N360</f>
        <v>520</v>
      </c>
      <c r="E362" s="17">
        <f>'Raw Data'!O360</f>
        <v>327</v>
      </c>
      <c r="F362" s="17">
        <f>'Raw Data'!P360</f>
        <v>315</v>
      </c>
      <c r="G362" s="17">
        <f>'Raw Data'!Q360</f>
        <v>1162</v>
      </c>
      <c r="H362" s="18">
        <f>INDEX('Industry Stats'!$F$2:$F$49,MATCH($C362,'Industry Stats'!$A$2:$A$49,0))</f>
        <v>1165</v>
      </c>
      <c r="I362" s="19">
        <f t="shared" si="55"/>
        <v>-3</v>
      </c>
      <c r="J362" s="20">
        <f t="shared" si="56"/>
        <v>-2.5751072961373391E-3</v>
      </c>
      <c r="K362" s="18">
        <f>INDEX('Industry Stats'!$C$2:$C$49,MATCH($C362,'Industry Stats'!$A$2:$A$49,0))</f>
        <v>510</v>
      </c>
      <c r="L362" s="19">
        <f t="shared" si="57"/>
        <v>10</v>
      </c>
      <c r="M362" s="18">
        <f>INDEX('Industry Stats'!$D$2:$D$49,MATCH($C362,'Industry Stats'!$A$2:$A$49,0))</f>
        <v>327</v>
      </c>
      <c r="N362" s="19">
        <f t="shared" si="58"/>
        <v>0</v>
      </c>
      <c r="O362" s="18">
        <f>INDEX('Industry Stats'!$E$2:$E$49,MATCH($C362,'Industry Stats'!$A$2:$A$49,0))</f>
        <v>328</v>
      </c>
      <c r="P362" s="19">
        <f t="shared" si="59"/>
        <v>-13</v>
      </c>
      <c r="R362">
        <f t="shared" si="60"/>
        <v>1162.0009637999999</v>
      </c>
      <c r="S362">
        <f t="shared" si="61"/>
        <v>520.00096380000002</v>
      </c>
      <c r="T362">
        <f t="shared" si="62"/>
        <v>327.00096380000002</v>
      </c>
      <c r="U362">
        <f t="shared" si="63"/>
        <v>315.00096380000002</v>
      </c>
      <c r="V362">
        <f t="shared" si="64"/>
        <v>-2.9990361999999999</v>
      </c>
      <c r="W362">
        <f t="shared" si="65"/>
        <v>3.0009638000000001</v>
      </c>
    </row>
    <row r="363" spans="1:23" ht="15" customHeight="1" x14ac:dyDescent="0.35">
      <c r="A363" t="str">
        <f>'Raw Data'!B361</f>
        <v>Packaging Corp of America</v>
      </c>
      <c r="B363" t="str">
        <f>'Raw Data'!A361</f>
        <v>pkg</v>
      </c>
      <c r="C363" t="str">
        <f>IF('Raw Data'!E361="N/A","Unclassified",TRIM(SUBSTITUTE('Raw Data'!E361," and "," &amp; ")))</f>
        <v>Packaging</v>
      </c>
      <c r="D363" s="17">
        <f>'Raw Data'!N361</f>
        <v>500</v>
      </c>
      <c r="E363" s="17">
        <f>'Raw Data'!O361</f>
        <v>303</v>
      </c>
      <c r="F363" s="17">
        <f>'Raw Data'!P361</f>
        <v>300</v>
      </c>
      <c r="G363" s="17">
        <f>'Raw Data'!Q361</f>
        <v>1103</v>
      </c>
      <c r="H363" s="18">
        <f>INDEX('Industry Stats'!$F$2:$F$49,MATCH($C363,'Industry Stats'!$A$2:$A$49,0))</f>
        <v>1156</v>
      </c>
      <c r="I363" s="19">
        <f t="shared" si="55"/>
        <v>-53</v>
      </c>
      <c r="J363" s="20">
        <f t="shared" si="56"/>
        <v>-4.5847750865051905E-2</v>
      </c>
      <c r="K363" s="18">
        <f>INDEX('Industry Stats'!$C$2:$C$49,MATCH($C363,'Industry Stats'!$A$2:$A$49,0))</f>
        <v>536.25</v>
      </c>
      <c r="L363" s="19">
        <f t="shared" si="57"/>
        <v>-36.25</v>
      </c>
      <c r="M363" s="18">
        <f>INDEX('Industry Stats'!$D$2:$D$49,MATCH($C363,'Industry Stats'!$A$2:$A$49,0))</f>
        <v>323</v>
      </c>
      <c r="N363" s="19">
        <f t="shared" si="58"/>
        <v>-20</v>
      </c>
      <c r="O363" s="18">
        <f>INDEX('Industry Stats'!$E$2:$E$49,MATCH($C363,'Industry Stats'!$A$2:$A$49,0))</f>
        <v>296.75</v>
      </c>
      <c r="P363" s="19">
        <f t="shared" si="59"/>
        <v>3.25</v>
      </c>
      <c r="R363">
        <f t="shared" si="60"/>
        <v>1103.0009637000001</v>
      </c>
      <c r="S363">
        <f t="shared" si="61"/>
        <v>500.0009637</v>
      </c>
      <c r="T363">
        <f t="shared" si="62"/>
        <v>303.0009637</v>
      </c>
      <c r="U363">
        <f t="shared" si="63"/>
        <v>300.0009637</v>
      </c>
      <c r="V363">
        <f t="shared" si="64"/>
        <v>-52.9990363</v>
      </c>
      <c r="W363">
        <f t="shared" si="65"/>
        <v>53.0009637</v>
      </c>
    </row>
    <row r="364" spans="1:23" ht="15" customHeight="1" x14ac:dyDescent="0.35">
      <c r="A364" t="str">
        <f>'Raw Data'!B362</f>
        <v>Phillips 66</v>
      </c>
      <c r="B364" t="str">
        <f>'Raw Data'!A362</f>
        <v>psx</v>
      </c>
      <c r="C364" t="str">
        <f>IF('Raw Data'!E362="N/A","Unclassified",TRIM(SUBSTITUTE('Raw Data'!E362," and "," &amp; ")))</f>
        <v>Energy</v>
      </c>
      <c r="D364" s="17">
        <f>'Raw Data'!N362</f>
        <v>569</v>
      </c>
      <c r="E364" s="17">
        <f>'Raw Data'!O362</f>
        <v>363</v>
      </c>
      <c r="F364" s="17">
        <f>'Raw Data'!P362</f>
        <v>310</v>
      </c>
      <c r="G364" s="17">
        <f>'Raw Data'!Q362</f>
        <v>1242</v>
      </c>
      <c r="H364" s="18">
        <f>INDEX('Industry Stats'!$F$2:$F$49,MATCH($C364,'Industry Stats'!$A$2:$A$49,0))</f>
        <v>1117.7619047619048</v>
      </c>
      <c r="I364" s="19">
        <f t="shared" si="55"/>
        <v>124.23809523809518</v>
      </c>
      <c r="J364" s="20">
        <f t="shared" si="56"/>
        <v>0.11114897967877982</v>
      </c>
      <c r="K364" s="18">
        <f>INDEX('Industry Stats'!$C$2:$C$49,MATCH($C364,'Industry Stats'!$A$2:$A$49,0))</f>
        <v>515.09523809523807</v>
      </c>
      <c r="L364" s="19">
        <f t="shared" si="57"/>
        <v>53.904761904761926</v>
      </c>
      <c r="M364" s="18">
        <f>INDEX('Industry Stats'!$D$2:$D$49,MATCH($C364,'Industry Stats'!$A$2:$A$49,0))</f>
        <v>308.95238095238096</v>
      </c>
      <c r="N364" s="19">
        <f t="shared" si="58"/>
        <v>54.047619047619037</v>
      </c>
      <c r="O364" s="18">
        <f>INDEX('Industry Stats'!$E$2:$E$49,MATCH($C364,'Industry Stats'!$A$2:$A$49,0))</f>
        <v>293.71428571428572</v>
      </c>
      <c r="P364" s="19">
        <f t="shared" si="59"/>
        <v>16.285714285714278</v>
      </c>
      <c r="R364">
        <f t="shared" si="60"/>
        <v>1242.0009636</v>
      </c>
      <c r="S364">
        <f t="shared" si="61"/>
        <v>569.00096359999998</v>
      </c>
      <c r="T364">
        <f t="shared" si="62"/>
        <v>363.00096359999998</v>
      </c>
      <c r="U364">
        <f t="shared" si="63"/>
        <v>310.00096359999998</v>
      </c>
      <c r="V364">
        <f t="shared" si="64"/>
        <v>124.23905883809519</v>
      </c>
      <c r="W364">
        <f t="shared" si="65"/>
        <v>-124.23713163809518</v>
      </c>
    </row>
    <row r="365" spans="1:23" ht="15" customHeight="1" x14ac:dyDescent="0.35">
      <c r="A365" t="str">
        <f>'Raw Data'!B363</f>
        <v>Prudential Financial Inc</v>
      </c>
      <c r="B365" t="str">
        <f>'Raw Data'!A363</f>
        <v>pru</v>
      </c>
      <c r="C365" t="str">
        <f>IF('Raw Data'!E363="N/A","Unclassified",TRIM(SUBSTITUTE('Raw Data'!E363," and "," &amp; ")))</f>
        <v>Insurance</v>
      </c>
      <c r="D365" s="17">
        <f>'Raw Data'!N363</f>
        <v>285</v>
      </c>
      <c r="E365" s="17">
        <f>'Raw Data'!O363</f>
        <v>300</v>
      </c>
      <c r="F365" s="17">
        <f>'Raw Data'!P363</f>
        <v>288</v>
      </c>
      <c r="G365" s="17">
        <f>'Raw Data'!Q363</f>
        <v>873</v>
      </c>
      <c r="H365" s="18">
        <f>INDEX('Industry Stats'!$F$2:$F$49,MATCH($C365,'Industry Stats'!$A$2:$A$49,0))</f>
        <v>1012.3703703703703</v>
      </c>
      <c r="I365" s="19">
        <f t="shared" si="55"/>
        <v>-139.37037037037032</v>
      </c>
      <c r="J365" s="20">
        <f t="shared" si="56"/>
        <v>-0.13766737396648859</v>
      </c>
      <c r="K365" s="18">
        <f>INDEX('Industry Stats'!$C$2:$C$49,MATCH($C365,'Industry Stats'!$A$2:$A$49,0))</f>
        <v>425.25925925925924</v>
      </c>
      <c r="L365" s="19">
        <f t="shared" si="57"/>
        <v>-140.25925925925924</v>
      </c>
      <c r="M365" s="18">
        <f>INDEX('Industry Stats'!$D$2:$D$49,MATCH($C365,'Industry Stats'!$A$2:$A$49,0))</f>
        <v>295.66666666666669</v>
      </c>
      <c r="N365" s="19">
        <f t="shared" si="58"/>
        <v>4.3333333333333144</v>
      </c>
      <c r="O365" s="18">
        <f>INDEX('Industry Stats'!$E$2:$E$49,MATCH($C365,'Industry Stats'!$A$2:$A$49,0))</f>
        <v>291.44444444444446</v>
      </c>
      <c r="P365" s="19">
        <f t="shared" si="59"/>
        <v>-3.4444444444444571</v>
      </c>
      <c r="R365">
        <f t="shared" si="60"/>
        <v>873.00096350000001</v>
      </c>
      <c r="S365">
        <f t="shared" si="61"/>
        <v>285.00096350000001</v>
      </c>
      <c r="T365">
        <f t="shared" si="62"/>
        <v>300.00096350000001</v>
      </c>
      <c r="U365">
        <f t="shared" si="63"/>
        <v>288.00096350000001</v>
      </c>
      <c r="V365">
        <f t="shared" si="64"/>
        <v>-139.36940687037031</v>
      </c>
      <c r="W365">
        <f t="shared" si="65"/>
        <v>139.37133387037034</v>
      </c>
    </row>
    <row r="366" spans="1:23" ht="15" customHeight="1" x14ac:dyDescent="0.35">
      <c r="A366" t="str">
        <f>'Raw Data'!B364</f>
        <v>Pentair PLC</v>
      </c>
      <c r="B366" t="str">
        <f>'Raw Data'!A364</f>
        <v>pnr</v>
      </c>
      <c r="C366" t="str">
        <f>IF('Raw Data'!E364="N/A","Unclassified",TRIM(SUBSTITUTE('Raw Data'!E364," and "," &amp; ")))</f>
        <v>Machinery</v>
      </c>
      <c r="D366" s="17">
        <f>'Raw Data'!N364</f>
        <v>433</v>
      </c>
      <c r="E366" s="17">
        <f>'Raw Data'!O364</f>
        <v>330</v>
      </c>
      <c r="F366" s="17">
        <f>'Raw Data'!P364</f>
        <v>315</v>
      </c>
      <c r="G366" s="17">
        <f>'Raw Data'!Q364</f>
        <v>1078</v>
      </c>
      <c r="H366" s="18">
        <f>INDEX('Industry Stats'!$F$2:$F$49,MATCH($C366,'Industry Stats'!$A$2:$A$49,0))</f>
        <v>1048.047619047619</v>
      </c>
      <c r="I366" s="19">
        <f t="shared" si="55"/>
        <v>29.952380952380963</v>
      </c>
      <c r="J366" s="20">
        <f t="shared" si="56"/>
        <v>2.8579217592802957E-2</v>
      </c>
      <c r="K366" s="18">
        <f>INDEX('Industry Stats'!$C$2:$C$49,MATCH($C366,'Industry Stats'!$A$2:$A$49,0))</f>
        <v>459.57142857142856</v>
      </c>
      <c r="L366" s="19">
        <f t="shared" si="57"/>
        <v>-26.571428571428555</v>
      </c>
      <c r="M366" s="18">
        <f>INDEX('Industry Stats'!$D$2:$D$49,MATCH($C366,'Industry Stats'!$A$2:$A$49,0))</f>
        <v>313.66666666666669</v>
      </c>
      <c r="N366" s="19">
        <f t="shared" si="58"/>
        <v>16.333333333333314</v>
      </c>
      <c r="O366" s="18">
        <f>INDEX('Industry Stats'!$E$2:$E$49,MATCH($C366,'Industry Stats'!$A$2:$A$49,0))</f>
        <v>274.8095238095238</v>
      </c>
      <c r="P366" s="19">
        <f t="shared" si="59"/>
        <v>40.190476190476204</v>
      </c>
      <c r="R366">
        <f t="shared" si="60"/>
        <v>1078.0009634</v>
      </c>
      <c r="S366">
        <f t="shared" si="61"/>
        <v>433.00096339999999</v>
      </c>
      <c r="T366">
        <f t="shared" si="62"/>
        <v>330.00096339999999</v>
      </c>
      <c r="U366">
        <f t="shared" si="63"/>
        <v>315.00096339999999</v>
      </c>
      <c r="V366">
        <f t="shared" si="64"/>
        <v>29.953344352380963</v>
      </c>
      <c r="W366">
        <f t="shared" si="65"/>
        <v>-29.951417552380963</v>
      </c>
    </row>
    <row r="367" spans="1:23" ht="15" customHeight="1" x14ac:dyDescent="0.35">
      <c r="A367" t="str">
        <f>'Raw Data'!B365</f>
        <v>Pinnacle West Capital Corp</v>
      </c>
      <c r="B367" t="str">
        <f>'Raw Data'!A365</f>
        <v>pnw</v>
      </c>
      <c r="C367" t="str">
        <f>IF('Raw Data'!E365="N/A","Unclassified",TRIM(SUBSTITUTE('Raw Data'!E365," and "," &amp; ")))</f>
        <v>Utilities</v>
      </c>
      <c r="D367" s="17">
        <f>'Raw Data'!N365</f>
        <v>629</v>
      </c>
      <c r="E367" s="17">
        <f>'Raw Data'!O365</f>
        <v>479</v>
      </c>
      <c r="F367" s="17">
        <f>'Raw Data'!P365</f>
        <v>300</v>
      </c>
      <c r="G367" s="17">
        <f>'Raw Data'!Q365</f>
        <v>1408</v>
      </c>
      <c r="H367" s="18">
        <f>INDEX('Industry Stats'!$F$2:$F$49,MATCH($C367,'Industry Stats'!$A$2:$A$49,0))</f>
        <v>1190.6333333333334</v>
      </c>
      <c r="I367" s="19">
        <f t="shared" si="55"/>
        <v>217.36666666666656</v>
      </c>
      <c r="J367" s="20">
        <f t="shared" si="56"/>
        <v>0.1825639015649933</v>
      </c>
      <c r="K367" s="18">
        <f>INDEX('Industry Stats'!$C$2:$C$49,MATCH($C367,'Industry Stats'!$A$2:$A$49,0))</f>
        <v>550.9666666666667</v>
      </c>
      <c r="L367" s="19">
        <f t="shared" si="57"/>
        <v>78.033333333333303</v>
      </c>
      <c r="M367" s="18">
        <f>INDEX('Industry Stats'!$D$2:$D$49,MATCH($C367,'Industry Stats'!$A$2:$A$49,0))</f>
        <v>357.4</v>
      </c>
      <c r="N367" s="19">
        <f t="shared" si="58"/>
        <v>121.60000000000002</v>
      </c>
      <c r="O367" s="18">
        <f>INDEX('Industry Stats'!$E$2:$E$49,MATCH($C367,'Industry Stats'!$A$2:$A$49,0))</f>
        <v>282.26666666666665</v>
      </c>
      <c r="P367" s="19">
        <f t="shared" si="59"/>
        <v>17.733333333333348</v>
      </c>
      <c r="R367">
        <f t="shared" si="60"/>
        <v>1408.0009633</v>
      </c>
      <c r="S367">
        <f t="shared" si="61"/>
        <v>629.00096329999997</v>
      </c>
      <c r="T367">
        <f t="shared" si="62"/>
        <v>479.00096330000002</v>
      </c>
      <c r="U367">
        <f t="shared" si="63"/>
        <v>300.00096330000002</v>
      </c>
      <c r="V367">
        <f t="shared" si="64"/>
        <v>217.36762996666656</v>
      </c>
      <c r="W367">
        <f t="shared" si="65"/>
        <v>-217.36570336666657</v>
      </c>
    </row>
    <row r="368" spans="1:23" ht="15" customHeight="1" x14ac:dyDescent="0.35">
      <c r="A368" t="str">
        <f>'Raw Data'!B366</f>
        <v>PPL Corp</v>
      </c>
      <c r="B368" t="str">
        <f>'Raw Data'!A366</f>
        <v>ppl</v>
      </c>
      <c r="C368" t="str">
        <f>IF('Raw Data'!E366="N/A","Unclassified",TRIM(SUBSTITUTE('Raw Data'!E366," and "," &amp; ")))</f>
        <v>Utilities</v>
      </c>
      <c r="D368" s="17">
        <f>'Raw Data'!N366</f>
        <v>525</v>
      </c>
      <c r="E368" s="17">
        <f>'Raw Data'!O366</f>
        <v>306</v>
      </c>
      <c r="F368" s="17">
        <f>'Raw Data'!P366</f>
        <v>300</v>
      </c>
      <c r="G368" s="17">
        <f>'Raw Data'!Q366</f>
        <v>1131</v>
      </c>
      <c r="H368" s="18">
        <f>INDEX('Industry Stats'!$F$2:$F$49,MATCH($C368,'Industry Stats'!$A$2:$A$49,0))</f>
        <v>1190.6333333333334</v>
      </c>
      <c r="I368" s="19">
        <f t="shared" si="55"/>
        <v>-59.633333333333439</v>
      </c>
      <c r="J368" s="20">
        <f t="shared" si="56"/>
        <v>-5.0085388728687896E-2</v>
      </c>
      <c r="K368" s="18">
        <f>INDEX('Industry Stats'!$C$2:$C$49,MATCH($C368,'Industry Stats'!$A$2:$A$49,0))</f>
        <v>550.9666666666667</v>
      </c>
      <c r="L368" s="19">
        <f t="shared" si="57"/>
        <v>-25.966666666666697</v>
      </c>
      <c r="M368" s="18">
        <f>INDEX('Industry Stats'!$D$2:$D$49,MATCH($C368,'Industry Stats'!$A$2:$A$49,0))</f>
        <v>357.4</v>
      </c>
      <c r="N368" s="19">
        <f t="shared" si="58"/>
        <v>-51.399999999999977</v>
      </c>
      <c r="O368" s="18">
        <f>INDEX('Industry Stats'!$E$2:$E$49,MATCH($C368,'Industry Stats'!$A$2:$A$49,0))</f>
        <v>282.26666666666665</v>
      </c>
      <c r="P368" s="19">
        <f t="shared" si="59"/>
        <v>17.733333333333348</v>
      </c>
      <c r="R368">
        <f t="shared" si="60"/>
        <v>1131.0009631999999</v>
      </c>
      <c r="S368">
        <f t="shared" si="61"/>
        <v>525.0009632</v>
      </c>
      <c r="T368">
        <f t="shared" si="62"/>
        <v>306.0009632</v>
      </c>
      <c r="U368">
        <f t="shared" si="63"/>
        <v>300.0009632</v>
      </c>
      <c r="V368">
        <f t="shared" si="64"/>
        <v>-59.632370133333438</v>
      </c>
      <c r="W368">
        <f t="shared" si="65"/>
        <v>59.63429653333344</v>
      </c>
    </row>
    <row r="369" spans="1:23" ht="15" customHeight="1" x14ac:dyDescent="0.35">
      <c r="A369" t="str">
        <f>'Raw Data'!B367</f>
        <v>Quanta Services Inc</v>
      </c>
      <c r="B369" t="str">
        <f>'Raw Data'!A367</f>
        <v>pwr</v>
      </c>
      <c r="C369" t="str">
        <f>IF('Raw Data'!E367="N/A","Unclassified",TRIM(SUBSTITUTE('Raw Data'!E367," and "," &amp; ")))</f>
        <v>Construction</v>
      </c>
      <c r="D369" s="17">
        <f>'Raw Data'!N367</f>
        <v>540</v>
      </c>
      <c r="E369" s="17">
        <f>'Raw Data'!O367</f>
        <v>382</v>
      </c>
      <c r="F369" s="17">
        <f>'Raw Data'!P367</f>
        <v>310</v>
      </c>
      <c r="G369" s="17">
        <f>'Raw Data'!Q367</f>
        <v>1232</v>
      </c>
      <c r="H369" s="18">
        <f>INDEX('Industry Stats'!$F$2:$F$49,MATCH($C369,'Industry Stats'!$A$2:$A$49,0))</f>
        <v>1082.6666666666667</v>
      </c>
      <c r="I369" s="19">
        <f t="shared" si="55"/>
        <v>149.33333333333326</v>
      </c>
      <c r="J369" s="20">
        <f t="shared" si="56"/>
        <v>0.13793103448275854</v>
      </c>
      <c r="K369" s="18">
        <f>INDEX('Industry Stats'!$C$2:$C$49,MATCH($C369,'Industry Stats'!$A$2:$A$49,0))</f>
        <v>495.33333333333331</v>
      </c>
      <c r="L369" s="19">
        <f t="shared" si="57"/>
        <v>44.666666666666686</v>
      </c>
      <c r="M369" s="18">
        <f>INDEX('Industry Stats'!$D$2:$D$49,MATCH($C369,'Industry Stats'!$A$2:$A$49,0))</f>
        <v>306.16666666666669</v>
      </c>
      <c r="N369" s="19">
        <f t="shared" si="58"/>
        <v>75.833333333333314</v>
      </c>
      <c r="O369" s="18">
        <f>INDEX('Industry Stats'!$E$2:$E$49,MATCH($C369,'Industry Stats'!$A$2:$A$49,0))</f>
        <v>281.16666666666669</v>
      </c>
      <c r="P369" s="19">
        <f t="shared" si="59"/>
        <v>28.833333333333314</v>
      </c>
      <c r="R369">
        <f t="shared" si="60"/>
        <v>1232.0009631</v>
      </c>
      <c r="S369">
        <f t="shared" si="61"/>
        <v>540.00096310000004</v>
      </c>
      <c r="T369">
        <f t="shared" si="62"/>
        <v>382.00096309999998</v>
      </c>
      <c r="U369">
        <f t="shared" si="63"/>
        <v>310.00096309999998</v>
      </c>
      <c r="V369">
        <f t="shared" si="64"/>
        <v>149.33429643333326</v>
      </c>
      <c r="W369">
        <f t="shared" si="65"/>
        <v>-149.33237023333325</v>
      </c>
    </row>
    <row r="370" spans="1:23" ht="15" customHeight="1" x14ac:dyDescent="0.35">
      <c r="A370" t="str">
        <f>'Raw Data'!B368</f>
        <v>Raymond James Financial Inc</v>
      </c>
      <c r="B370" t="str">
        <f>'Raw Data'!A368</f>
        <v>rjf</v>
      </c>
      <c r="C370" t="str">
        <f>IF('Raw Data'!E368="N/A","Unclassified",TRIM(SUBSTITUTE('Raw Data'!E368," and "," &amp; ")))</f>
        <v>Financial Services</v>
      </c>
      <c r="D370" s="17">
        <f>'Raw Data'!N368</f>
        <v>505</v>
      </c>
      <c r="E370" s="17">
        <f>'Raw Data'!O368</f>
        <v>309</v>
      </c>
      <c r="F370" s="17">
        <f>'Raw Data'!P368</f>
        <v>305</v>
      </c>
      <c r="G370" s="17">
        <f>'Raw Data'!Q368</f>
        <v>1119</v>
      </c>
      <c r="H370" s="18">
        <f>INDEX('Industry Stats'!$F$2:$F$49,MATCH($C370,'Industry Stats'!$A$2:$A$49,0))</f>
        <v>909.33333333333337</v>
      </c>
      <c r="I370" s="19">
        <f t="shared" si="55"/>
        <v>209.66666666666663</v>
      </c>
      <c r="J370" s="20">
        <f t="shared" si="56"/>
        <v>0.23057184750733134</v>
      </c>
      <c r="K370" s="18">
        <f>INDEX('Industry Stats'!$C$2:$C$49,MATCH($C370,'Industry Stats'!$A$2:$A$49,0))</f>
        <v>367.63636363636363</v>
      </c>
      <c r="L370" s="19">
        <f t="shared" si="57"/>
        <v>137.36363636363637</v>
      </c>
      <c r="M370" s="18">
        <f>INDEX('Industry Stats'!$D$2:$D$49,MATCH($C370,'Industry Stats'!$A$2:$A$49,0))</f>
        <v>276.45454545454544</v>
      </c>
      <c r="N370" s="19">
        <f t="shared" si="58"/>
        <v>32.545454545454561</v>
      </c>
      <c r="O370" s="18">
        <f>INDEX('Industry Stats'!$E$2:$E$49,MATCH($C370,'Industry Stats'!$A$2:$A$49,0))</f>
        <v>265.24242424242425</v>
      </c>
      <c r="P370" s="19">
        <f t="shared" si="59"/>
        <v>39.757575757575751</v>
      </c>
      <c r="R370">
        <f t="shared" si="60"/>
        <v>1119.000963</v>
      </c>
      <c r="S370">
        <f t="shared" si="61"/>
        <v>505.00096300000001</v>
      </c>
      <c r="T370">
        <f t="shared" si="62"/>
        <v>309.00096300000001</v>
      </c>
      <c r="U370">
        <f t="shared" si="63"/>
        <v>305.00096300000001</v>
      </c>
      <c r="V370">
        <f t="shared" si="64"/>
        <v>209.66762966666664</v>
      </c>
      <c r="W370">
        <f t="shared" si="65"/>
        <v>-209.66570366666662</v>
      </c>
    </row>
    <row r="371" spans="1:23" ht="15" customHeight="1" x14ac:dyDescent="0.35">
      <c r="A371" t="str">
        <f>'Raw Data'!B369</f>
        <v>Regions Financial Corp</v>
      </c>
      <c r="B371" t="str">
        <f>'Raw Data'!A369</f>
        <v>rf</v>
      </c>
      <c r="C371" t="str">
        <f>IF('Raw Data'!E369="N/A","Unclassified",TRIM(SUBSTITUTE('Raw Data'!E369," and "," &amp; ")))</f>
        <v>Banking</v>
      </c>
      <c r="D371" s="17">
        <f>'Raw Data'!N369</f>
        <v>490</v>
      </c>
      <c r="E371" s="17">
        <f>'Raw Data'!O369</f>
        <v>304</v>
      </c>
      <c r="F371" s="17">
        <f>'Raw Data'!P369</f>
        <v>305</v>
      </c>
      <c r="G371" s="17">
        <f>'Raw Data'!Q369</f>
        <v>1099</v>
      </c>
      <c r="H371" s="18">
        <f>INDEX('Industry Stats'!$F$2:$F$49,MATCH($C371,'Industry Stats'!$A$2:$A$49,0))</f>
        <v>898.31034482758616</v>
      </c>
      <c r="I371" s="19">
        <f t="shared" si="55"/>
        <v>200.68965517241384</v>
      </c>
      <c r="J371" s="20">
        <f t="shared" si="56"/>
        <v>0.22340793059767386</v>
      </c>
      <c r="K371" s="18">
        <f>INDEX('Industry Stats'!$C$2:$C$49,MATCH($C371,'Industry Stats'!$A$2:$A$49,0))</f>
        <v>341.48275862068965</v>
      </c>
      <c r="L371" s="19">
        <f t="shared" si="57"/>
        <v>148.51724137931035</v>
      </c>
      <c r="M371" s="18">
        <f>INDEX('Industry Stats'!$D$2:$D$49,MATCH($C371,'Industry Stats'!$A$2:$A$49,0))</f>
        <v>292.34482758620692</v>
      </c>
      <c r="N371" s="19">
        <f t="shared" si="58"/>
        <v>11.655172413793082</v>
      </c>
      <c r="O371" s="18">
        <f>INDEX('Industry Stats'!$E$2:$E$49,MATCH($C371,'Industry Stats'!$A$2:$A$49,0))</f>
        <v>264.48275862068965</v>
      </c>
      <c r="P371" s="19">
        <f t="shared" si="59"/>
        <v>40.517241379310349</v>
      </c>
      <c r="R371">
        <f t="shared" si="60"/>
        <v>1099.0009629000001</v>
      </c>
      <c r="S371">
        <f t="shared" si="61"/>
        <v>490.00096289999999</v>
      </c>
      <c r="T371">
        <f t="shared" si="62"/>
        <v>304.00096289999999</v>
      </c>
      <c r="U371">
        <f t="shared" si="63"/>
        <v>305.00096289999999</v>
      </c>
      <c r="V371">
        <f t="shared" si="64"/>
        <v>200.69061807241383</v>
      </c>
      <c r="W371">
        <f t="shared" si="65"/>
        <v>-200.68869227241385</v>
      </c>
    </row>
    <row r="372" spans="1:23" ht="15" customHeight="1" x14ac:dyDescent="0.35">
      <c r="A372" t="str">
        <f>'Raw Data'!B370</f>
        <v>Royal Caribbean Cruises Ltd</v>
      </c>
      <c r="B372" t="str">
        <f>'Raw Data'!A370</f>
        <v>rcl</v>
      </c>
      <c r="C372" t="str">
        <f>IF('Raw Data'!E370="N/A","Unclassified",TRIM(SUBSTITUTE('Raw Data'!E370," and "," &amp; ")))</f>
        <v>Hotels Restaurants &amp; Leisure</v>
      </c>
      <c r="D372" s="17">
        <f>'Raw Data'!N370</f>
        <v>503</v>
      </c>
      <c r="E372" s="17">
        <f>'Raw Data'!O370</f>
        <v>327</v>
      </c>
      <c r="F372" s="17">
        <f>'Raw Data'!P370</f>
        <v>310</v>
      </c>
      <c r="G372" s="17">
        <f>'Raw Data'!Q370</f>
        <v>1140</v>
      </c>
      <c r="H372" s="18">
        <f>INDEX('Industry Stats'!$F$2:$F$49,MATCH($C372,'Industry Stats'!$A$2:$A$49,0))</f>
        <v>918.86363636363637</v>
      </c>
      <c r="I372" s="19">
        <f t="shared" si="55"/>
        <v>221.13636363636363</v>
      </c>
      <c r="J372" s="20">
        <f t="shared" si="56"/>
        <v>0.24066287410338855</v>
      </c>
      <c r="K372" s="18">
        <f>INDEX('Industry Stats'!$C$2:$C$49,MATCH($C372,'Industry Stats'!$A$2:$A$49,0))</f>
        <v>374.63636363636363</v>
      </c>
      <c r="L372" s="19">
        <f t="shared" si="57"/>
        <v>128.36363636363637</v>
      </c>
      <c r="M372" s="18">
        <f>INDEX('Industry Stats'!$D$2:$D$49,MATCH($C372,'Industry Stats'!$A$2:$A$49,0))</f>
        <v>283.04545454545456</v>
      </c>
      <c r="N372" s="19">
        <f t="shared" si="58"/>
        <v>43.954545454545439</v>
      </c>
      <c r="O372" s="18">
        <f>INDEX('Industry Stats'!$E$2:$E$49,MATCH($C372,'Industry Stats'!$A$2:$A$49,0))</f>
        <v>261.18181818181819</v>
      </c>
      <c r="P372" s="19">
        <f t="shared" si="59"/>
        <v>48.818181818181813</v>
      </c>
      <c r="R372">
        <f t="shared" si="60"/>
        <v>1140.0009628</v>
      </c>
      <c r="S372">
        <f t="shared" si="61"/>
        <v>503.00096280000002</v>
      </c>
      <c r="T372">
        <f t="shared" si="62"/>
        <v>327.00096280000002</v>
      </c>
      <c r="U372">
        <f t="shared" si="63"/>
        <v>310.00096280000002</v>
      </c>
      <c r="V372">
        <f t="shared" si="64"/>
        <v>221.13732643636362</v>
      </c>
      <c r="W372">
        <f t="shared" si="65"/>
        <v>-221.13540083636363</v>
      </c>
    </row>
    <row r="373" spans="1:23" ht="15" customHeight="1" x14ac:dyDescent="0.35">
      <c r="A373" t="str">
        <f>'Raw Data'!B371</f>
        <v>Ralph Lauren Corp</v>
      </c>
      <c r="B373" t="str">
        <f>'Raw Data'!A371</f>
        <v>rl</v>
      </c>
      <c r="C373" t="str">
        <f>IF('Raw Data'!E371="N/A","Unclassified",TRIM(SUBSTITUTE('Raw Data'!E371," and "," &amp; ")))</f>
        <v>Textiles Apparel &amp; Luxury Goods</v>
      </c>
      <c r="D373" s="17">
        <f>'Raw Data'!N371</f>
        <v>420</v>
      </c>
      <c r="E373" s="17">
        <f>'Raw Data'!O371</f>
        <v>352</v>
      </c>
      <c r="F373" s="17">
        <f>'Raw Data'!P371</f>
        <v>303</v>
      </c>
      <c r="G373" s="17">
        <f>'Raw Data'!Q371</f>
        <v>1075</v>
      </c>
      <c r="H373" s="18">
        <f>INDEX('Industry Stats'!$F$2:$F$49,MATCH($C373,'Industry Stats'!$A$2:$A$49,0))</f>
        <v>944.44444444444446</v>
      </c>
      <c r="I373" s="19">
        <f t="shared" si="55"/>
        <v>130.55555555555554</v>
      </c>
      <c r="J373" s="20">
        <f t="shared" si="56"/>
        <v>0.13823529411764704</v>
      </c>
      <c r="K373" s="18">
        <f>INDEX('Industry Stats'!$C$2:$C$49,MATCH($C373,'Industry Stats'!$A$2:$A$49,0))</f>
        <v>382.11111111111109</v>
      </c>
      <c r="L373" s="19">
        <f t="shared" si="57"/>
        <v>37.888888888888914</v>
      </c>
      <c r="M373" s="18">
        <f>INDEX('Industry Stats'!$D$2:$D$49,MATCH($C373,'Industry Stats'!$A$2:$A$49,0))</f>
        <v>280</v>
      </c>
      <c r="N373" s="19">
        <f t="shared" si="58"/>
        <v>72</v>
      </c>
      <c r="O373" s="18">
        <f>INDEX('Industry Stats'!$E$2:$E$49,MATCH($C373,'Industry Stats'!$A$2:$A$49,0))</f>
        <v>282.33333333333331</v>
      </c>
      <c r="P373" s="19">
        <f t="shared" si="59"/>
        <v>20.666666666666686</v>
      </c>
      <c r="R373">
        <f t="shared" si="60"/>
        <v>1075.0009626999999</v>
      </c>
      <c r="S373">
        <f t="shared" si="61"/>
        <v>420.0009627</v>
      </c>
      <c r="T373">
        <f t="shared" si="62"/>
        <v>352.0009627</v>
      </c>
      <c r="U373">
        <f t="shared" si="63"/>
        <v>303.0009627</v>
      </c>
      <c r="V373">
        <f t="shared" si="64"/>
        <v>130.55651825555555</v>
      </c>
      <c r="W373">
        <f t="shared" si="65"/>
        <v>-130.55459285555554</v>
      </c>
    </row>
    <row r="374" spans="1:23" ht="15" customHeight="1" x14ac:dyDescent="0.35">
      <c r="A374" t="str">
        <f>'Raw Data'!B372</f>
        <v>PVH Corp</v>
      </c>
      <c r="B374" t="str">
        <f>'Raw Data'!A372</f>
        <v>pvh</v>
      </c>
      <c r="C374" t="str">
        <f>IF('Raw Data'!E372="N/A","Unclassified",TRIM(SUBSTITUTE('Raw Data'!E372," and "," &amp; ")))</f>
        <v>Textiles Apparel &amp; Luxury Goods</v>
      </c>
      <c r="D374" s="17">
        <f>'Raw Data'!N372</f>
        <v>418</v>
      </c>
      <c r="E374" s="17">
        <f>'Raw Data'!O372</f>
        <v>319</v>
      </c>
      <c r="F374" s="17">
        <f>'Raw Data'!P372</f>
        <v>315</v>
      </c>
      <c r="G374" s="17">
        <f>'Raw Data'!Q372</f>
        <v>1052</v>
      </c>
      <c r="H374" s="18">
        <f>INDEX('Industry Stats'!$F$2:$F$49,MATCH($C374,'Industry Stats'!$A$2:$A$49,0))</f>
        <v>944.44444444444446</v>
      </c>
      <c r="I374" s="19">
        <f t="shared" si="55"/>
        <v>107.55555555555554</v>
      </c>
      <c r="J374" s="20">
        <f t="shared" si="56"/>
        <v>0.11388235294117646</v>
      </c>
      <c r="K374" s="18">
        <f>INDEX('Industry Stats'!$C$2:$C$49,MATCH($C374,'Industry Stats'!$A$2:$A$49,0))</f>
        <v>382.11111111111109</v>
      </c>
      <c r="L374" s="19">
        <f t="shared" si="57"/>
        <v>35.888888888888914</v>
      </c>
      <c r="M374" s="18">
        <f>INDEX('Industry Stats'!$D$2:$D$49,MATCH($C374,'Industry Stats'!$A$2:$A$49,0))</f>
        <v>280</v>
      </c>
      <c r="N374" s="19">
        <f t="shared" si="58"/>
        <v>39</v>
      </c>
      <c r="O374" s="18">
        <f>INDEX('Industry Stats'!$E$2:$E$49,MATCH($C374,'Industry Stats'!$A$2:$A$49,0))</f>
        <v>282.33333333333331</v>
      </c>
      <c r="P374" s="19">
        <f t="shared" si="59"/>
        <v>32.666666666666686</v>
      </c>
      <c r="R374">
        <f t="shared" si="60"/>
        <v>1052.0009626000001</v>
      </c>
      <c r="S374">
        <f t="shared" si="61"/>
        <v>418.00096259999998</v>
      </c>
      <c r="T374">
        <f t="shared" si="62"/>
        <v>319.00096259999998</v>
      </c>
      <c r="U374">
        <f t="shared" si="63"/>
        <v>315.00096259999998</v>
      </c>
      <c r="V374">
        <f t="shared" si="64"/>
        <v>107.55651815555554</v>
      </c>
      <c r="W374">
        <f t="shared" si="65"/>
        <v>-107.55459295555555</v>
      </c>
    </row>
    <row r="375" spans="1:23" ht="15" customHeight="1" x14ac:dyDescent="0.35">
      <c r="A375" t="str">
        <f>'Raw Data'!B373</f>
        <v>Robert Half International Inc</v>
      </c>
      <c r="B375" t="str">
        <f>'Raw Data'!A373</f>
        <v>rhi</v>
      </c>
      <c r="C375" t="str">
        <f>IF('Raw Data'!E373="N/A","Unclassified",TRIM(SUBSTITUTE('Raw Data'!E373," and "," &amp; ")))</f>
        <v>Professional Services</v>
      </c>
      <c r="D375" s="17">
        <f>'Raw Data'!N373</f>
        <v>255</v>
      </c>
      <c r="E375" s="17">
        <f>'Raw Data'!O373</f>
        <v>334</v>
      </c>
      <c r="F375" s="17">
        <f>'Raw Data'!P373</f>
        <v>310</v>
      </c>
      <c r="G375" s="17">
        <f>'Raw Data'!Q373</f>
        <v>899</v>
      </c>
      <c r="H375" s="18">
        <f>INDEX('Industry Stats'!$F$2:$F$49,MATCH($C375,'Industry Stats'!$A$2:$A$49,0))</f>
        <v>1047.8571428571429</v>
      </c>
      <c r="I375" s="19">
        <f t="shared" si="55"/>
        <v>-148.85714285714289</v>
      </c>
      <c r="J375" s="20">
        <f t="shared" si="56"/>
        <v>-0.14205862304021816</v>
      </c>
      <c r="K375" s="18">
        <f>INDEX('Industry Stats'!$C$2:$C$49,MATCH($C375,'Industry Stats'!$A$2:$A$49,0))</f>
        <v>435</v>
      </c>
      <c r="L375" s="19">
        <f t="shared" si="57"/>
        <v>-180</v>
      </c>
      <c r="M375" s="18">
        <f>INDEX('Industry Stats'!$D$2:$D$49,MATCH($C375,'Industry Stats'!$A$2:$A$49,0))</f>
        <v>312.42857142857144</v>
      </c>
      <c r="N375" s="19">
        <f t="shared" si="58"/>
        <v>21.571428571428555</v>
      </c>
      <c r="O375" s="18">
        <f>INDEX('Industry Stats'!$E$2:$E$49,MATCH($C375,'Industry Stats'!$A$2:$A$49,0))</f>
        <v>300.42857142857144</v>
      </c>
      <c r="P375" s="19">
        <f t="shared" si="59"/>
        <v>9.5714285714285552</v>
      </c>
      <c r="R375">
        <f t="shared" si="60"/>
        <v>899.00096250000001</v>
      </c>
      <c r="S375">
        <f t="shared" si="61"/>
        <v>255.00096250000001</v>
      </c>
      <c r="T375">
        <f t="shared" si="62"/>
        <v>334.00096250000001</v>
      </c>
      <c r="U375">
        <f t="shared" si="63"/>
        <v>310.00096250000001</v>
      </c>
      <c r="V375">
        <f t="shared" si="64"/>
        <v>-148.85618035714288</v>
      </c>
      <c r="W375">
        <f t="shared" si="65"/>
        <v>148.8581053571429</v>
      </c>
    </row>
    <row r="376" spans="1:23" ht="15" customHeight="1" x14ac:dyDescent="0.35">
      <c r="A376" t="str">
        <f>'Raw Data'!B374</f>
        <v>Pioneer Natural Resources Co</v>
      </c>
      <c r="B376" t="str">
        <f>'Raw Data'!A374</f>
        <v>pxd</v>
      </c>
      <c r="C376" t="str">
        <f>IF('Raw Data'!E374="N/A","Unclassified",TRIM(SUBSTITUTE('Raw Data'!E374," and "," &amp; ")))</f>
        <v>Energy</v>
      </c>
      <c r="D376" s="17">
        <f>'Raw Data'!N374</f>
        <v>700</v>
      </c>
      <c r="E376" s="17">
        <f>'Raw Data'!O374</f>
        <v>412</v>
      </c>
      <c r="F376" s="17">
        <f>'Raw Data'!P374</f>
        <v>300</v>
      </c>
      <c r="G376" s="17">
        <f>'Raw Data'!Q374</f>
        <v>1412</v>
      </c>
      <c r="H376" s="18">
        <f>INDEX('Industry Stats'!$F$2:$F$49,MATCH($C376,'Industry Stats'!$A$2:$A$49,0))</f>
        <v>1117.7619047619048</v>
      </c>
      <c r="I376" s="19">
        <f t="shared" si="55"/>
        <v>294.23809523809518</v>
      </c>
      <c r="J376" s="20">
        <f t="shared" si="56"/>
        <v>0.26323861457845177</v>
      </c>
      <c r="K376" s="18">
        <f>INDEX('Industry Stats'!$C$2:$C$49,MATCH($C376,'Industry Stats'!$A$2:$A$49,0))</f>
        <v>515.09523809523807</v>
      </c>
      <c r="L376" s="19">
        <f t="shared" si="57"/>
        <v>184.90476190476193</v>
      </c>
      <c r="M376" s="18">
        <f>INDEX('Industry Stats'!$D$2:$D$49,MATCH($C376,'Industry Stats'!$A$2:$A$49,0))</f>
        <v>308.95238095238096</v>
      </c>
      <c r="N376" s="19">
        <f t="shared" si="58"/>
        <v>103.04761904761904</v>
      </c>
      <c r="O376" s="18">
        <f>INDEX('Industry Stats'!$E$2:$E$49,MATCH($C376,'Industry Stats'!$A$2:$A$49,0))</f>
        <v>293.71428571428572</v>
      </c>
      <c r="P376" s="19">
        <f t="shared" si="59"/>
        <v>6.2857142857142776</v>
      </c>
      <c r="R376">
        <f t="shared" si="60"/>
        <v>1412.0009623999999</v>
      </c>
      <c r="S376">
        <f t="shared" si="61"/>
        <v>700.00096240000005</v>
      </c>
      <c r="T376">
        <f t="shared" si="62"/>
        <v>412.00096239999999</v>
      </c>
      <c r="U376">
        <f t="shared" si="63"/>
        <v>300.00096239999999</v>
      </c>
      <c r="V376">
        <f t="shared" si="64"/>
        <v>294.23905763809518</v>
      </c>
      <c r="W376">
        <f t="shared" si="65"/>
        <v>-294.23713283809519</v>
      </c>
    </row>
    <row r="377" spans="1:23" ht="15" customHeight="1" x14ac:dyDescent="0.35">
      <c r="A377" t="str">
        <f>'Raw Data'!B375</f>
        <v>Rollins Inc</v>
      </c>
      <c r="B377" t="str">
        <f>'Raw Data'!A375</f>
        <v>rol</v>
      </c>
      <c r="C377" t="str">
        <f>IF('Raw Data'!E375="N/A","Unclassified",TRIM(SUBSTITUTE('Raw Data'!E375," and "," &amp; ")))</f>
        <v>Commercial Services &amp; Supplies</v>
      </c>
      <c r="D377" s="17">
        <f>'Raw Data'!N375</f>
        <v>500</v>
      </c>
      <c r="E377" s="17">
        <f>'Raw Data'!O375</f>
        <v>300</v>
      </c>
      <c r="F377" s="17">
        <f>'Raw Data'!P375</f>
        <v>305</v>
      </c>
      <c r="G377" s="17">
        <f>'Raw Data'!Q375</f>
        <v>1105</v>
      </c>
      <c r="H377" s="18">
        <f>INDEX('Industry Stats'!$F$2:$F$49,MATCH($C377,'Industry Stats'!$A$2:$A$49,0))</f>
        <v>995.85714285714289</v>
      </c>
      <c r="I377" s="19">
        <f t="shared" si="55"/>
        <v>109.14285714285711</v>
      </c>
      <c r="J377" s="20">
        <f t="shared" si="56"/>
        <v>0.10959690144885953</v>
      </c>
      <c r="K377" s="18">
        <f>INDEX('Industry Stats'!$C$2:$C$49,MATCH($C377,'Industry Stats'!$A$2:$A$49,0))</f>
        <v>419.42857142857144</v>
      </c>
      <c r="L377" s="19">
        <f t="shared" si="57"/>
        <v>80.571428571428555</v>
      </c>
      <c r="M377" s="18">
        <f>INDEX('Industry Stats'!$D$2:$D$49,MATCH($C377,'Industry Stats'!$A$2:$A$49,0))</f>
        <v>301.28571428571428</v>
      </c>
      <c r="N377" s="19">
        <f t="shared" si="58"/>
        <v>-1.2857142857142776</v>
      </c>
      <c r="O377" s="18">
        <f>INDEX('Industry Stats'!$E$2:$E$49,MATCH($C377,'Industry Stats'!$A$2:$A$49,0))</f>
        <v>275.14285714285717</v>
      </c>
      <c r="P377" s="19">
        <f t="shared" si="59"/>
        <v>29.857142857142833</v>
      </c>
      <c r="R377">
        <f t="shared" si="60"/>
        <v>1105.0009623000001</v>
      </c>
      <c r="S377">
        <f t="shared" si="61"/>
        <v>500.00096230000003</v>
      </c>
      <c r="T377">
        <f t="shared" si="62"/>
        <v>300.00096230000003</v>
      </c>
      <c r="U377">
        <f t="shared" si="63"/>
        <v>305.00096230000003</v>
      </c>
      <c r="V377">
        <f t="shared" si="64"/>
        <v>109.14381944285711</v>
      </c>
      <c r="W377">
        <f t="shared" si="65"/>
        <v>-109.14189484285711</v>
      </c>
    </row>
    <row r="378" spans="1:23" ht="15" customHeight="1" x14ac:dyDescent="0.35">
      <c r="A378" t="str">
        <f>'Raw Data'!B376</f>
        <v>Resmed Inc</v>
      </c>
      <c r="B378" t="str">
        <f>'Raw Data'!A376</f>
        <v>rmd</v>
      </c>
      <c r="C378" t="str">
        <f>IF('Raw Data'!E376="N/A","Unclassified",TRIM(SUBSTITUTE('Raw Data'!E376," and "," &amp; ")))</f>
        <v>Health Care</v>
      </c>
      <c r="D378" s="17">
        <f>'Raw Data'!N376</f>
        <v>330</v>
      </c>
      <c r="E378" s="17">
        <f>'Raw Data'!O376</f>
        <v>312</v>
      </c>
      <c r="F378" s="17">
        <f>'Raw Data'!P376</f>
        <v>300</v>
      </c>
      <c r="G378" s="17">
        <f>'Raw Data'!Q376</f>
        <v>942</v>
      </c>
      <c r="H378" s="18">
        <f>INDEX('Industry Stats'!$F$2:$F$49,MATCH($C378,'Industry Stats'!$A$2:$A$49,0))</f>
        <v>938.76470588235293</v>
      </c>
      <c r="I378" s="19">
        <f t="shared" si="55"/>
        <v>3.2352941176470722</v>
      </c>
      <c r="J378" s="20">
        <f t="shared" si="56"/>
        <v>3.4463312237609017E-3</v>
      </c>
      <c r="K378" s="18">
        <f>INDEX('Industry Stats'!$C$2:$C$49,MATCH($C378,'Industry Stats'!$A$2:$A$49,0))</f>
        <v>374.52941176470586</v>
      </c>
      <c r="L378" s="19">
        <f t="shared" si="57"/>
        <v>-44.529411764705856</v>
      </c>
      <c r="M378" s="18">
        <f>INDEX('Industry Stats'!$D$2:$D$49,MATCH($C378,'Industry Stats'!$A$2:$A$49,0))</f>
        <v>287.43137254901961</v>
      </c>
      <c r="N378" s="19">
        <f t="shared" si="58"/>
        <v>24.568627450980387</v>
      </c>
      <c r="O378" s="18">
        <f>INDEX('Industry Stats'!$E$2:$E$49,MATCH($C378,'Industry Stats'!$A$2:$A$49,0))</f>
        <v>276.80392156862746</v>
      </c>
      <c r="P378" s="19">
        <f t="shared" si="59"/>
        <v>23.196078431372541</v>
      </c>
      <c r="R378">
        <f t="shared" si="60"/>
        <v>942.0009622</v>
      </c>
      <c r="S378">
        <f t="shared" si="61"/>
        <v>330.0009622</v>
      </c>
      <c r="T378">
        <f t="shared" si="62"/>
        <v>312.0009622</v>
      </c>
      <c r="U378">
        <f t="shared" si="63"/>
        <v>300.0009622</v>
      </c>
      <c r="V378">
        <f t="shared" si="64"/>
        <v>3.2362563176470722</v>
      </c>
      <c r="W378">
        <f t="shared" si="65"/>
        <v>-3.2343319176470722</v>
      </c>
    </row>
    <row r="379" spans="1:23" ht="15" customHeight="1" x14ac:dyDescent="0.35">
      <c r="A379" t="str">
        <f>'Raw Data'!B377</f>
        <v>Charles Schwab Corp</v>
      </c>
      <c r="B379" t="str">
        <f>'Raw Data'!A377</f>
        <v>schw</v>
      </c>
      <c r="C379" t="str">
        <f>IF('Raw Data'!E377="N/A","Unclassified",TRIM(SUBSTITUTE('Raw Data'!E377," and "," &amp; ")))</f>
        <v>Financial Services</v>
      </c>
      <c r="D379" s="17">
        <f>'Raw Data'!N377</f>
        <v>515</v>
      </c>
      <c r="E379" s="17">
        <f>'Raw Data'!O377</f>
        <v>300</v>
      </c>
      <c r="F379" s="17">
        <f>'Raw Data'!P377</f>
        <v>300</v>
      </c>
      <c r="G379" s="17">
        <f>'Raw Data'!Q377</f>
        <v>1115</v>
      </c>
      <c r="H379" s="18">
        <f>INDEX('Industry Stats'!$F$2:$F$49,MATCH($C379,'Industry Stats'!$A$2:$A$49,0))</f>
        <v>909.33333333333337</v>
      </c>
      <c r="I379" s="19">
        <f t="shared" si="55"/>
        <v>205.66666666666663</v>
      </c>
      <c r="J379" s="20">
        <f t="shared" si="56"/>
        <v>0.22617302052785918</v>
      </c>
      <c r="K379" s="18">
        <f>INDEX('Industry Stats'!$C$2:$C$49,MATCH($C379,'Industry Stats'!$A$2:$A$49,0))</f>
        <v>367.63636363636363</v>
      </c>
      <c r="L379" s="19">
        <f t="shared" si="57"/>
        <v>147.36363636363637</v>
      </c>
      <c r="M379" s="18">
        <f>INDEX('Industry Stats'!$D$2:$D$49,MATCH($C379,'Industry Stats'!$A$2:$A$49,0))</f>
        <v>276.45454545454544</v>
      </c>
      <c r="N379" s="19">
        <f t="shared" si="58"/>
        <v>23.545454545454561</v>
      </c>
      <c r="O379" s="18">
        <f>INDEX('Industry Stats'!$E$2:$E$49,MATCH($C379,'Industry Stats'!$A$2:$A$49,0))</f>
        <v>265.24242424242425</v>
      </c>
      <c r="P379" s="19">
        <f t="shared" si="59"/>
        <v>34.757575757575751</v>
      </c>
      <c r="R379">
        <f t="shared" si="60"/>
        <v>1115.0009620999999</v>
      </c>
      <c r="S379">
        <f t="shared" si="61"/>
        <v>515.00096210000004</v>
      </c>
      <c r="T379">
        <f t="shared" si="62"/>
        <v>300.00096209999998</v>
      </c>
      <c r="U379">
        <f t="shared" si="63"/>
        <v>300.00096209999998</v>
      </c>
      <c r="V379">
        <f t="shared" si="64"/>
        <v>205.66762876666664</v>
      </c>
      <c r="W379">
        <f t="shared" si="65"/>
        <v>-205.66570456666662</v>
      </c>
    </row>
    <row r="380" spans="1:23" ht="15" customHeight="1" x14ac:dyDescent="0.35">
      <c r="A380" t="str">
        <f>'Raw Data'!B378</f>
        <v>Rockwell Automation Inc</v>
      </c>
      <c r="B380" t="str">
        <f>'Raw Data'!A378</f>
        <v>rok</v>
      </c>
      <c r="C380" t="str">
        <f>IF('Raw Data'!E378="N/A","Unclassified",TRIM(SUBSTITUTE('Raw Data'!E378," and "," &amp; ")))</f>
        <v>Electrical Equipment</v>
      </c>
      <c r="D380" s="17">
        <f>'Raw Data'!N378</f>
        <v>308</v>
      </c>
      <c r="E380" s="17">
        <f>'Raw Data'!O378</f>
        <v>243</v>
      </c>
      <c r="F380" s="17">
        <f>'Raw Data'!P378</f>
        <v>210</v>
      </c>
      <c r="G380" s="17">
        <f>'Raw Data'!Q378</f>
        <v>761</v>
      </c>
      <c r="H380" s="18">
        <f>INDEX('Industry Stats'!$F$2:$F$49,MATCH($C380,'Industry Stats'!$A$2:$A$49,0))</f>
        <v>933</v>
      </c>
      <c r="I380" s="19">
        <f t="shared" si="55"/>
        <v>-172</v>
      </c>
      <c r="J380" s="20">
        <f t="shared" si="56"/>
        <v>-0.18435155412647375</v>
      </c>
      <c r="K380" s="18">
        <f>INDEX('Industry Stats'!$C$2:$C$49,MATCH($C380,'Industry Stats'!$A$2:$A$49,0))</f>
        <v>381.7037037037037</v>
      </c>
      <c r="L380" s="19">
        <f t="shared" si="57"/>
        <v>-73.703703703703695</v>
      </c>
      <c r="M380" s="18">
        <f>INDEX('Industry Stats'!$D$2:$D$49,MATCH($C380,'Industry Stats'!$A$2:$A$49,0))</f>
        <v>272.11111111111109</v>
      </c>
      <c r="N380" s="19">
        <f t="shared" si="58"/>
        <v>-29.111111111111086</v>
      </c>
      <c r="O380" s="18">
        <f>INDEX('Industry Stats'!$E$2:$E$49,MATCH($C380,'Industry Stats'!$A$2:$A$49,0))</f>
        <v>279.18518518518516</v>
      </c>
      <c r="P380" s="19">
        <f t="shared" si="59"/>
        <v>-69.185185185185162</v>
      </c>
      <c r="R380">
        <f t="shared" si="60"/>
        <v>761.00096199999996</v>
      </c>
      <c r="S380">
        <f t="shared" si="61"/>
        <v>308.00096200000002</v>
      </c>
      <c r="T380">
        <f t="shared" si="62"/>
        <v>243.00096199999999</v>
      </c>
      <c r="U380">
        <f t="shared" si="63"/>
        <v>210.00096199999999</v>
      </c>
      <c r="V380">
        <f t="shared" si="64"/>
        <v>-171.99903800000001</v>
      </c>
      <c r="W380">
        <f t="shared" si="65"/>
        <v>172.00096199999999</v>
      </c>
    </row>
    <row r="381" spans="1:23" ht="15" customHeight="1" x14ac:dyDescent="0.35">
      <c r="A381" t="str">
        <f>'Raw Data'!B379</f>
        <v>TransDigm Group Inc</v>
      </c>
      <c r="B381" t="str">
        <f>'Raw Data'!A379</f>
        <v>tdg</v>
      </c>
      <c r="C381" t="str">
        <f>IF('Raw Data'!E379="N/A","Unclassified",TRIM(SUBSTITUTE('Raw Data'!E379," and "," &amp; ")))</f>
        <v>Aerospace &amp; Defense</v>
      </c>
      <c r="D381" s="17">
        <f>'Raw Data'!N379</f>
        <v>500</v>
      </c>
      <c r="E381" s="17">
        <f>'Raw Data'!O379</f>
        <v>300</v>
      </c>
      <c r="F381" s="17">
        <f>'Raw Data'!P379</f>
        <v>300</v>
      </c>
      <c r="G381" s="17">
        <f>'Raw Data'!Q379</f>
        <v>1100</v>
      </c>
      <c r="H381" s="18">
        <f>INDEX('Industry Stats'!$F$2:$F$49,MATCH($C381,'Industry Stats'!$A$2:$A$49,0))</f>
        <v>1048.1818181818182</v>
      </c>
      <c r="I381" s="19">
        <f t="shared" si="55"/>
        <v>51.818181818181756</v>
      </c>
      <c r="J381" s="20">
        <f t="shared" si="56"/>
        <v>4.9436253252385022E-2</v>
      </c>
      <c r="K381" s="18">
        <f>INDEX('Industry Stats'!$C$2:$C$49,MATCH($C381,'Industry Stats'!$A$2:$A$49,0))</f>
        <v>461.36363636363637</v>
      </c>
      <c r="L381" s="19">
        <f t="shared" si="57"/>
        <v>38.636363636363626</v>
      </c>
      <c r="M381" s="18">
        <f>INDEX('Industry Stats'!$D$2:$D$49,MATCH($C381,'Industry Stats'!$A$2:$A$49,0))</f>
        <v>296.36363636363637</v>
      </c>
      <c r="N381" s="19">
        <f t="shared" si="58"/>
        <v>3.636363636363626</v>
      </c>
      <c r="O381" s="18">
        <f>INDEX('Industry Stats'!$E$2:$E$49,MATCH($C381,'Industry Stats'!$A$2:$A$49,0))</f>
        <v>290.45454545454544</v>
      </c>
      <c r="P381" s="19">
        <f t="shared" si="59"/>
        <v>9.545454545454561</v>
      </c>
      <c r="R381">
        <f t="shared" si="60"/>
        <v>1100.0009619</v>
      </c>
      <c r="S381">
        <f t="shared" si="61"/>
        <v>500.00096189999999</v>
      </c>
      <c r="T381">
        <f t="shared" si="62"/>
        <v>300.00096189999999</v>
      </c>
      <c r="U381">
        <f t="shared" si="63"/>
        <v>300.00096189999999</v>
      </c>
      <c r="V381">
        <f t="shared" si="64"/>
        <v>51.819143718181756</v>
      </c>
      <c r="W381">
        <f t="shared" si="65"/>
        <v>-51.817219918181756</v>
      </c>
    </row>
    <row r="382" spans="1:23" ht="15" customHeight="1" x14ac:dyDescent="0.35">
      <c r="A382" t="str">
        <f>'Raw Data'!B380</f>
        <v>Sealed Air Corp</v>
      </c>
      <c r="B382" t="str">
        <f>'Raw Data'!A380</f>
        <v>see</v>
      </c>
      <c r="C382" t="str">
        <f>IF('Raw Data'!E380="N/A","Unclassified",TRIM(SUBSTITUTE('Raw Data'!E380," and "," &amp; ")))</f>
        <v>Packaging</v>
      </c>
      <c r="D382" s="17">
        <f>'Raw Data'!N380</f>
        <v>555</v>
      </c>
      <c r="E382" s="17">
        <f>'Raw Data'!O380</f>
        <v>318</v>
      </c>
      <c r="F382" s="17">
        <f>'Raw Data'!P380</f>
        <v>257</v>
      </c>
      <c r="G382" s="17">
        <f>'Raw Data'!Q380</f>
        <v>1130</v>
      </c>
      <c r="H382" s="18">
        <f>INDEX('Industry Stats'!$F$2:$F$49,MATCH($C382,'Industry Stats'!$A$2:$A$49,0))</f>
        <v>1156</v>
      </c>
      <c r="I382" s="19">
        <f t="shared" si="55"/>
        <v>-26</v>
      </c>
      <c r="J382" s="20">
        <f t="shared" si="56"/>
        <v>-2.2491349480968859E-2</v>
      </c>
      <c r="K382" s="18">
        <f>INDEX('Industry Stats'!$C$2:$C$49,MATCH($C382,'Industry Stats'!$A$2:$A$49,0))</f>
        <v>536.25</v>
      </c>
      <c r="L382" s="19">
        <f t="shared" si="57"/>
        <v>18.75</v>
      </c>
      <c r="M382" s="18">
        <f>INDEX('Industry Stats'!$D$2:$D$49,MATCH($C382,'Industry Stats'!$A$2:$A$49,0))</f>
        <v>323</v>
      </c>
      <c r="N382" s="19">
        <f t="shared" si="58"/>
        <v>-5</v>
      </c>
      <c r="O382" s="18">
        <f>INDEX('Industry Stats'!$E$2:$E$49,MATCH($C382,'Industry Stats'!$A$2:$A$49,0))</f>
        <v>296.75</v>
      </c>
      <c r="P382" s="19">
        <f t="shared" si="59"/>
        <v>-39.75</v>
      </c>
      <c r="R382">
        <f t="shared" si="60"/>
        <v>1130.0009617999999</v>
      </c>
      <c r="S382">
        <f t="shared" si="61"/>
        <v>555.00096180000003</v>
      </c>
      <c r="T382">
        <f t="shared" si="62"/>
        <v>318.00096180000003</v>
      </c>
      <c r="U382">
        <f t="shared" si="63"/>
        <v>257.00096180000003</v>
      </c>
      <c r="V382">
        <f t="shared" si="64"/>
        <v>-25.999038200000001</v>
      </c>
      <c r="W382">
        <f t="shared" si="65"/>
        <v>26.000961799999999</v>
      </c>
    </row>
    <row r="383" spans="1:23" ht="15" customHeight="1" x14ac:dyDescent="0.35">
      <c r="A383" t="str">
        <f>'Raw Data'!B381</f>
        <v>Roper Technologies Inc</v>
      </c>
      <c r="B383" t="str">
        <f>'Raw Data'!A381</f>
        <v>rop</v>
      </c>
      <c r="C383" t="str">
        <f>IF('Raw Data'!E381="N/A","Unclassified",TRIM(SUBSTITUTE('Raw Data'!E381," and "," &amp; ")))</f>
        <v>Technology</v>
      </c>
      <c r="D383" s="17">
        <f>'Raw Data'!N381</f>
        <v>570</v>
      </c>
      <c r="E383" s="17">
        <f>'Raw Data'!O381</f>
        <v>350</v>
      </c>
      <c r="F383" s="17">
        <f>'Raw Data'!P381</f>
        <v>340</v>
      </c>
      <c r="G383" s="17">
        <f>'Raw Data'!Q381</f>
        <v>1260</v>
      </c>
      <c r="H383" s="18">
        <f>INDEX('Industry Stats'!$F$2:$F$49,MATCH($C383,'Industry Stats'!$A$2:$A$49,0))</f>
        <v>1031.3174603174602</v>
      </c>
      <c r="I383" s="19">
        <f t="shared" si="55"/>
        <v>228.68253968253975</v>
      </c>
      <c r="J383" s="20">
        <f t="shared" si="56"/>
        <v>0.22173826050821119</v>
      </c>
      <c r="K383" s="18">
        <f>INDEX('Industry Stats'!$C$2:$C$49,MATCH($C383,'Industry Stats'!$A$2:$A$49,0))</f>
        <v>438.11111111111109</v>
      </c>
      <c r="L383" s="19">
        <f t="shared" si="57"/>
        <v>131.88888888888891</v>
      </c>
      <c r="M383" s="18">
        <f>INDEX('Industry Stats'!$D$2:$D$49,MATCH($C383,'Industry Stats'!$A$2:$A$49,0))</f>
        <v>307.90476190476193</v>
      </c>
      <c r="N383" s="19">
        <f t="shared" si="58"/>
        <v>42.095238095238074</v>
      </c>
      <c r="O383" s="18">
        <f>INDEX('Industry Stats'!$E$2:$E$49,MATCH($C383,'Industry Stats'!$A$2:$A$49,0))</f>
        <v>285.30158730158729</v>
      </c>
      <c r="P383" s="19">
        <f t="shared" si="59"/>
        <v>54.69841269841271</v>
      </c>
      <c r="R383">
        <f t="shared" si="60"/>
        <v>1260.0009617000001</v>
      </c>
      <c r="S383">
        <f t="shared" si="61"/>
        <v>570.00096169999995</v>
      </c>
      <c r="T383">
        <f t="shared" si="62"/>
        <v>350.0009617</v>
      </c>
      <c r="U383">
        <f t="shared" si="63"/>
        <v>340.0009617</v>
      </c>
      <c r="V383">
        <f t="shared" si="64"/>
        <v>228.68350138253976</v>
      </c>
      <c r="W383">
        <f t="shared" si="65"/>
        <v>-228.68157798253975</v>
      </c>
    </row>
    <row r="384" spans="1:23" ht="15" customHeight="1" x14ac:dyDescent="0.35">
      <c r="A384" t="str">
        <f>'Raw Data'!B382</f>
        <v>Stanley Black &amp; Decker Inc</v>
      </c>
      <c r="B384" t="str">
        <f>'Raw Data'!A382</f>
        <v>swk</v>
      </c>
      <c r="C384" t="str">
        <f>IF('Raw Data'!E382="N/A","Unclassified",TRIM(SUBSTITUTE('Raw Data'!E382," and "," &amp; ")))</f>
        <v>Machinery</v>
      </c>
      <c r="D384" s="17">
        <f>'Raw Data'!N382</f>
        <v>555</v>
      </c>
      <c r="E384" s="17">
        <f>'Raw Data'!O382</f>
        <v>315</v>
      </c>
      <c r="F384" s="17">
        <f>'Raw Data'!P382</f>
        <v>300</v>
      </c>
      <c r="G384" s="17">
        <f>'Raw Data'!Q382</f>
        <v>1170</v>
      </c>
      <c r="H384" s="18">
        <f>INDEX('Industry Stats'!$F$2:$F$49,MATCH($C384,'Industry Stats'!$A$2:$A$49,0))</f>
        <v>1048.047619047619</v>
      </c>
      <c r="I384" s="19">
        <f t="shared" si="55"/>
        <v>121.95238095238096</v>
      </c>
      <c r="J384" s="20">
        <f t="shared" si="56"/>
        <v>0.11636148848198466</v>
      </c>
      <c r="K384" s="18">
        <f>INDEX('Industry Stats'!$C$2:$C$49,MATCH($C384,'Industry Stats'!$A$2:$A$49,0))</f>
        <v>459.57142857142856</v>
      </c>
      <c r="L384" s="19">
        <f t="shared" si="57"/>
        <v>95.428571428571445</v>
      </c>
      <c r="M384" s="18">
        <f>INDEX('Industry Stats'!$D$2:$D$49,MATCH($C384,'Industry Stats'!$A$2:$A$49,0))</f>
        <v>313.66666666666669</v>
      </c>
      <c r="N384" s="19">
        <f t="shared" si="58"/>
        <v>1.3333333333333144</v>
      </c>
      <c r="O384" s="18">
        <f>INDEX('Industry Stats'!$E$2:$E$49,MATCH($C384,'Industry Stats'!$A$2:$A$49,0))</f>
        <v>274.8095238095238</v>
      </c>
      <c r="P384" s="19">
        <f t="shared" si="59"/>
        <v>25.190476190476204</v>
      </c>
      <c r="R384">
        <f t="shared" si="60"/>
        <v>1170.0009616</v>
      </c>
      <c r="S384">
        <f t="shared" si="61"/>
        <v>555.00096159999998</v>
      </c>
      <c r="T384">
        <f t="shared" si="62"/>
        <v>315.00096159999998</v>
      </c>
      <c r="U384">
        <f t="shared" si="63"/>
        <v>300.00096159999998</v>
      </c>
      <c r="V384">
        <f t="shared" si="64"/>
        <v>121.95334255238096</v>
      </c>
      <c r="W384">
        <f t="shared" si="65"/>
        <v>-121.95141935238097</v>
      </c>
    </row>
    <row r="385" spans="1:23" ht="15" customHeight="1" x14ac:dyDescent="0.35">
      <c r="A385" t="str">
        <f>'Raw Data'!B383</f>
        <v>Constellation Brands Inc</v>
      </c>
      <c r="B385" t="str">
        <f>'Raw Data'!A383</f>
        <v>stz</v>
      </c>
      <c r="C385" t="str">
        <f>IF('Raw Data'!E383="N/A","Unclassified",TRIM(SUBSTITUTE('Raw Data'!E383," and "," &amp; ")))</f>
        <v>Beverages</v>
      </c>
      <c r="D385" s="17">
        <f>'Raw Data'!N383</f>
        <v>459</v>
      </c>
      <c r="E385" s="17">
        <f>'Raw Data'!O383</f>
        <v>313</v>
      </c>
      <c r="F385" s="17">
        <f>'Raw Data'!P383</f>
        <v>295</v>
      </c>
      <c r="G385" s="17">
        <f>'Raw Data'!Q383</f>
        <v>1067</v>
      </c>
      <c r="H385" s="18">
        <f>INDEX('Industry Stats'!$F$2:$F$49,MATCH($C385,'Industry Stats'!$A$2:$A$49,0))</f>
        <v>1061</v>
      </c>
      <c r="I385" s="19">
        <f t="shared" si="55"/>
        <v>6</v>
      </c>
      <c r="J385" s="20">
        <f t="shared" si="56"/>
        <v>5.6550424128180964E-3</v>
      </c>
      <c r="K385" s="18">
        <f>INDEX('Industry Stats'!$C$2:$C$49,MATCH($C385,'Industry Stats'!$A$2:$A$49,0))</f>
        <v>473.25</v>
      </c>
      <c r="L385" s="19">
        <f t="shared" si="57"/>
        <v>-14.25</v>
      </c>
      <c r="M385" s="18">
        <f>INDEX('Industry Stats'!$D$2:$D$49,MATCH($C385,'Industry Stats'!$A$2:$A$49,0))</f>
        <v>299.5</v>
      </c>
      <c r="N385" s="19">
        <f t="shared" si="58"/>
        <v>13.5</v>
      </c>
      <c r="O385" s="18">
        <f>INDEX('Industry Stats'!$E$2:$E$49,MATCH($C385,'Industry Stats'!$A$2:$A$49,0))</f>
        <v>288.25</v>
      </c>
      <c r="P385" s="19">
        <f t="shared" si="59"/>
        <v>6.75</v>
      </c>
      <c r="R385">
        <f t="shared" si="60"/>
        <v>1067.0009614999999</v>
      </c>
      <c r="S385">
        <f t="shared" si="61"/>
        <v>459.00096150000002</v>
      </c>
      <c r="T385">
        <f t="shared" si="62"/>
        <v>313.00096150000002</v>
      </c>
      <c r="U385">
        <f t="shared" si="63"/>
        <v>295.00096150000002</v>
      </c>
      <c r="V385">
        <f t="shared" si="64"/>
        <v>6.0009614999999998</v>
      </c>
      <c r="W385">
        <f t="shared" si="65"/>
        <v>-5.9990385000000002</v>
      </c>
    </row>
    <row r="386" spans="1:23" ht="15" customHeight="1" x14ac:dyDescent="0.35">
      <c r="A386" t="str">
        <f>'Raw Data'!B384</f>
        <v>Stryker Corp</v>
      </c>
      <c r="B386" t="str">
        <f>'Raw Data'!A384</f>
        <v>syk</v>
      </c>
      <c r="C386" t="str">
        <f>IF('Raw Data'!E384="N/A","Unclassified",TRIM(SUBSTITUTE('Raw Data'!E384," and "," &amp; ")))</f>
        <v>Health Care</v>
      </c>
      <c r="D386" s="17">
        <f>'Raw Data'!N384</f>
        <v>485</v>
      </c>
      <c r="E386" s="17">
        <f>'Raw Data'!O384</f>
        <v>321</v>
      </c>
      <c r="F386" s="17">
        <f>'Raw Data'!P384</f>
        <v>325</v>
      </c>
      <c r="G386" s="17">
        <f>'Raw Data'!Q384</f>
        <v>1131</v>
      </c>
      <c r="H386" s="18">
        <f>INDEX('Industry Stats'!$F$2:$F$49,MATCH($C386,'Industry Stats'!$A$2:$A$49,0))</f>
        <v>938.76470588235293</v>
      </c>
      <c r="I386" s="19">
        <f t="shared" si="55"/>
        <v>192.23529411764707</v>
      </c>
      <c r="J386" s="20">
        <f t="shared" si="56"/>
        <v>0.20477473525910148</v>
      </c>
      <c r="K386" s="18">
        <f>INDEX('Industry Stats'!$C$2:$C$49,MATCH($C386,'Industry Stats'!$A$2:$A$49,0))</f>
        <v>374.52941176470586</v>
      </c>
      <c r="L386" s="19">
        <f t="shared" si="57"/>
        <v>110.47058823529414</v>
      </c>
      <c r="M386" s="18">
        <f>INDEX('Industry Stats'!$D$2:$D$49,MATCH($C386,'Industry Stats'!$A$2:$A$49,0))</f>
        <v>287.43137254901961</v>
      </c>
      <c r="N386" s="19">
        <f t="shared" si="58"/>
        <v>33.568627450980387</v>
      </c>
      <c r="O386" s="18">
        <f>INDEX('Industry Stats'!$E$2:$E$49,MATCH($C386,'Industry Stats'!$A$2:$A$49,0))</f>
        <v>276.80392156862746</v>
      </c>
      <c r="P386" s="19">
        <f t="shared" si="59"/>
        <v>48.196078431372541</v>
      </c>
      <c r="R386">
        <f t="shared" si="60"/>
        <v>1131.0009614000001</v>
      </c>
      <c r="S386">
        <f t="shared" si="61"/>
        <v>485.00096139999999</v>
      </c>
      <c r="T386">
        <f t="shared" si="62"/>
        <v>321.00096139999999</v>
      </c>
      <c r="U386">
        <f t="shared" si="63"/>
        <v>325.00096139999999</v>
      </c>
      <c r="V386">
        <f t="shared" si="64"/>
        <v>192.23625551764707</v>
      </c>
      <c r="W386">
        <f t="shared" si="65"/>
        <v>-192.23433271764708</v>
      </c>
    </row>
    <row r="387" spans="1:23" ht="15" customHeight="1" x14ac:dyDescent="0.35">
      <c r="A387" t="str">
        <f>'Raw Data'!B385</f>
        <v>Sysco Corp</v>
      </c>
      <c r="B387" t="str">
        <f>'Raw Data'!A385</f>
        <v>syy</v>
      </c>
      <c r="C387" t="str">
        <f>IF('Raw Data'!E385="N/A","Unclassified",TRIM(SUBSTITUTE('Raw Data'!E385," and "," &amp; ")))</f>
        <v>Retail</v>
      </c>
      <c r="D387" s="17">
        <f>'Raw Data'!N385</f>
        <v>555</v>
      </c>
      <c r="E387" s="17">
        <f>'Raw Data'!O385</f>
        <v>301</v>
      </c>
      <c r="F387" s="17">
        <f>'Raw Data'!P385</f>
        <v>305</v>
      </c>
      <c r="G387" s="17">
        <f>'Raw Data'!Q385</f>
        <v>1161</v>
      </c>
      <c r="H387" s="18">
        <f>INDEX('Industry Stats'!$F$2:$F$49,MATCH($C387,'Industry Stats'!$A$2:$A$49,0))</f>
        <v>918.57692307692309</v>
      </c>
      <c r="I387" s="19">
        <f t="shared" si="55"/>
        <v>242.42307692307691</v>
      </c>
      <c r="J387" s="20">
        <f t="shared" si="56"/>
        <v>0.26391156889837958</v>
      </c>
      <c r="K387" s="18">
        <f>INDEX('Industry Stats'!$C$2:$C$49,MATCH($C387,'Industry Stats'!$A$2:$A$49,0))</f>
        <v>380.30769230769232</v>
      </c>
      <c r="L387" s="19">
        <f t="shared" si="57"/>
        <v>174.69230769230768</v>
      </c>
      <c r="M387" s="18">
        <f>INDEX('Industry Stats'!$D$2:$D$49,MATCH($C387,'Industry Stats'!$A$2:$A$49,0))</f>
        <v>274.96153846153845</v>
      </c>
      <c r="N387" s="19">
        <f t="shared" si="58"/>
        <v>26.038461538461547</v>
      </c>
      <c r="O387" s="18">
        <f>INDEX('Industry Stats'!$E$2:$E$49,MATCH($C387,'Industry Stats'!$A$2:$A$49,0))</f>
        <v>263.30769230769232</v>
      </c>
      <c r="P387" s="19">
        <f t="shared" si="59"/>
        <v>41.692307692307679</v>
      </c>
      <c r="R387">
        <f t="shared" si="60"/>
        <v>1161.0009613</v>
      </c>
      <c r="S387">
        <f t="shared" si="61"/>
        <v>555.00096129999997</v>
      </c>
      <c r="T387">
        <f t="shared" si="62"/>
        <v>301.00096129999997</v>
      </c>
      <c r="U387">
        <f t="shared" si="63"/>
        <v>305.00096129999997</v>
      </c>
      <c r="V387">
        <f t="shared" si="64"/>
        <v>242.42403822307691</v>
      </c>
      <c r="W387">
        <f t="shared" si="65"/>
        <v>-242.42211562307691</v>
      </c>
    </row>
    <row r="388" spans="1:23" ht="15" customHeight="1" x14ac:dyDescent="0.35">
      <c r="A388" t="str">
        <f>'Raw Data'!B386</f>
        <v>Sherwin-Williams Co</v>
      </c>
      <c r="B388" t="str">
        <f>'Raw Data'!A386</f>
        <v>shw</v>
      </c>
      <c r="C388" t="str">
        <f>IF('Raw Data'!E386="N/A","Unclassified",TRIM(SUBSTITUTE('Raw Data'!E386," and "," &amp; ")))</f>
        <v>Chemicals</v>
      </c>
      <c r="D388" s="17">
        <f>'Raw Data'!N386</f>
        <v>295</v>
      </c>
      <c r="E388" s="17">
        <f>'Raw Data'!O386</f>
        <v>259</v>
      </c>
      <c r="F388" s="17">
        <f>'Raw Data'!P386</f>
        <v>220</v>
      </c>
      <c r="G388" s="17">
        <f>'Raw Data'!Q386</f>
        <v>774</v>
      </c>
      <c r="H388" s="18">
        <f>INDEX('Industry Stats'!$F$2:$F$49,MATCH($C388,'Industry Stats'!$A$2:$A$49,0))</f>
        <v>1058.8947368421052</v>
      </c>
      <c r="I388" s="19">
        <f t="shared" ref="I388:I451" si="66">G388-H388</f>
        <v>-284.8947368421052</v>
      </c>
      <c r="J388" s="20">
        <f t="shared" ref="J388:J451" si="67">I388/H388</f>
        <v>-0.26904915751279879</v>
      </c>
      <c r="K388" s="18">
        <f>INDEX('Industry Stats'!$C$2:$C$49,MATCH($C388,'Industry Stats'!$A$2:$A$49,0))</f>
        <v>463.73684210526318</v>
      </c>
      <c r="L388" s="19">
        <f t="shared" ref="L388:L451" si="68">D388-K388</f>
        <v>-168.73684210526318</v>
      </c>
      <c r="M388" s="18">
        <f>INDEX('Industry Stats'!$D$2:$D$49,MATCH($C388,'Industry Stats'!$A$2:$A$49,0))</f>
        <v>304.36842105263156</v>
      </c>
      <c r="N388" s="19">
        <f t="shared" ref="N388:N451" si="69">E388-M388</f>
        <v>-45.368421052631561</v>
      </c>
      <c r="O388" s="18">
        <f>INDEX('Industry Stats'!$E$2:$E$49,MATCH($C388,'Industry Stats'!$A$2:$A$49,0))</f>
        <v>290.78947368421052</v>
      </c>
      <c r="P388" s="19">
        <f t="shared" ref="P388:P451" si="70">F388-O388</f>
        <v>-70.78947368421052</v>
      </c>
      <c r="R388">
        <f t="shared" ref="R388:R451" si="71">G388+(10000-ROW())/10000000</f>
        <v>774.00096120000001</v>
      </c>
      <c r="S388">
        <f t="shared" ref="S388:S451" si="72">D388+(10000-ROW())/10000000</f>
        <v>295.00096120000001</v>
      </c>
      <c r="T388">
        <f t="shared" ref="T388:T451" si="73">E388+(10000-ROW())/10000000</f>
        <v>259.00096120000001</v>
      </c>
      <c r="U388">
        <f t="shared" ref="U388:U451" si="74">F388+(10000-ROW())/10000000</f>
        <v>220.00096120000001</v>
      </c>
      <c r="V388">
        <f t="shared" ref="V388:V451" si="75">I388+(10000-ROW())/10000000</f>
        <v>-284.8937756421052</v>
      </c>
      <c r="W388">
        <f t="shared" ref="W388:W451" si="76">-I388+(10000-ROW())/10000000</f>
        <v>284.89569804210521</v>
      </c>
    </row>
    <row r="389" spans="1:23" ht="15" customHeight="1" x14ac:dyDescent="0.35">
      <c r="A389" t="str">
        <f>'Raw Data'!B387</f>
        <v>S&amp;P Global Inc</v>
      </c>
      <c r="B389" t="str">
        <f>'Raw Data'!A387</f>
        <v>spgi</v>
      </c>
      <c r="C389" t="str">
        <f>IF('Raw Data'!E387="N/A","Unclassified",TRIM(SUBSTITUTE('Raw Data'!E387," and "," &amp; ")))</f>
        <v>Financial Services</v>
      </c>
      <c r="D389" s="17">
        <f>'Raw Data'!N387</f>
        <v>435</v>
      </c>
      <c r="E389" s="17">
        <f>'Raw Data'!O387</f>
        <v>341</v>
      </c>
      <c r="F389" s="17">
        <f>'Raw Data'!P387</f>
        <v>310</v>
      </c>
      <c r="G389" s="17">
        <f>'Raw Data'!Q387</f>
        <v>1086</v>
      </c>
      <c r="H389" s="18">
        <f>INDEX('Industry Stats'!$F$2:$F$49,MATCH($C389,'Industry Stats'!$A$2:$A$49,0))</f>
        <v>909.33333333333337</v>
      </c>
      <c r="I389" s="19">
        <f t="shared" si="66"/>
        <v>176.66666666666663</v>
      </c>
      <c r="J389" s="20">
        <f t="shared" si="67"/>
        <v>0.19428152492668616</v>
      </c>
      <c r="K389" s="18">
        <f>INDEX('Industry Stats'!$C$2:$C$49,MATCH($C389,'Industry Stats'!$A$2:$A$49,0))</f>
        <v>367.63636363636363</v>
      </c>
      <c r="L389" s="19">
        <f t="shared" si="68"/>
        <v>67.363636363636374</v>
      </c>
      <c r="M389" s="18">
        <f>INDEX('Industry Stats'!$D$2:$D$49,MATCH($C389,'Industry Stats'!$A$2:$A$49,0))</f>
        <v>276.45454545454544</v>
      </c>
      <c r="N389" s="19">
        <f t="shared" si="69"/>
        <v>64.545454545454561</v>
      </c>
      <c r="O389" s="18">
        <f>INDEX('Industry Stats'!$E$2:$E$49,MATCH($C389,'Industry Stats'!$A$2:$A$49,0))</f>
        <v>265.24242424242425</v>
      </c>
      <c r="P389" s="19">
        <f t="shared" si="70"/>
        <v>44.757575757575751</v>
      </c>
      <c r="R389">
        <f t="shared" si="71"/>
        <v>1086.0009611</v>
      </c>
      <c r="S389">
        <f t="shared" si="72"/>
        <v>435.00096109999998</v>
      </c>
      <c r="T389">
        <f t="shared" si="73"/>
        <v>341.00096109999998</v>
      </c>
      <c r="U389">
        <f t="shared" si="74"/>
        <v>310.00096109999998</v>
      </c>
      <c r="V389">
        <f t="shared" si="75"/>
        <v>176.66762776666664</v>
      </c>
      <c r="W389">
        <f t="shared" si="76"/>
        <v>-176.66570556666662</v>
      </c>
    </row>
    <row r="390" spans="1:23" ht="15" customHeight="1" x14ac:dyDescent="0.35">
      <c r="A390" t="str">
        <f>'Raw Data'!B388</f>
        <v>STERIS plc</v>
      </c>
      <c r="B390" t="str">
        <f>'Raw Data'!A388</f>
        <v>ste</v>
      </c>
      <c r="C390" t="str">
        <f>IF('Raw Data'!E388="N/A","Unclassified",TRIM(SUBSTITUTE('Raw Data'!E388," and "," &amp; ")))</f>
        <v>Health Care</v>
      </c>
      <c r="D390" s="17">
        <f>'Raw Data'!N388</f>
        <v>510</v>
      </c>
      <c r="E390" s="17">
        <f>'Raw Data'!O388</f>
        <v>301</v>
      </c>
      <c r="F390" s="17">
        <f>'Raw Data'!P388</f>
        <v>305</v>
      </c>
      <c r="G390" s="17">
        <f>'Raw Data'!Q388</f>
        <v>1116</v>
      </c>
      <c r="H390" s="18">
        <f>INDEX('Industry Stats'!$F$2:$F$49,MATCH($C390,'Industry Stats'!$A$2:$A$49,0))</f>
        <v>938.76470588235293</v>
      </c>
      <c r="I390" s="19">
        <f t="shared" si="66"/>
        <v>177.23529411764707</v>
      </c>
      <c r="J390" s="20">
        <f t="shared" si="67"/>
        <v>0.18879629049439189</v>
      </c>
      <c r="K390" s="18">
        <f>INDEX('Industry Stats'!$C$2:$C$49,MATCH($C390,'Industry Stats'!$A$2:$A$49,0))</f>
        <v>374.52941176470586</v>
      </c>
      <c r="L390" s="19">
        <f t="shared" si="68"/>
        <v>135.47058823529414</v>
      </c>
      <c r="M390" s="18">
        <f>INDEX('Industry Stats'!$D$2:$D$49,MATCH($C390,'Industry Stats'!$A$2:$A$49,0))</f>
        <v>287.43137254901961</v>
      </c>
      <c r="N390" s="19">
        <f t="shared" si="69"/>
        <v>13.568627450980387</v>
      </c>
      <c r="O390" s="18">
        <f>INDEX('Industry Stats'!$E$2:$E$49,MATCH($C390,'Industry Stats'!$A$2:$A$49,0))</f>
        <v>276.80392156862746</v>
      </c>
      <c r="P390" s="19">
        <f t="shared" si="70"/>
        <v>28.196078431372541</v>
      </c>
      <c r="R390">
        <f t="shared" si="71"/>
        <v>1116.000961</v>
      </c>
      <c r="S390">
        <f t="shared" si="72"/>
        <v>510.00096100000002</v>
      </c>
      <c r="T390">
        <f t="shared" si="73"/>
        <v>301.00096100000002</v>
      </c>
      <c r="U390">
        <f t="shared" si="74"/>
        <v>305.00096100000002</v>
      </c>
      <c r="V390">
        <f t="shared" si="75"/>
        <v>177.23625511764706</v>
      </c>
      <c r="W390">
        <f t="shared" si="76"/>
        <v>-177.23433311764708</v>
      </c>
    </row>
    <row r="391" spans="1:23" ht="15" customHeight="1" x14ac:dyDescent="0.35">
      <c r="A391" t="str">
        <f>'Raw Data'!B389</f>
        <v>Synchrony Financial</v>
      </c>
      <c r="B391" t="str">
        <f>'Raw Data'!A389</f>
        <v>syf</v>
      </c>
      <c r="C391" t="str">
        <f>IF('Raw Data'!E389="N/A","Unclassified",TRIM(SUBSTITUTE('Raw Data'!E389," and "," &amp; ")))</f>
        <v>Financial Services</v>
      </c>
      <c r="D391" s="17">
        <f>'Raw Data'!N389</f>
        <v>325</v>
      </c>
      <c r="E391" s="17">
        <f>'Raw Data'!O389</f>
        <v>312</v>
      </c>
      <c r="F391" s="17">
        <f>'Raw Data'!P389</f>
        <v>310</v>
      </c>
      <c r="G391" s="17">
        <f>'Raw Data'!Q389</f>
        <v>947</v>
      </c>
      <c r="H391" s="18">
        <f>INDEX('Industry Stats'!$F$2:$F$49,MATCH($C391,'Industry Stats'!$A$2:$A$49,0))</f>
        <v>909.33333333333337</v>
      </c>
      <c r="I391" s="19">
        <f t="shared" si="66"/>
        <v>37.666666666666629</v>
      </c>
      <c r="J391" s="20">
        <f t="shared" si="67"/>
        <v>4.1422287390029282E-2</v>
      </c>
      <c r="K391" s="18">
        <f>INDEX('Industry Stats'!$C$2:$C$49,MATCH($C391,'Industry Stats'!$A$2:$A$49,0))</f>
        <v>367.63636363636363</v>
      </c>
      <c r="L391" s="19">
        <f t="shared" si="68"/>
        <v>-42.636363636363626</v>
      </c>
      <c r="M391" s="18">
        <f>INDEX('Industry Stats'!$D$2:$D$49,MATCH($C391,'Industry Stats'!$A$2:$A$49,0))</f>
        <v>276.45454545454544</v>
      </c>
      <c r="N391" s="19">
        <f t="shared" si="69"/>
        <v>35.545454545454561</v>
      </c>
      <c r="O391" s="18">
        <f>INDEX('Industry Stats'!$E$2:$E$49,MATCH($C391,'Industry Stats'!$A$2:$A$49,0))</f>
        <v>265.24242424242425</v>
      </c>
      <c r="P391" s="19">
        <f t="shared" si="70"/>
        <v>44.757575757575751</v>
      </c>
      <c r="R391">
        <f t="shared" si="71"/>
        <v>947.0009609</v>
      </c>
      <c r="S391">
        <f t="shared" si="72"/>
        <v>325.0009609</v>
      </c>
      <c r="T391">
        <f t="shared" si="73"/>
        <v>312.0009609</v>
      </c>
      <c r="U391">
        <f t="shared" si="74"/>
        <v>310.0009609</v>
      </c>
      <c r="V391">
        <f t="shared" si="75"/>
        <v>37.667627566666631</v>
      </c>
      <c r="W391">
        <f t="shared" si="76"/>
        <v>-37.665705766666626</v>
      </c>
    </row>
    <row r="392" spans="1:23" ht="15" customHeight="1" x14ac:dyDescent="0.35">
      <c r="A392" t="str">
        <f>'Raw Data'!B390</f>
        <v>Simon Property Group Inc</v>
      </c>
      <c r="B392" t="str">
        <f>'Raw Data'!A390</f>
        <v>spg</v>
      </c>
      <c r="C392" t="str">
        <f>IF('Raw Data'!E390="N/A","Unclassified",TRIM(SUBSTITUTE('Raw Data'!E390," and "," &amp; ")))</f>
        <v>Real Estate</v>
      </c>
      <c r="D392" s="17">
        <f>'Raw Data'!N390</f>
        <v>225</v>
      </c>
      <c r="E392" s="17">
        <f>'Raw Data'!O390</f>
        <v>247</v>
      </c>
      <c r="F392" s="17">
        <f>'Raw Data'!P390</f>
        <v>205</v>
      </c>
      <c r="G392" s="17">
        <f>'Raw Data'!Q390</f>
        <v>677</v>
      </c>
      <c r="H392" s="18">
        <f>INDEX('Industry Stats'!$F$2:$F$49,MATCH($C392,'Industry Stats'!$A$2:$A$49,0))</f>
        <v>995.94444444444446</v>
      </c>
      <c r="I392" s="19">
        <f t="shared" si="66"/>
        <v>-318.94444444444446</v>
      </c>
      <c r="J392" s="20">
        <f t="shared" si="67"/>
        <v>-0.32024320856808169</v>
      </c>
      <c r="K392" s="18">
        <f>INDEX('Industry Stats'!$C$2:$C$49,MATCH($C392,'Industry Stats'!$A$2:$A$49,0))</f>
        <v>431.38888888888891</v>
      </c>
      <c r="L392" s="19">
        <f t="shared" si="68"/>
        <v>-206.38888888888891</v>
      </c>
      <c r="M392" s="18">
        <f>INDEX('Industry Stats'!$D$2:$D$49,MATCH($C392,'Industry Stats'!$A$2:$A$49,0))</f>
        <v>290.91666666666669</v>
      </c>
      <c r="N392" s="19">
        <f t="shared" si="69"/>
        <v>-43.916666666666686</v>
      </c>
      <c r="O392" s="18">
        <f>INDEX('Industry Stats'!$E$2:$E$49,MATCH($C392,'Industry Stats'!$A$2:$A$49,0))</f>
        <v>273.63888888888891</v>
      </c>
      <c r="P392" s="19">
        <f t="shared" si="70"/>
        <v>-68.638888888888914</v>
      </c>
      <c r="R392">
        <f t="shared" si="71"/>
        <v>677.00096080000003</v>
      </c>
      <c r="S392">
        <f t="shared" si="72"/>
        <v>225.0009608</v>
      </c>
      <c r="T392">
        <f t="shared" si="73"/>
        <v>247.0009608</v>
      </c>
      <c r="U392">
        <f t="shared" si="74"/>
        <v>205.0009608</v>
      </c>
      <c r="V392">
        <f t="shared" si="75"/>
        <v>-318.94348364444448</v>
      </c>
      <c r="W392">
        <f t="shared" si="76"/>
        <v>318.94540524444443</v>
      </c>
    </row>
    <row r="393" spans="1:23" ht="15" customHeight="1" x14ac:dyDescent="0.35">
      <c r="A393" t="str">
        <f>'Raw Data'!B391</f>
        <v>Sempra Energy</v>
      </c>
      <c r="B393" t="str">
        <f>'Raw Data'!A391</f>
        <v>sre</v>
      </c>
      <c r="C393" t="str">
        <f>IF('Raw Data'!E391="N/A","Unclassified",TRIM(SUBSTITUTE('Raw Data'!E391," and "," &amp; ")))</f>
        <v>Utilities</v>
      </c>
      <c r="D393" s="17">
        <f>'Raw Data'!N391</f>
        <v>700</v>
      </c>
      <c r="E393" s="17">
        <f>'Raw Data'!O391</f>
        <v>386</v>
      </c>
      <c r="F393" s="17">
        <f>'Raw Data'!P391</f>
        <v>310</v>
      </c>
      <c r="G393" s="17">
        <f>'Raw Data'!Q391</f>
        <v>1396</v>
      </c>
      <c r="H393" s="18">
        <f>INDEX('Industry Stats'!$F$2:$F$49,MATCH($C393,'Industry Stats'!$A$2:$A$49,0))</f>
        <v>1190.6333333333334</v>
      </c>
      <c r="I393" s="19">
        <f t="shared" si="66"/>
        <v>205.36666666666656</v>
      </c>
      <c r="J393" s="20">
        <f t="shared" si="67"/>
        <v>0.17248523194938259</v>
      </c>
      <c r="K393" s="18">
        <f>INDEX('Industry Stats'!$C$2:$C$49,MATCH($C393,'Industry Stats'!$A$2:$A$49,0))</f>
        <v>550.9666666666667</v>
      </c>
      <c r="L393" s="19">
        <f t="shared" si="68"/>
        <v>149.0333333333333</v>
      </c>
      <c r="M393" s="18">
        <f>INDEX('Industry Stats'!$D$2:$D$49,MATCH($C393,'Industry Stats'!$A$2:$A$49,0))</f>
        <v>357.4</v>
      </c>
      <c r="N393" s="19">
        <f t="shared" si="69"/>
        <v>28.600000000000023</v>
      </c>
      <c r="O393" s="18">
        <f>INDEX('Industry Stats'!$E$2:$E$49,MATCH($C393,'Industry Stats'!$A$2:$A$49,0))</f>
        <v>282.26666666666665</v>
      </c>
      <c r="P393" s="19">
        <f t="shared" si="70"/>
        <v>27.733333333333348</v>
      </c>
      <c r="R393">
        <f t="shared" si="71"/>
        <v>1396.0009607</v>
      </c>
      <c r="S393">
        <f t="shared" si="72"/>
        <v>700.00096069999995</v>
      </c>
      <c r="T393">
        <f t="shared" si="73"/>
        <v>386.00096070000001</v>
      </c>
      <c r="U393">
        <f t="shared" si="74"/>
        <v>310.00096070000001</v>
      </c>
      <c r="V393">
        <f t="shared" si="75"/>
        <v>205.36762736666657</v>
      </c>
      <c r="W393">
        <f t="shared" si="76"/>
        <v>-205.36570596666655</v>
      </c>
    </row>
    <row r="394" spans="1:23" ht="15" customHeight="1" x14ac:dyDescent="0.35">
      <c r="A394" t="str">
        <f>'Raw Data'!B392</f>
        <v>Southern Co</v>
      </c>
      <c r="B394" t="str">
        <f>'Raw Data'!A392</f>
        <v>so</v>
      </c>
      <c r="C394" t="str">
        <f>IF('Raw Data'!E392="N/A","Unclassified",TRIM(SUBSTITUTE('Raw Data'!E392," and "," &amp; ")))</f>
        <v>Utilities</v>
      </c>
      <c r="D394" s="17">
        <f>'Raw Data'!N392</f>
        <v>515</v>
      </c>
      <c r="E394" s="17">
        <f>'Raw Data'!O392</f>
        <v>307</v>
      </c>
      <c r="F394" s="17">
        <f>'Raw Data'!P392</f>
        <v>330</v>
      </c>
      <c r="G394" s="17">
        <f>'Raw Data'!Q392</f>
        <v>1152</v>
      </c>
      <c r="H394" s="18">
        <f>INDEX('Industry Stats'!$F$2:$F$49,MATCH($C394,'Industry Stats'!$A$2:$A$49,0))</f>
        <v>1190.6333333333334</v>
      </c>
      <c r="I394" s="19">
        <f t="shared" si="66"/>
        <v>-38.633333333333439</v>
      </c>
      <c r="J394" s="20">
        <f t="shared" si="67"/>
        <v>-3.2447716901369106E-2</v>
      </c>
      <c r="K394" s="18">
        <f>INDEX('Industry Stats'!$C$2:$C$49,MATCH($C394,'Industry Stats'!$A$2:$A$49,0))</f>
        <v>550.9666666666667</v>
      </c>
      <c r="L394" s="19">
        <f t="shared" si="68"/>
        <v>-35.966666666666697</v>
      </c>
      <c r="M394" s="18">
        <f>INDEX('Industry Stats'!$D$2:$D$49,MATCH($C394,'Industry Stats'!$A$2:$A$49,0))</f>
        <v>357.4</v>
      </c>
      <c r="N394" s="19">
        <f t="shared" si="69"/>
        <v>-50.399999999999977</v>
      </c>
      <c r="O394" s="18">
        <f>INDEX('Industry Stats'!$E$2:$E$49,MATCH($C394,'Industry Stats'!$A$2:$A$49,0))</f>
        <v>282.26666666666665</v>
      </c>
      <c r="P394" s="19">
        <f t="shared" si="70"/>
        <v>47.733333333333348</v>
      </c>
      <c r="R394">
        <f t="shared" si="71"/>
        <v>1152.0009606000001</v>
      </c>
      <c r="S394">
        <f t="shared" si="72"/>
        <v>515.00096059999998</v>
      </c>
      <c r="T394">
        <f t="shared" si="73"/>
        <v>307.00096059999998</v>
      </c>
      <c r="U394">
        <f t="shared" si="74"/>
        <v>330.00096059999998</v>
      </c>
      <c r="V394">
        <f t="shared" si="75"/>
        <v>-38.63237273333344</v>
      </c>
      <c r="W394">
        <f t="shared" si="76"/>
        <v>38.634293933333439</v>
      </c>
    </row>
    <row r="395" spans="1:23" ht="15" customHeight="1" x14ac:dyDescent="0.35">
      <c r="A395" t="str">
        <f>'Raw Data'!B393</f>
        <v>State Street Corp</v>
      </c>
      <c r="B395" t="str">
        <f>'Raw Data'!A393</f>
        <v>stt</v>
      </c>
      <c r="C395" t="str">
        <f>IF('Raw Data'!E393="N/A","Unclassified",TRIM(SUBSTITUTE('Raw Data'!E393," and "," &amp; ")))</f>
        <v>Financial Services</v>
      </c>
      <c r="D395" s="17">
        <f>'Raw Data'!N393</f>
        <v>225</v>
      </c>
      <c r="E395" s="17">
        <f>'Raw Data'!O393</f>
        <v>211</v>
      </c>
      <c r="F395" s="17">
        <f>'Raw Data'!P393</f>
        <v>210</v>
      </c>
      <c r="G395" s="17">
        <f>'Raw Data'!Q393</f>
        <v>646</v>
      </c>
      <c r="H395" s="18">
        <f>INDEX('Industry Stats'!$F$2:$F$49,MATCH($C395,'Industry Stats'!$A$2:$A$49,0))</f>
        <v>909.33333333333337</v>
      </c>
      <c r="I395" s="19">
        <f t="shared" si="66"/>
        <v>-263.33333333333337</v>
      </c>
      <c r="J395" s="20">
        <f t="shared" si="67"/>
        <v>-0.28958944281524929</v>
      </c>
      <c r="K395" s="18">
        <f>INDEX('Industry Stats'!$C$2:$C$49,MATCH($C395,'Industry Stats'!$A$2:$A$49,0))</f>
        <v>367.63636363636363</v>
      </c>
      <c r="L395" s="19">
        <f t="shared" si="68"/>
        <v>-142.63636363636363</v>
      </c>
      <c r="M395" s="18">
        <f>INDEX('Industry Stats'!$D$2:$D$49,MATCH($C395,'Industry Stats'!$A$2:$A$49,0))</f>
        <v>276.45454545454544</v>
      </c>
      <c r="N395" s="19">
        <f t="shared" si="69"/>
        <v>-65.454545454545439</v>
      </c>
      <c r="O395" s="18">
        <f>INDEX('Industry Stats'!$E$2:$E$49,MATCH($C395,'Industry Stats'!$A$2:$A$49,0))</f>
        <v>265.24242424242425</v>
      </c>
      <c r="P395" s="19">
        <f t="shared" si="70"/>
        <v>-55.242424242424249</v>
      </c>
      <c r="R395">
        <f t="shared" si="71"/>
        <v>646.00096050000002</v>
      </c>
      <c r="S395">
        <f t="shared" si="72"/>
        <v>225.00096049999999</v>
      </c>
      <c r="T395">
        <f t="shared" si="73"/>
        <v>211.00096049999999</v>
      </c>
      <c r="U395">
        <f t="shared" si="74"/>
        <v>210.00096049999999</v>
      </c>
      <c r="V395">
        <f t="shared" si="75"/>
        <v>-263.33237283333335</v>
      </c>
      <c r="W395">
        <f t="shared" si="76"/>
        <v>263.33429383333339</v>
      </c>
    </row>
    <row r="396" spans="1:23" ht="15" customHeight="1" x14ac:dyDescent="0.35">
      <c r="A396" t="str">
        <f>'Raw Data'!B394</f>
        <v>Snap-On Inc</v>
      </c>
      <c r="B396" t="str">
        <f>'Raw Data'!A394</f>
        <v>sna</v>
      </c>
      <c r="C396" t="str">
        <f>IF('Raw Data'!E394="N/A","Unclassified",TRIM(SUBSTITUTE('Raw Data'!E394," and "," &amp; ")))</f>
        <v>Machinery</v>
      </c>
      <c r="D396" s="17">
        <f>'Raw Data'!N394</f>
        <v>500</v>
      </c>
      <c r="E396" s="17">
        <f>'Raw Data'!O394</f>
        <v>300</v>
      </c>
      <c r="F396" s="17">
        <f>'Raw Data'!P394</f>
        <v>261</v>
      </c>
      <c r="G396" s="17">
        <f>'Raw Data'!Q394</f>
        <v>1061</v>
      </c>
      <c r="H396" s="18">
        <f>INDEX('Industry Stats'!$F$2:$F$49,MATCH($C396,'Industry Stats'!$A$2:$A$49,0))</f>
        <v>1048.047619047619</v>
      </c>
      <c r="I396" s="19">
        <f t="shared" si="66"/>
        <v>12.952380952380963</v>
      </c>
      <c r="J396" s="20">
        <f t="shared" si="67"/>
        <v>1.2358580580671553E-2</v>
      </c>
      <c r="K396" s="18">
        <f>INDEX('Industry Stats'!$C$2:$C$49,MATCH($C396,'Industry Stats'!$A$2:$A$49,0))</f>
        <v>459.57142857142856</v>
      </c>
      <c r="L396" s="19">
        <f t="shared" si="68"/>
        <v>40.428571428571445</v>
      </c>
      <c r="M396" s="18">
        <f>INDEX('Industry Stats'!$D$2:$D$49,MATCH($C396,'Industry Stats'!$A$2:$A$49,0))</f>
        <v>313.66666666666669</v>
      </c>
      <c r="N396" s="19">
        <f t="shared" si="69"/>
        <v>-13.666666666666686</v>
      </c>
      <c r="O396" s="18">
        <f>INDEX('Industry Stats'!$E$2:$E$49,MATCH($C396,'Industry Stats'!$A$2:$A$49,0))</f>
        <v>274.8095238095238</v>
      </c>
      <c r="P396" s="19">
        <f t="shared" si="70"/>
        <v>-13.809523809523796</v>
      </c>
      <c r="R396">
        <f t="shared" si="71"/>
        <v>1061.0009603999999</v>
      </c>
      <c r="S396">
        <f t="shared" si="72"/>
        <v>500.0009604</v>
      </c>
      <c r="T396">
        <f t="shared" si="73"/>
        <v>300.0009604</v>
      </c>
      <c r="U396">
        <f t="shared" si="74"/>
        <v>261.0009604</v>
      </c>
      <c r="V396">
        <f t="shared" si="75"/>
        <v>12.953341352380964</v>
      </c>
      <c r="W396">
        <f t="shared" si="76"/>
        <v>-12.951420552380963</v>
      </c>
    </row>
    <row r="397" spans="1:23" ht="15" customHeight="1" x14ac:dyDescent="0.35">
      <c r="A397" t="str">
        <f>'Raw Data'!B395</f>
        <v>Raytheon Technologies Corp</v>
      </c>
      <c r="B397" t="str">
        <f>'Raw Data'!A395</f>
        <v>rtx</v>
      </c>
      <c r="C397" t="str">
        <f>IF('Raw Data'!E395="N/A","Unclassified",TRIM(SUBSTITUTE('Raw Data'!E395," and "," &amp; ")))</f>
        <v>Aerospace &amp; Defense</v>
      </c>
      <c r="D397" s="17">
        <f>'Raw Data'!N395</f>
        <v>520</v>
      </c>
      <c r="E397" s="17">
        <f>'Raw Data'!O395</f>
        <v>330</v>
      </c>
      <c r="F397" s="17">
        <f>'Raw Data'!P395</f>
        <v>400</v>
      </c>
      <c r="G397" s="17">
        <f>'Raw Data'!Q395</f>
        <v>1250</v>
      </c>
      <c r="H397" s="18">
        <f>INDEX('Industry Stats'!$F$2:$F$49,MATCH($C397,'Industry Stats'!$A$2:$A$49,0))</f>
        <v>1048.1818181818182</v>
      </c>
      <c r="I397" s="19">
        <f t="shared" si="66"/>
        <v>201.81818181818176</v>
      </c>
      <c r="J397" s="20">
        <f t="shared" si="67"/>
        <v>0.19254119687771026</v>
      </c>
      <c r="K397" s="18">
        <f>INDEX('Industry Stats'!$C$2:$C$49,MATCH($C397,'Industry Stats'!$A$2:$A$49,0))</f>
        <v>461.36363636363637</v>
      </c>
      <c r="L397" s="19">
        <f t="shared" si="68"/>
        <v>58.636363636363626</v>
      </c>
      <c r="M397" s="18">
        <f>INDEX('Industry Stats'!$D$2:$D$49,MATCH($C397,'Industry Stats'!$A$2:$A$49,0))</f>
        <v>296.36363636363637</v>
      </c>
      <c r="N397" s="19">
        <f t="shared" si="69"/>
        <v>33.636363636363626</v>
      </c>
      <c r="O397" s="18">
        <f>INDEX('Industry Stats'!$E$2:$E$49,MATCH($C397,'Industry Stats'!$A$2:$A$49,0))</f>
        <v>290.45454545454544</v>
      </c>
      <c r="P397" s="19">
        <f t="shared" si="70"/>
        <v>109.54545454545456</v>
      </c>
      <c r="R397">
        <f t="shared" si="71"/>
        <v>1250.0009603000001</v>
      </c>
      <c r="S397">
        <f t="shared" si="72"/>
        <v>520.00096029999997</v>
      </c>
      <c r="T397">
        <f t="shared" si="73"/>
        <v>330.00096029999997</v>
      </c>
      <c r="U397">
        <f t="shared" si="74"/>
        <v>400.00096029999997</v>
      </c>
      <c r="V397">
        <f t="shared" si="75"/>
        <v>201.81914211818176</v>
      </c>
      <c r="W397">
        <f t="shared" si="76"/>
        <v>-201.81722151818175</v>
      </c>
    </row>
    <row r="398" spans="1:23" ht="15" customHeight="1" x14ac:dyDescent="0.35">
      <c r="A398" t="str">
        <f>'Raw Data'!B396</f>
        <v>Hartford Financial Services Group Inc</v>
      </c>
      <c r="B398" t="str">
        <f>'Raw Data'!A396</f>
        <v>hig</v>
      </c>
      <c r="C398" t="str">
        <f>IF('Raw Data'!E396="N/A","Unclassified",TRIM(SUBSTITUTE('Raw Data'!E396," and "," &amp; ")))</f>
        <v>Insurance</v>
      </c>
      <c r="D398" s="17">
        <f>'Raw Data'!N396</f>
        <v>500</v>
      </c>
      <c r="E398" s="17">
        <f>'Raw Data'!O396</f>
        <v>305</v>
      </c>
      <c r="F398" s="17">
        <f>'Raw Data'!P396</f>
        <v>305</v>
      </c>
      <c r="G398" s="17">
        <f>'Raw Data'!Q396</f>
        <v>1110</v>
      </c>
      <c r="H398" s="18">
        <f>INDEX('Industry Stats'!$F$2:$F$49,MATCH($C398,'Industry Stats'!$A$2:$A$49,0))</f>
        <v>1012.3703703703703</v>
      </c>
      <c r="I398" s="19">
        <f t="shared" si="66"/>
        <v>97.629629629629676</v>
      </c>
      <c r="J398" s="20">
        <f t="shared" si="67"/>
        <v>9.6436672276285995E-2</v>
      </c>
      <c r="K398" s="18">
        <f>INDEX('Industry Stats'!$C$2:$C$49,MATCH($C398,'Industry Stats'!$A$2:$A$49,0))</f>
        <v>425.25925925925924</v>
      </c>
      <c r="L398" s="19">
        <f t="shared" si="68"/>
        <v>74.740740740740762</v>
      </c>
      <c r="M398" s="18">
        <f>INDEX('Industry Stats'!$D$2:$D$49,MATCH($C398,'Industry Stats'!$A$2:$A$49,0))</f>
        <v>295.66666666666669</v>
      </c>
      <c r="N398" s="19">
        <f t="shared" si="69"/>
        <v>9.3333333333333144</v>
      </c>
      <c r="O398" s="18">
        <f>INDEX('Industry Stats'!$E$2:$E$49,MATCH($C398,'Industry Stats'!$A$2:$A$49,0))</f>
        <v>291.44444444444446</v>
      </c>
      <c r="P398" s="19">
        <f t="shared" si="70"/>
        <v>13.555555555555543</v>
      </c>
      <c r="R398">
        <f t="shared" si="71"/>
        <v>1110.0009602</v>
      </c>
      <c r="S398">
        <f t="shared" si="72"/>
        <v>500.00096020000001</v>
      </c>
      <c r="T398">
        <f t="shared" si="73"/>
        <v>305.00096020000001</v>
      </c>
      <c r="U398">
        <f t="shared" si="74"/>
        <v>305.00096020000001</v>
      </c>
      <c r="V398">
        <f t="shared" si="75"/>
        <v>97.63058982962967</v>
      </c>
      <c r="W398">
        <f t="shared" si="76"/>
        <v>-97.628669429629682</v>
      </c>
    </row>
    <row r="399" spans="1:23" ht="15" customHeight="1" x14ac:dyDescent="0.35">
      <c r="A399" t="str">
        <f>'Raw Data'!B397</f>
        <v>TE Connectivity Ltd</v>
      </c>
      <c r="B399" t="str">
        <f>'Raw Data'!A397</f>
        <v>tel</v>
      </c>
      <c r="C399" t="str">
        <f>IF('Raw Data'!E397="N/A","Unclassified",TRIM(SUBSTITUTE('Raw Data'!E397," and "," &amp; ")))</f>
        <v>Electrical Equipment</v>
      </c>
      <c r="D399" s="17">
        <f>'Raw Data'!N397</f>
        <v>200</v>
      </c>
      <c r="E399" s="17">
        <f>'Raw Data'!O397</f>
        <v>200</v>
      </c>
      <c r="F399" s="17">
        <f>'Raw Data'!P397</f>
        <v>200</v>
      </c>
      <c r="G399" s="17">
        <f>'Raw Data'!Q397</f>
        <v>600</v>
      </c>
      <c r="H399" s="18">
        <f>INDEX('Industry Stats'!$F$2:$F$49,MATCH($C399,'Industry Stats'!$A$2:$A$49,0))</f>
        <v>933</v>
      </c>
      <c r="I399" s="19">
        <f t="shared" si="66"/>
        <v>-333</v>
      </c>
      <c r="J399" s="20">
        <f t="shared" si="67"/>
        <v>-0.35691318327974275</v>
      </c>
      <c r="K399" s="18">
        <f>INDEX('Industry Stats'!$C$2:$C$49,MATCH($C399,'Industry Stats'!$A$2:$A$49,0))</f>
        <v>381.7037037037037</v>
      </c>
      <c r="L399" s="19">
        <f t="shared" si="68"/>
        <v>-181.7037037037037</v>
      </c>
      <c r="M399" s="18">
        <f>INDEX('Industry Stats'!$D$2:$D$49,MATCH($C399,'Industry Stats'!$A$2:$A$49,0))</f>
        <v>272.11111111111109</v>
      </c>
      <c r="N399" s="19">
        <f t="shared" si="69"/>
        <v>-72.111111111111086</v>
      </c>
      <c r="O399" s="18">
        <f>INDEX('Industry Stats'!$E$2:$E$49,MATCH($C399,'Industry Stats'!$A$2:$A$49,0))</f>
        <v>279.18518518518516</v>
      </c>
      <c r="P399" s="19">
        <f t="shared" si="70"/>
        <v>-79.185185185185162</v>
      </c>
      <c r="R399">
        <f t="shared" si="71"/>
        <v>600.00096010000004</v>
      </c>
      <c r="S399">
        <f t="shared" si="72"/>
        <v>200.00096009999999</v>
      </c>
      <c r="T399">
        <f t="shared" si="73"/>
        <v>200.00096009999999</v>
      </c>
      <c r="U399">
        <f t="shared" si="74"/>
        <v>200.00096009999999</v>
      </c>
      <c r="V399">
        <f t="shared" si="75"/>
        <v>-332.99903990000001</v>
      </c>
      <c r="W399">
        <f t="shared" si="76"/>
        <v>333.00096009999999</v>
      </c>
    </row>
    <row r="400" spans="1:23" ht="15" customHeight="1" x14ac:dyDescent="0.35">
      <c r="A400" t="str">
        <f>'Raw Data'!B398</f>
        <v>Teleflex Inc</v>
      </c>
      <c r="B400" t="str">
        <f>'Raw Data'!A398</f>
        <v>tfx</v>
      </c>
      <c r="C400" t="str">
        <f>IF('Raw Data'!E398="N/A","Unclassified",TRIM(SUBSTITUTE('Raw Data'!E398," and "," &amp; ")))</f>
        <v>Health Care</v>
      </c>
      <c r="D400" s="17">
        <f>'Raw Data'!N398</f>
        <v>200</v>
      </c>
      <c r="E400" s="17">
        <f>'Raw Data'!O398</f>
        <v>200</v>
      </c>
      <c r="F400" s="17">
        <f>'Raw Data'!P398</f>
        <v>200</v>
      </c>
      <c r="G400" s="17">
        <f>'Raw Data'!Q398</f>
        <v>600</v>
      </c>
      <c r="H400" s="18">
        <f>INDEX('Industry Stats'!$F$2:$F$49,MATCH($C400,'Industry Stats'!$A$2:$A$49,0))</f>
        <v>938.76470588235293</v>
      </c>
      <c r="I400" s="19">
        <f t="shared" si="66"/>
        <v>-338.76470588235293</v>
      </c>
      <c r="J400" s="20">
        <f t="shared" si="67"/>
        <v>-0.36086220941161729</v>
      </c>
      <c r="K400" s="18">
        <f>INDEX('Industry Stats'!$C$2:$C$49,MATCH($C400,'Industry Stats'!$A$2:$A$49,0))</f>
        <v>374.52941176470586</v>
      </c>
      <c r="L400" s="19">
        <f t="shared" si="68"/>
        <v>-174.52941176470586</v>
      </c>
      <c r="M400" s="18">
        <f>INDEX('Industry Stats'!$D$2:$D$49,MATCH($C400,'Industry Stats'!$A$2:$A$49,0))</f>
        <v>287.43137254901961</v>
      </c>
      <c r="N400" s="19">
        <f t="shared" si="69"/>
        <v>-87.431372549019613</v>
      </c>
      <c r="O400" s="18">
        <f>INDEX('Industry Stats'!$E$2:$E$49,MATCH($C400,'Industry Stats'!$A$2:$A$49,0))</f>
        <v>276.80392156862746</v>
      </c>
      <c r="P400" s="19">
        <f t="shared" si="70"/>
        <v>-76.803921568627459</v>
      </c>
      <c r="R400">
        <f t="shared" si="71"/>
        <v>600.00095999999996</v>
      </c>
      <c r="S400">
        <f t="shared" si="72"/>
        <v>200.00095999999999</v>
      </c>
      <c r="T400">
        <f t="shared" si="73"/>
        <v>200.00095999999999</v>
      </c>
      <c r="U400">
        <f t="shared" si="74"/>
        <v>200.00095999999999</v>
      </c>
      <c r="V400">
        <f t="shared" si="75"/>
        <v>-338.76374588235291</v>
      </c>
      <c r="W400">
        <f t="shared" si="76"/>
        <v>338.76566588235295</v>
      </c>
    </row>
    <row r="401" spans="1:23" ht="15" customHeight="1" x14ac:dyDescent="0.35">
      <c r="A401" t="str">
        <f>'Raw Data'!B399</f>
        <v>Truist Financial Corp</v>
      </c>
      <c r="B401" t="str">
        <f>'Raw Data'!A399</f>
        <v>tfc</v>
      </c>
      <c r="C401" t="str">
        <f>IF('Raw Data'!E399="N/A","Unclassified",TRIM(SUBSTITUTE('Raw Data'!E399," and "," &amp; ")))</f>
        <v>Banking</v>
      </c>
      <c r="D401" s="17">
        <f>'Raw Data'!N399</f>
        <v>480</v>
      </c>
      <c r="E401" s="17">
        <f>'Raw Data'!O399</f>
        <v>308</v>
      </c>
      <c r="F401" s="17">
        <f>'Raw Data'!P399</f>
        <v>300</v>
      </c>
      <c r="G401" s="17">
        <f>'Raw Data'!Q399</f>
        <v>1088</v>
      </c>
      <c r="H401" s="18">
        <f>INDEX('Industry Stats'!$F$2:$F$49,MATCH($C401,'Industry Stats'!$A$2:$A$49,0))</f>
        <v>898.31034482758616</v>
      </c>
      <c r="I401" s="19">
        <f t="shared" si="66"/>
        <v>189.68965517241384</v>
      </c>
      <c r="J401" s="20">
        <f t="shared" si="67"/>
        <v>0.21116271928140959</v>
      </c>
      <c r="K401" s="18">
        <f>INDEX('Industry Stats'!$C$2:$C$49,MATCH($C401,'Industry Stats'!$A$2:$A$49,0))</f>
        <v>341.48275862068965</v>
      </c>
      <c r="L401" s="19">
        <f t="shared" si="68"/>
        <v>138.51724137931035</v>
      </c>
      <c r="M401" s="18">
        <f>INDEX('Industry Stats'!$D$2:$D$49,MATCH($C401,'Industry Stats'!$A$2:$A$49,0))</f>
        <v>292.34482758620692</v>
      </c>
      <c r="N401" s="19">
        <f t="shared" si="69"/>
        <v>15.655172413793082</v>
      </c>
      <c r="O401" s="18">
        <f>INDEX('Industry Stats'!$E$2:$E$49,MATCH($C401,'Industry Stats'!$A$2:$A$49,0))</f>
        <v>264.48275862068965</v>
      </c>
      <c r="P401" s="19">
        <f t="shared" si="70"/>
        <v>35.517241379310349</v>
      </c>
      <c r="R401">
        <f t="shared" si="71"/>
        <v>1088.0009599</v>
      </c>
      <c r="S401">
        <f t="shared" si="72"/>
        <v>480.0009599</v>
      </c>
      <c r="T401">
        <f t="shared" si="73"/>
        <v>308.0009599</v>
      </c>
      <c r="U401">
        <f t="shared" si="74"/>
        <v>300.0009599</v>
      </c>
      <c r="V401">
        <f t="shared" si="75"/>
        <v>189.69061507241383</v>
      </c>
      <c r="W401">
        <f t="shared" si="76"/>
        <v>-189.68869527241384</v>
      </c>
    </row>
    <row r="402" spans="1:23" ht="15" customHeight="1" x14ac:dyDescent="0.35">
      <c r="A402" t="str">
        <f>'Raw Data'!B400</f>
        <v>Teledyne Technologies Inc</v>
      </c>
      <c r="B402" t="str">
        <f>'Raw Data'!A400</f>
        <v>tdy</v>
      </c>
      <c r="C402" t="str">
        <f>IF('Raw Data'!E400="N/A","Unclassified",TRIM(SUBSTITUTE('Raw Data'!E400," and "," &amp; ")))</f>
        <v>Electrical Equipment</v>
      </c>
      <c r="D402" s="17">
        <f>'Raw Data'!N400</f>
        <v>500</v>
      </c>
      <c r="E402" s="17">
        <f>'Raw Data'!O400</f>
        <v>300</v>
      </c>
      <c r="F402" s="17">
        <f>'Raw Data'!P400</f>
        <v>300</v>
      </c>
      <c r="G402" s="17">
        <f>'Raw Data'!Q400</f>
        <v>1100</v>
      </c>
      <c r="H402" s="18">
        <f>INDEX('Industry Stats'!$F$2:$F$49,MATCH($C402,'Industry Stats'!$A$2:$A$49,0))</f>
        <v>933</v>
      </c>
      <c r="I402" s="19">
        <f t="shared" si="66"/>
        <v>167</v>
      </c>
      <c r="J402" s="20">
        <f t="shared" si="67"/>
        <v>0.17899249732047159</v>
      </c>
      <c r="K402" s="18">
        <f>INDEX('Industry Stats'!$C$2:$C$49,MATCH($C402,'Industry Stats'!$A$2:$A$49,0))</f>
        <v>381.7037037037037</v>
      </c>
      <c r="L402" s="19">
        <f t="shared" si="68"/>
        <v>118.2962962962963</v>
      </c>
      <c r="M402" s="18">
        <f>INDEX('Industry Stats'!$D$2:$D$49,MATCH($C402,'Industry Stats'!$A$2:$A$49,0))</f>
        <v>272.11111111111109</v>
      </c>
      <c r="N402" s="19">
        <f t="shared" si="69"/>
        <v>27.888888888888914</v>
      </c>
      <c r="O402" s="18">
        <f>INDEX('Industry Stats'!$E$2:$E$49,MATCH($C402,'Industry Stats'!$A$2:$A$49,0))</f>
        <v>279.18518518518516</v>
      </c>
      <c r="P402" s="19">
        <f t="shared" si="70"/>
        <v>20.814814814814838</v>
      </c>
      <c r="R402">
        <f t="shared" si="71"/>
        <v>1100.0009597999999</v>
      </c>
      <c r="S402">
        <f t="shared" si="72"/>
        <v>500.00095979999998</v>
      </c>
      <c r="T402">
        <f t="shared" si="73"/>
        <v>300.00095979999998</v>
      </c>
      <c r="U402">
        <f t="shared" si="74"/>
        <v>300.00095979999998</v>
      </c>
      <c r="V402">
        <f t="shared" si="75"/>
        <v>167.0009598</v>
      </c>
      <c r="W402">
        <f t="shared" si="76"/>
        <v>-166.9990402</v>
      </c>
    </row>
    <row r="403" spans="1:23" ht="15" customHeight="1" x14ac:dyDescent="0.35">
      <c r="A403" t="str">
        <f>'Raw Data'!B401</f>
        <v>Target Corp</v>
      </c>
      <c r="B403" t="str">
        <f>'Raw Data'!A401</f>
        <v>tgt</v>
      </c>
      <c r="C403" t="str">
        <f>IF('Raw Data'!E401="N/A","Unclassified",TRIM(SUBSTITUTE('Raw Data'!E401," and "," &amp; ")))</f>
        <v>Retail</v>
      </c>
      <c r="D403" s="17">
        <f>'Raw Data'!N401</f>
        <v>550</v>
      </c>
      <c r="E403" s="17">
        <f>'Raw Data'!O401</f>
        <v>342</v>
      </c>
      <c r="F403" s="17">
        <f>'Raw Data'!P401</f>
        <v>313</v>
      </c>
      <c r="G403" s="17">
        <f>'Raw Data'!Q401</f>
        <v>1205</v>
      </c>
      <c r="H403" s="18">
        <f>INDEX('Industry Stats'!$F$2:$F$49,MATCH($C403,'Industry Stats'!$A$2:$A$49,0))</f>
        <v>918.57692307692309</v>
      </c>
      <c r="I403" s="19">
        <f t="shared" si="66"/>
        <v>286.42307692307691</v>
      </c>
      <c r="J403" s="20">
        <f t="shared" si="67"/>
        <v>0.31181174894276259</v>
      </c>
      <c r="K403" s="18">
        <f>INDEX('Industry Stats'!$C$2:$C$49,MATCH($C403,'Industry Stats'!$A$2:$A$49,0))</f>
        <v>380.30769230769232</v>
      </c>
      <c r="L403" s="19">
        <f t="shared" si="68"/>
        <v>169.69230769230768</v>
      </c>
      <c r="M403" s="18">
        <f>INDEX('Industry Stats'!$D$2:$D$49,MATCH($C403,'Industry Stats'!$A$2:$A$49,0))</f>
        <v>274.96153846153845</v>
      </c>
      <c r="N403" s="19">
        <f t="shared" si="69"/>
        <v>67.038461538461547</v>
      </c>
      <c r="O403" s="18">
        <f>INDEX('Industry Stats'!$E$2:$E$49,MATCH($C403,'Industry Stats'!$A$2:$A$49,0))</f>
        <v>263.30769230769232</v>
      </c>
      <c r="P403" s="19">
        <f t="shared" si="70"/>
        <v>49.692307692307679</v>
      </c>
      <c r="R403">
        <f t="shared" si="71"/>
        <v>1205.0009597000001</v>
      </c>
      <c r="S403">
        <f t="shared" si="72"/>
        <v>550.00095969999995</v>
      </c>
      <c r="T403">
        <f t="shared" si="73"/>
        <v>342.00095970000001</v>
      </c>
      <c r="U403">
        <f t="shared" si="74"/>
        <v>313.00095970000001</v>
      </c>
      <c r="V403">
        <f t="shared" si="75"/>
        <v>286.42403662307692</v>
      </c>
      <c r="W403">
        <f t="shared" si="76"/>
        <v>-286.4221172230769</v>
      </c>
    </row>
    <row r="404" spans="1:23" ht="15" customHeight="1" x14ac:dyDescent="0.35">
      <c r="A404" t="str">
        <f>'Raw Data'!B402</f>
        <v>TJX Companies Inc</v>
      </c>
      <c r="B404" t="str">
        <f>'Raw Data'!A402</f>
        <v>tjx</v>
      </c>
      <c r="C404" t="str">
        <f>IF('Raw Data'!E402="N/A","Unclassified",TRIM(SUBSTITUTE('Raw Data'!E402," and "," &amp; ")))</f>
        <v>Retail</v>
      </c>
      <c r="D404" s="17">
        <f>'Raw Data'!N402</f>
        <v>500</v>
      </c>
      <c r="E404" s="17">
        <f>'Raw Data'!O402</f>
        <v>300</v>
      </c>
      <c r="F404" s="17">
        <f>'Raw Data'!P402</f>
        <v>300</v>
      </c>
      <c r="G404" s="17">
        <f>'Raw Data'!Q402</f>
        <v>1100</v>
      </c>
      <c r="H404" s="18">
        <f>INDEX('Industry Stats'!$F$2:$F$49,MATCH($C404,'Industry Stats'!$A$2:$A$49,0))</f>
        <v>918.57692307692309</v>
      </c>
      <c r="I404" s="19">
        <f t="shared" si="66"/>
        <v>181.42307692307691</v>
      </c>
      <c r="J404" s="20">
        <f t="shared" si="67"/>
        <v>0.19750450110957582</v>
      </c>
      <c r="K404" s="18">
        <f>INDEX('Industry Stats'!$C$2:$C$49,MATCH($C404,'Industry Stats'!$A$2:$A$49,0))</f>
        <v>380.30769230769232</v>
      </c>
      <c r="L404" s="19">
        <f t="shared" si="68"/>
        <v>119.69230769230768</v>
      </c>
      <c r="M404" s="18">
        <f>INDEX('Industry Stats'!$D$2:$D$49,MATCH($C404,'Industry Stats'!$A$2:$A$49,0))</f>
        <v>274.96153846153845</v>
      </c>
      <c r="N404" s="19">
        <f t="shared" si="69"/>
        <v>25.038461538461547</v>
      </c>
      <c r="O404" s="18">
        <f>INDEX('Industry Stats'!$E$2:$E$49,MATCH($C404,'Industry Stats'!$A$2:$A$49,0))</f>
        <v>263.30769230769232</v>
      </c>
      <c r="P404" s="19">
        <f t="shared" si="70"/>
        <v>36.692307692307679</v>
      </c>
      <c r="R404">
        <f t="shared" si="71"/>
        <v>1100.0009596</v>
      </c>
      <c r="S404">
        <f t="shared" si="72"/>
        <v>500.00095959999999</v>
      </c>
      <c r="T404">
        <f t="shared" si="73"/>
        <v>300.00095959999999</v>
      </c>
      <c r="U404">
        <f t="shared" si="74"/>
        <v>300.00095959999999</v>
      </c>
      <c r="V404">
        <f t="shared" si="75"/>
        <v>181.42403652307689</v>
      </c>
      <c r="W404">
        <f t="shared" si="76"/>
        <v>-181.42211732307692</v>
      </c>
    </row>
    <row r="405" spans="1:23" ht="15" customHeight="1" x14ac:dyDescent="0.35">
      <c r="A405" t="str">
        <f>'Raw Data'!B403</f>
        <v>Tapestry Inc</v>
      </c>
      <c r="B405" t="str">
        <f>'Raw Data'!A403</f>
        <v>tpr</v>
      </c>
      <c r="C405" t="str">
        <f>IF('Raw Data'!E403="N/A","Unclassified",TRIM(SUBSTITUTE('Raw Data'!E403," and "," &amp; ")))</f>
        <v>Textiles Apparel &amp; Luxury Goods</v>
      </c>
      <c r="D405" s="17">
        <f>'Raw Data'!N403</f>
        <v>483</v>
      </c>
      <c r="E405" s="17">
        <f>'Raw Data'!O403</f>
        <v>310</v>
      </c>
      <c r="F405" s="17">
        <f>'Raw Data'!P403</f>
        <v>300</v>
      </c>
      <c r="G405" s="17">
        <f>'Raw Data'!Q403</f>
        <v>1093</v>
      </c>
      <c r="H405" s="18">
        <f>INDEX('Industry Stats'!$F$2:$F$49,MATCH($C405,'Industry Stats'!$A$2:$A$49,0))</f>
        <v>944.44444444444446</v>
      </c>
      <c r="I405" s="19">
        <f t="shared" si="66"/>
        <v>148.55555555555554</v>
      </c>
      <c r="J405" s="20">
        <f t="shared" si="67"/>
        <v>0.15729411764705881</v>
      </c>
      <c r="K405" s="18">
        <f>INDEX('Industry Stats'!$C$2:$C$49,MATCH($C405,'Industry Stats'!$A$2:$A$49,0))</f>
        <v>382.11111111111109</v>
      </c>
      <c r="L405" s="19">
        <f t="shared" si="68"/>
        <v>100.88888888888891</v>
      </c>
      <c r="M405" s="18">
        <f>INDEX('Industry Stats'!$D$2:$D$49,MATCH($C405,'Industry Stats'!$A$2:$A$49,0))</f>
        <v>280</v>
      </c>
      <c r="N405" s="19">
        <f t="shared" si="69"/>
        <v>30</v>
      </c>
      <c r="O405" s="18">
        <f>INDEX('Industry Stats'!$E$2:$E$49,MATCH($C405,'Industry Stats'!$A$2:$A$49,0))</f>
        <v>282.33333333333331</v>
      </c>
      <c r="P405" s="19">
        <f t="shared" si="70"/>
        <v>17.666666666666686</v>
      </c>
      <c r="R405">
        <f t="shared" si="71"/>
        <v>1093.0009594999999</v>
      </c>
      <c r="S405">
        <f t="shared" si="72"/>
        <v>483.00095950000002</v>
      </c>
      <c r="T405">
        <f t="shared" si="73"/>
        <v>310.00095950000002</v>
      </c>
      <c r="U405">
        <f t="shared" si="74"/>
        <v>300.00095950000002</v>
      </c>
      <c r="V405">
        <f t="shared" si="75"/>
        <v>148.55651505555554</v>
      </c>
      <c r="W405">
        <f t="shared" si="76"/>
        <v>-148.55459605555555</v>
      </c>
    </row>
    <row r="406" spans="1:23" ht="15" customHeight="1" x14ac:dyDescent="0.35">
      <c r="A406" t="str">
        <f>'Raw Data'!B404</f>
        <v>Travelers Companies Inc</v>
      </c>
      <c r="B406" t="str">
        <f>'Raw Data'!A404</f>
        <v>trv</v>
      </c>
      <c r="C406" t="str">
        <f>IF('Raw Data'!E404="N/A","Unclassified",TRIM(SUBSTITUTE('Raw Data'!E404," and "," &amp; ")))</f>
        <v>Insurance</v>
      </c>
      <c r="D406" s="17">
        <f>'Raw Data'!N404</f>
        <v>500</v>
      </c>
      <c r="E406" s="17">
        <f>'Raw Data'!O404</f>
        <v>300</v>
      </c>
      <c r="F406" s="17">
        <f>'Raw Data'!P404</f>
        <v>300</v>
      </c>
      <c r="G406" s="17">
        <f>'Raw Data'!Q404</f>
        <v>1100</v>
      </c>
      <c r="H406" s="18">
        <f>INDEX('Industry Stats'!$F$2:$F$49,MATCH($C406,'Industry Stats'!$A$2:$A$49,0))</f>
        <v>1012.3703703703703</v>
      </c>
      <c r="I406" s="19">
        <f t="shared" si="66"/>
        <v>87.629629629629676</v>
      </c>
      <c r="J406" s="20">
        <f t="shared" si="67"/>
        <v>8.655886441794107E-2</v>
      </c>
      <c r="K406" s="18">
        <f>INDEX('Industry Stats'!$C$2:$C$49,MATCH($C406,'Industry Stats'!$A$2:$A$49,0))</f>
        <v>425.25925925925924</v>
      </c>
      <c r="L406" s="19">
        <f t="shared" si="68"/>
        <v>74.740740740740762</v>
      </c>
      <c r="M406" s="18">
        <f>INDEX('Industry Stats'!$D$2:$D$49,MATCH($C406,'Industry Stats'!$A$2:$A$49,0))</f>
        <v>295.66666666666669</v>
      </c>
      <c r="N406" s="19">
        <f t="shared" si="69"/>
        <v>4.3333333333333144</v>
      </c>
      <c r="O406" s="18">
        <f>INDEX('Industry Stats'!$E$2:$E$49,MATCH($C406,'Industry Stats'!$A$2:$A$49,0))</f>
        <v>291.44444444444446</v>
      </c>
      <c r="P406" s="19">
        <f t="shared" si="70"/>
        <v>8.5555555555555429</v>
      </c>
      <c r="R406">
        <f t="shared" si="71"/>
        <v>1100.0009594000001</v>
      </c>
      <c r="S406">
        <f t="shared" si="72"/>
        <v>500.0009594</v>
      </c>
      <c r="T406">
        <f t="shared" si="73"/>
        <v>300.0009594</v>
      </c>
      <c r="U406">
        <f t="shared" si="74"/>
        <v>300.0009594</v>
      </c>
      <c r="V406">
        <f t="shared" si="75"/>
        <v>87.630589029629675</v>
      </c>
      <c r="W406">
        <f t="shared" si="76"/>
        <v>-87.628670229629677</v>
      </c>
    </row>
    <row r="407" spans="1:23" ht="15" customHeight="1" x14ac:dyDescent="0.35">
      <c r="A407" t="str">
        <f>'Raw Data'!B405</f>
        <v>Thermo Fisher Scientific Inc</v>
      </c>
      <c r="B407" t="str">
        <f>'Raw Data'!A405</f>
        <v>tmo</v>
      </c>
      <c r="C407" t="str">
        <f>IF('Raw Data'!E405="N/A","Unclassified",TRIM(SUBSTITUTE('Raw Data'!E405," and "," &amp; ")))</f>
        <v>Life Sciences Tools &amp; Services</v>
      </c>
      <c r="D407" s="17">
        <f>'Raw Data'!N405</f>
        <v>527</v>
      </c>
      <c r="E407" s="17">
        <f>'Raw Data'!O405</f>
        <v>332</v>
      </c>
      <c r="F407" s="17">
        <f>'Raw Data'!P405</f>
        <v>280</v>
      </c>
      <c r="G407" s="17">
        <f>'Raw Data'!Q405</f>
        <v>1139</v>
      </c>
      <c r="H407" s="18">
        <f>INDEX('Industry Stats'!$F$2:$F$49,MATCH($C407,'Industry Stats'!$A$2:$A$49,0))</f>
        <v>993.125</v>
      </c>
      <c r="I407" s="19">
        <f t="shared" si="66"/>
        <v>145.875</v>
      </c>
      <c r="J407" s="20">
        <f t="shared" si="67"/>
        <v>0.14688483322844556</v>
      </c>
      <c r="K407" s="18">
        <f>INDEX('Industry Stats'!$C$2:$C$49,MATCH($C407,'Industry Stats'!$A$2:$A$49,0))</f>
        <v>421.375</v>
      </c>
      <c r="L407" s="19">
        <f t="shared" si="68"/>
        <v>105.625</v>
      </c>
      <c r="M407" s="18">
        <f>INDEX('Industry Stats'!$D$2:$D$49,MATCH($C407,'Industry Stats'!$A$2:$A$49,0))</f>
        <v>294.5</v>
      </c>
      <c r="N407" s="19">
        <f t="shared" si="69"/>
        <v>37.5</v>
      </c>
      <c r="O407" s="18">
        <f>INDEX('Industry Stats'!$E$2:$E$49,MATCH($C407,'Industry Stats'!$A$2:$A$49,0))</f>
        <v>277.25</v>
      </c>
      <c r="P407" s="19">
        <f t="shared" si="70"/>
        <v>2.75</v>
      </c>
      <c r="R407">
        <f t="shared" si="71"/>
        <v>1139.0009593</v>
      </c>
      <c r="S407">
        <f t="shared" si="72"/>
        <v>527.00095929999998</v>
      </c>
      <c r="T407">
        <f t="shared" si="73"/>
        <v>332.00095929999998</v>
      </c>
      <c r="U407">
        <f t="shared" si="74"/>
        <v>280.00095929999998</v>
      </c>
      <c r="V407">
        <f t="shared" si="75"/>
        <v>145.87595930000001</v>
      </c>
      <c r="W407">
        <f t="shared" si="76"/>
        <v>-145.87404069999999</v>
      </c>
    </row>
    <row r="408" spans="1:23" ht="15" customHeight="1" x14ac:dyDescent="0.35">
      <c r="A408" t="str">
        <f>'Raw Data'!B406</f>
        <v>Trane Technologies PLC</v>
      </c>
      <c r="B408" t="str">
        <f>'Raw Data'!A406</f>
        <v>tt</v>
      </c>
      <c r="C408" t="str">
        <f>IF('Raw Data'!E406="N/A","Unclassified",TRIM(SUBSTITUTE('Raw Data'!E406," and "," &amp; ")))</f>
        <v>Building</v>
      </c>
      <c r="D408" s="17">
        <f>'Raw Data'!N406</f>
        <v>700</v>
      </c>
      <c r="E408" s="17">
        <f>'Raw Data'!O406</f>
        <v>389</v>
      </c>
      <c r="F408" s="17">
        <f>'Raw Data'!P406</f>
        <v>320</v>
      </c>
      <c r="G408" s="17">
        <f>'Raw Data'!Q406</f>
        <v>1409</v>
      </c>
      <c r="H408" s="18">
        <f>INDEX('Industry Stats'!$F$2:$F$49,MATCH($C408,'Industry Stats'!$A$2:$A$49,0))</f>
        <v>1074.2</v>
      </c>
      <c r="I408" s="19">
        <f t="shared" si="66"/>
        <v>334.79999999999995</v>
      </c>
      <c r="J408" s="20">
        <f t="shared" si="67"/>
        <v>0.31167380376093834</v>
      </c>
      <c r="K408" s="18">
        <f>INDEX('Industry Stats'!$C$2:$C$49,MATCH($C408,'Industry Stats'!$A$2:$A$49,0))</f>
        <v>476.7</v>
      </c>
      <c r="L408" s="19">
        <f t="shared" si="68"/>
        <v>223.3</v>
      </c>
      <c r="M408" s="18">
        <f>INDEX('Industry Stats'!$D$2:$D$49,MATCH($C408,'Industry Stats'!$A$2:$A$49,0))</f>
        <v>305.10000000000002</v>
      </c>
      <c r="N408" s="19">
        <f t="shared" si="69"/>
        <v>83.899999999999977</v>
      </c>
      <c r="O408" s="18">
        <f>INDEX('Industry Stats'!$E$2:$E$49,MATCH($C408,'Industry Stats'!$A$2:$A$49,0))</f>
        <v>292.39999999999998</v>
      </c>
      <c r="P408" s="19">
        <f t="shared" si="70"/>
        <v>27.600000000000023</v>
      </c>
      <c r="R408">
        <f t="shared" si="71"/>
        <v>1409.0009591999999</v>
      </c>
      <c r="S408">
        <f t="shared" si="72"/>
        <v>700.00095920000001</v>
      </c>
      <c r="T408">
        <f t="shared" si="73"/>
        <v>389.00095920000001</v>
      </c>
      <c r="U408">
        <f t="shared" si="74"/>
        <v>320.00095920000001</v>
      </c>
      <c r="V408">
        <f t="shared" si="75"/>
        <v>334.80095919999997</v>
      </c>
      <c r="W408">
        <f t="shared" si="76"/>
        <v>-334.79904079999994</v>
      </c>
    </row>
    <row r="409" spans="1:23" ht="15" customHeight="1" x14ac:dyDescent="0.35">
      <c r="A409" t="str">
        <f>'Raw Data'!B407</f>
        <v>Tyson Foods Inc</v>
      </c>
      <c r="B409" t="str">
        <f>'Raw Data'!A407</f>
        <v>tsn</v>
      </c>
      <c r="C409" t="str">
        <f>IF('Raw Data'!E407="N/A","Unclassified",TRIM(SUBSTITUTE('Raw Data'!E407," and "," &amp; ")))</f>
        <v>Food Products</v>
      </c>
      <c r="D409" s="17">
        <f>'Raw Data'!N407</f>
        <v>530</v>
      </c>
      <c r="E409" s="17">
        <f>'Raw Data'!O407</f>
        <v>374</v>
      </c>
      <c r="F409" s="17">
        <f>'Raw Data'!P407</f>
        <v>340</v>
      </c>
      <c r="G409" s="17">
        <f>'Raw Data'!Q407</f>
        <v>1244</v>
      </c>
      <c r="H409" s="18">
        <f>INDEX('Industry Stats'!$F$2:$F$49,MATCH($C409,'Industry Stats'!$A$2:$A$49,0))</f>
        <v>1131.0714285714287</v>
      </c>
      <c r="I409" s="19">
        <f t="shared" si="66"/>
        <v>112.92857142857133</v>
      </c>
      <c r="J409" s="20">
        <f t="shared" si="67"/>
        <v>9.9842121881907067E-2</v>
      </c>
      <c r="K409" s="18">
        <f>INDEX('Industry Stats'!$C$2:$C$49,MATCH($C409,'Industry Stats'!$A$2:$A$49,0))</f>
        <v>516.57142857142856</v>
      </c>
      <c r="L409" s="19">
        <f t="shared" si="68"/>
        <v>13.428571428571445</v>
      </c>
      <c r="M409" s="18">
        <f>INDEX('Industry Stats'!$D$2:$D$49,MATCH($C409,'Industry Stats'!$A$2:$A$49,0))</f>
        <v>311.28571428571428</v>
      </c>
      <c r="N409" s="19">
        <f t="shared" si="69"/>
        <v>62.714285714285722</v>
      </c>
      <c r="O409" s="18">
        <f>INDEX('Industry Stats'!$E$2:$E$49,MATCH($C409,'Industry Stats'!$A$2:$A$49,0))</f>
        <v>303.21428571428572</v>
      </c>
      <c r="P409" s="19">
        <f t="shared" si="70"/>
        <v>36.785714285714278</v>
      </c>
      <c r="R409">
        <f t="shared" si="71"/>
        <v>1244.0009591</v>
      </c>
      <c r="S409">
        <f t="shared" si="72"/>
        <v>530.00095910000005</v>
      </c>
      <c r="T409">
        <f t="shared" si="73"/>
        <v>374.00095909999999</v>
      </c>
      <c r="U409">
        <f t="shared" si="74"/>
        <v>340.00095909999999</v>
      </c>
      <c r="V409">
        <f t="shared" si="75"/>
        <v>112.92953052857133</v>
      </c>
      <c r="W409">
        <f t="shared" si="76"/>
        <v>-112.92761232857133</v>
      </c>
    </row>
    <row r="410" spans="1:23" ht="15" customHeight="1" x14ac:dyDescent="0.35">
      <c r="A410" t="str">
        <f>'Raw Data'!B408</f>
        <v>Tyler Technologies Inc</v>
      </c>
      <c r="B410" t="str">
        <f>'Raw Data'!A408</f>
        <v>tyl</v>
      </c>
      <c r="C410" t="str">
        <f>IF('Raw Data'!E408="N/A","Unclassified",TRIM(SUBSTITUTE('Raw Data'!E408," and "," &amp; ")))</f>
        <v>Technology</v>
      </c>
      <c r="D410" s="17">
        <f>'Raw Data'!N408</f>
        <v>400</v>
      </c>
      <c r="E410" s="17">
        <f>'Raw Data'!O408</f>
        <v>306</v>
      </c>
      <c r="F410" s="17">
        <f>'Raw Data'!P408</f>
        <v>305</v>
      </c>
      <c r="G410" s="17">
        <f>'Raw Data'!Q408</f>
        <v>1011</v>
      </c>
      <c r="H410" s="18">
        <f>INDEX('Industry Stats'!$F$2:$F$49,MATCH($C410,'Industry Stats'!$A$2:$A$49,0))</f>
        <v>1031.3174603174602</v>
      </c>
      <c r="I410" s="19">
        <f t="shared" si="66"/>
        <v>-20.317460317460245</v>
      </c>
      <c r="J410" s="20">
        <f t="shared" si="67"/>
        <v>-1.9700490973173404E-2</v>
      </c>
      <c r="K410" s="18">
        <f>INDEX('Industry Stats'!$C$2:$C$49,MATCH($C410,'Industry Stats'!$A$2:$A$49,0))</f>
        <v>438.11111111111109</v>
      </c>
      <c r="L410" s="19">
        <f t="shared" si="68"/>
        <v>-38.111111111111086</v>
      </c>
      <c r="M410" s="18">
        <f>INDEX('Industry Stats'!$D$2:$D$49,MATCH($C410,'Industry Stats'!$A$2:$A$49,0))</f>
        <v>307.90476190476193</v>
      </c>
      <c r="N410" s="19">
        <f t="shared" si="69"/>
        <v>-1.9047619047619264</v>
      </c>
      <c r="O410" s="18">
        <f>INDEX('Industry Stats'!$E$2:$E$49,MATCH($C410,'Industry Stats'!$A$2:$A$49,0))</f>
        <v>285.30158730158729</v>
      </c>
      <c r="P410" s="19">
        <f t="shared" si="70"/>
        <v>19.69841269841271</v>
      </c>
      <c r="R410">
        <f t="shared" si="71"/>
        <v>1011.000959</v>
      </c>
      <c r="S410">
        <f t="shared" si="72"/>
        <v>400.00095900000002</v>
      </c>
      <c r="T410">
        <f t="shared" si="73"/>
        <v>306.00095900000002</v>
      </c>
      <c r="U410">
        <f t="shared" si="74"/>
        <v>305.00095900000002</v>
      </c>
      <c r="V410">
        <f t="shared" si="75"/>
        <v>-20.316501317460244</v>
      </c>
      <c r="W410">
        <f t="shared" si="76"/>
        <v>20.318419317460247</v>
      </c>
    </row>
    <row r="411" spans="1:23" ht="15" customHeight="1" x14ac:dyDescent="0.35">
      <c r="A411" t="str">
        <f>'Raw Data'!B409</f>
        <v>Textron Inc</v>
      </c>
      <c r="B411" t="str">
        <f>'Raw Data'!A409</f>
        <v>txt</v>
      </c>
      <c r="C411" t="str">
        <f>IF('Raw Data'!E409="N/A","Unclassified",TRIM(SUBSTITUTE('Raw Data'!E409," and "," &amp; ")))</f>
        <v>Aerospace &amp; Defense</v>
      </c>
      <c r="D411" s="17">
        <f>'Raw Data'!N409</f>
        <v>500</v>
      </c>
      <c r="E411" s="17">
        <f>'Raw Data'!O409</f>
        <v>300</v>
      </c>
      <c r="F411" s="17">
        <f>'Raw Data'!P409</f>
        <v>200</v>
      </c>
      <c r="G411" s="17">
        <f>'Raw Data'!Q409</f>
        <v>1000</v>
      </c>
      <c r="H411" s="18">
        <f>INDEX('Industry Stats'!$F$2:$F$49,MATCH($C411,'Industry Stats'!$A$2:$A$49,0))</f>
        <v>1048.1818181818182</v>
      </c>
      <c r="I411" s="19">
        <f t="shared" si="66"/>
        <v>-48.181818181818244</v>
      </c>
      <c r="J411" s="20">
        <f t="shared" si="67"/>
        <v>-4.5967042497831803E-2</v>
      </c>
      <c r="K411" s="18">
        <f>INDEX('Industry Stats'!$C$2:$C$49,MATCH($C411,'Industry Stats'!$A$2:$A$49,0))</f>
        <v>461.36363636363637</v>
      </c>
      <c r="L411" s="19">
        <f t="shared" si="68"/>
        <v>38.636363636363626</v>
      </c>
      <c r="M411" s="18">
        <f>INDEX('Industry Stats'!$D$2:$D$49,MATCH($C411,'Industry Stats'!$A$2:$A$49,0))</f>
        <v>296.36363636363637</v>
      </c>
      <c r="N411" s="19">
        <f t="shared" si="69"/>
        <v>3.636363636363626</v>
      </c>
      <c r="O411" s="18">
        <f>INDEX('Industry Stats'!$E$2:$E$49,MATCH($C411,'Industry Stats'!$A$2:$A$49,0))</f>
        <v>290.45454545454544</v>
      </c>
      <c r="P411" s="19">
        <f t="shared" si="70"/>
        <v>-90.454545454545439</v>
      </c>
      <c r="R411">
        <f t="shared" si="71"/>
        <v>1000.0009589</v>
      </c>
      <c r="S411">
        <f t="shared" si="72"/>
        <v>500.0009589</v>
      </c>
      <c r="T411">
        <f t="shared" si="73"/>
        <v>300.0009589</v>
      </c>
      <c r="U411">
        <f t="shared" si="74"/>
        <v>200.0009589</v>
      </c>
      <c r="V411">
        <f t="shared" si="75"/>
        <v>-48.180859281818243</v>
      </c>
      <c r="W411">
        <f t="shared" si="76"/>
        <v>48.182777081818244</v>
      </c>
    </row>
    <row r="412" spans="1:23" ht="15" customHeight="1" x14ac:dyDescent="0.35">
      <c r="A412" t="str">
        <f>'Raw Data'!B410</f>
        <v>UnitedHealth Group Inc</v>
      </c>
      <c r="B412" t="str">
        <f>'Raw Data'!A410</f>
        <v>unh</v>
      </c>
      <c r="C412" t="str">
        <f>IF('Raw Data'!E410="N/A","Unclassified",TRIM(SUBSTITUTE('Raw Data'!E410," and "," &amp; ")))</f>
        <v>Health Care</v>
      </c>
      <c r="D412" s="17">
        <f>'Raw Data'!N410</f>
        <v>500</v>
      </c>
      <c r="E412" s="17">
        <f>'Raw Data'!O410</f>
        <v>300</v>
      </c>
      <c r="F412" s="17">
        <f>'Raw Data'!P410</f>
        <v>300</v>
      </c>
      <c r="G412" s="17">
        <f>'Raw Data'!Q410</f>
        <v>1100</v>
      </c>
      <c r="H412" s="18">
        <f>INDEX('Industry Stats'!$F$2:$F$49,MATCH($C412,'Industry Stats'!$A$2:$A$49,0))</f>
        <v>938.76470588235293</v>
      </c>
      <c r="I412" s="19">
        <f t="shared" si="66"/>
        <v>161.23529411764707</v>
      </c>
      <c r="J412" s="20">
        <f t="shared" si="67"/>
        <v>0.17175261607870168</v>
      </c>
      <c r="K412" s="18">
        <f>INDEX('Industry Stats'!$C$2:$C$49,MATCH($C412,'Industry Stats'!$A$2:$A$49,0))</f>
        <v>374.52941176470586</v>
      </c>
      <c r="L412" s="19">
        <f t="shared" si="68"/>
        <v>125.47058823529414</v>
      </c>
      <c r="M412" s="18">
        <f>INDEX('Industry Stats'!$D$2:$D$49,MATCH($C412,'Industry Stats'!$A$2:$A$49,0))</f>
        <v>287.43137254901961</v>
      </c>
      <c r="N412" s="19">
        <f t="shared" si="69"/>
        <v>12.568627450980387</v>
      </c>
      <c r="O412" s="18">
        <f>INDEX('Industry Stats'!$E$2:$E$49,MATCH($C412,'Industry Stats'!$A$2:$A$49,0))</f>
        <v>276.80392156862746</v>
      </c>
      <c r="P412" s="19">
        <f t="shared" si="70"/>
        <v>23.196078431372541</v>
      </c>
      <c r="R412">
        <f t="shared" si="71"/>
        <v>1100.0009588</v>
      </c>
      <c r="S412">
        <f t="shared" si="72"/>
        <v>500.00095879999998</v>
      </c>
      <c r="T412">
        <f t="shared" si="73"/>
        <v>300.00095879999998</v>
      </c>
      <c r="U412">
        <f t="shared" si="74"/>
        <v>300.00095879999998</v>
      </c>
      <c r="V412">
        <f t="shared" si="75"/>
        <v>161.23625291764708</v>
      </c>
      <c r="W412">
        <f t="shared" si="76"/>
        <v>-161.23433531764707</v>
      </c>
    </row>
    <row r="413" spans="1:23" ht="15" customHeight="1" x14ac:dyDescent="0.35">
      <c r="A413" t="str">
        <f>'Raw Data'!B411</f>
        <v>United Parcel Service Inc</v>
      </c>
      <c r="B413" t="str">
        <f>'Raw Data'!A411</f>
        <v>ups</v>
      </c>
      <c r="C413" t="str">
        <f>IF('Raw Data'!E411="N/A","Unclassified",TRIM(SUBSTITUTE('Raw Data'!E411," and "," &amp; ")))</f>
        <v>Logistics &amp; Transportation</v>
      </c>
      <c r="D413" s="17">
        <f>'Raw Data'!N411</f>
        <v>540</v>
      </c>
      <c r="E413" s="17">
        <f>'Raw Data'!O411</f>
        <v>374</v>
      </c>
      <c r="F413" s="17">
        <f>'Raw Data'!P411</f>
        <v>245</v>
      </c>
      <c r="G413" s="17">
        <f>'Raw Data'!Q411</f>
        <v>1159</v>
      </c>
      <c r="H413" s="18">
        <f>INDEX('Industry Stats'!$F$2:$F$49,MATCH($C413,'Industry Stats'!$A$2:$A$49,0))</f>
        <v>1025.1666666666667</v>
      </c>
      <c r="I413" s="19">
        <f t="shared" si="66"/>
        <v>133.83333333333326</v>
      </c>
      <c r="J413" s="20">
        <f t="shared" si="67"/>
        <v>0.13054787839375703</v>
      </c>
      <c r="K413" s="18">
        <f>INDEX('Industry Stats'!$C$2:$C$49,MATCH($C413,'Industry Stats'!$A$2:$A$49,0))</f>
        <v>452.33333333333331</v>
      </c>
      <c r="L413" s="19">
        <f t="shared" si="68"/>
        <v>87.666666666666686</v>
      </c>
      <c r="M413" s="18">
        <f>INDEX('Industry Stats'!$D$2:$D$49,MATCH($C413,'Industry Stats'!$A$2:$A$49,0))</f>
        <v>289.5</v>
      </c>
      <c r="N413" s="19">
        <f t="shared" si="69"/>
        <v>84.5</v>
      </c>
      <c r="O413" s="18">
        <f>INDEX('Industry Stats'!$E$2:$E$49,MATCH($C413,'Industry Stats'!$A$2:$A$49,0))</f>
        <v>283.33333333333331</v>
      </c>
      <c r="P413" s="19">
        <f t="shared" si="70"/>
        <v>-38.333333333333314</v>
      </c>
      <c r="R413">
        <f t="shared" si="71"/>
        <v>1159.0009587</v>
      </c>
      <c r="S413">
        <f t="shared" si="72"/>
        <v>540.00095869999996</v>
      </c>
      <c r="T413">
        <f t="shared" si="73"/>
        <v>374.00095870000001</v>
      </c>
      <c r="U413">
        <f t="shared" si="74"/>
        <v>245.00095870000001</v>
      </c>
      <c r="V413">
        <f t="shared" si="75"/>
        <v>133.83429203333327</v>
      </c>
      <c r="W413">
        <f t="shared" si="76"/>
        <v>-133.83237463333325</v>
      </c>
    </row>
    <row r="414" spans="1:23" ht="15" customHeight="1" x14ac:dyDescent="0.35">
      <c r="A414" t="str">
        <f>'Raw Data'!B412</f>
        <v>UDR Inc</v>
      </c>
      <c r="B414" t="str">
        <f>'Raw Data'!A412</f>
        <v>udr</v>
      </c>
      <c r="C414" t="str">
        <f>IF('Raw Data'!E412="N/A","Unclassified",TRIM(SUBSTITUTE('Raw Data'!E412," and "," &amp; ")))</f>
        <v>Real Estate</v>
      </c>
      <c r="D414" s="17">
        <f>'Raw Data'!N412</f>
        <v>225</v>
      </c>
      <c r="E414" s="17">
        <f>'Raw Data'!O412</f>
        <v>301</v>
      </c>
      <c r="F414" s="17">
        <f>'Raw Data'!P412</f>
        <v>215</v>
      </c>
      <c r="G414" s="17">
        <f>'Raw Data'!Q412</f>
        <v>741</v>
      </c>
      <c r="H414" s="18">
        <f>INDEX('Industry Stats'!$F$2:$F$49,MATCH($C414,'Industry Stats'!$A$2:$A$49,0))</f>
        <v>995.94444444444446</v>
      </c>
      <c r="I414" s="19">
        <f t="shared" si="66"/>
        <v>-254.94444444444446</v>
      </c>
      <c r="J414" s="20">
        <f t="shared" si="67"/>
        <v>-0.25598259608411894</v>
      </c>
      <c r="K414" s="18">
        <f>INDEX('Industry Stats'!$C$2:$C$49,MATCH($C414,'Industry Stats'!$A$2:$A$49,0))</f>
        <v>431.38888888888891</v>
      </c>
      <c r="L414" s="19">
        <f t="shared" si="68"/>
        <v>-206.38888888888891</v>
      </c>
      <c r="M414" s="18">
        <f>INDEX('Industry Stats'!$D$2:$D$49,MATCH($C414,'Industry Stats'!$A$2:$A$49,0))</f>
        <v>290.91666666666669</v>
      </c>
      <c r="N414" s="19">
        <f t="shared" si="69"/>
        <v>10.083333333333314</v>
      </c>
      <c r="O414" s="18">
        <f>INDEX('Industry Stats'!$E$2:$E$49,MATCH($C414,'Industry Stats'!$A$2:$A$49,0))</f>
        <v>273.63888888888891</v>
      </c>
      <c r="P414" s="19">
        <f t="shared" si="70"/>
        <v>-58.638888888888914</v>
      </c>
      <c r="R414">
        <f t="shared" si="71"/>
        <v>741.00095859999999</v>
      </c>
      <c r="S414">
        <f t="shared" si="72"/>
        <v>225.00095859999999</v>
      </c>
      <c r="T414">
        <f t="shared" si="73"/>
        <v>301.00095859999999</v>
      </c>
      <c r="U414">
        <f t="shared" si="74"/>
        <v>215.00095859999999</v>
      </c>
      <c r="V414">
        <f t="shared" si="75"/>
        <v>-254.94348584444447</v>
      </c>
      <c r="W414">
        <f t="shared" si="76"/>
        <v>254.94540304444445</v>
      </c>
    </row>
    <row r="415" spans="1:23" ht="15" customHeight="1" x14ac:dyDescent="0.35">
      <c r="A415" t="str">
        <f>'Raw Data'!B413</f>
        <v>Universal Health Services Inc</v>
      </c>
      <c r="B415" t="str">
        <f>'Raw Data'!A413</f>
        <v>uhs</v>
      </c>
      <c r="C415" t="str">
        <f>IF('Raw Data'!E413="N/A","Unclassified",TRIM(SUBSTITUTE('Raw Data'!E413," and "," &amp; ")))</f>
        <v>Health Care</v>
      </c>
      <c r="D415" s="17">
        <f>'Raw Data'!N413</f>
        <v>560</v>
      </c>
      <c r="E415" s="17">
        <f>'Raw Data'!O413</f>
        <v>320</v>
      </c>
      <c r="F415" s="17">
        <f>'Raw Data'!P413</f>
        <v>338</v>
      </c>
      <c r="G415" s="17">
        <f>'Raw Data'!Q413</f>
        <v>1218</v>
      </c>
      <c r="H415" s="18">
        <f>INDEX('Industry Stats'!$F$2:$F$49,MATCH($C415,'Industry Stats'!$A$2:$A$49,0))</f>
        <v>938.76470588235293</v>
      </c>
      <c r="I415" s="19">
        <f t="shared" si="66"/>
        <v>279.23529411764707</v>
      </c>
      <c r="J415" s="20">
        <f t="shared" si="67"/>
        <v>0.29744971489441696</v>
      </c>
      <c r="K415" s="18">
        <f>INDEX('Industry Stats'!$C$2:$C$49,MATCH($C415,'Industry Stats'!$A$2:$A$49,0))</f>
        <v>374.52941176470586</v>
      </c>
      <c r="L415" s="19">
        <f t="shared" si="68"/>
        <v>185.47058823529414</v>
      </c>
      <c r="M415" s="18">
        <f>INDEX('Industry Stats'!$D$2:$D$49,MATCH($C415,'Industry Stats'!$A$2:$A$49,0))</f>
        <v>287.43137254901961</v>
      </c>
      <c r="N415" s="19">
        <f t="shared" si="69"/>
        <v>32.568627450980387</v>
      </c>
      <c r="O415" s="18">
        <f>INDEX('Industry Stats'!$E$2:$E$49,MATCH($C415,'Industry Stats'!$A$2:$A$49,0))</f>
        <v>276.80392156862746</v>
      </c>
      <c r="P415" s="19">
        <f t="shared" si="70"/>
        <v>61.196078431372541</v>
      </c>
      <c r="R415">
        <f t="shared" si="71"/>
        <v>1218.0009585</v>
      </c>
      <c r="S415">
        <f t="shared" si="72"/>
        <v>560.00095850000002</v>
      </c>
      <c r="T415">
        <f t="shared" si="73"/>
        <v>320.00095850000002</v>
      </c>
      <c r="U415">
        <f t="shared" si="74"/>
        <v>338.00095850000002</v>
      </c>
      <c r="V415">
        <f t="shared" si="75"/>
        <v>279.2362526176471</v>
      </c>
      <c r="W415">
        <f t="shared" si="76"/>
        <v>-279.23433561764705</v>
      </c>
    </row>
    <row r="416" spans="1:23" ht="15" customHeight="1" x14ac:dyDescent="0.35">
      <c r="A416" t="str">
        <f>'Raw Data'!B414</f>
        <v>Mosaic Co</v>
      </c>
      <c r="B416" t="str">
        <f>'Raw Data'!A414</f>
        <v>mos</v>
      </c>
      <c r="C416" t="str">
        <f>IF('Raw Data'!E414="N/A","Unclassified",TRIM(SUBSTITUTE('Raw Data'!E414," and "," &amp; ")))</f>
        <v>Chemicals</v>
      </c>
      <c r="D416" s="17">
        <f>'Raw Data'!N414</f>
        <v>515</v>
      </c>
      <c r="E416" s="17">
        <f>'Raw Data'!O414</f>
        <v>379</v>
      </c>
      <c r="F416" s="17">
        <f>'Raw Data'!P414</f>
        <v>315</v>
      </c>
      <c r="G416" s="17">
        <f>'Raw Data'!Q414</f>
        <v>1209</v>
      </c>
      <c r="H416" s="18">
        <f>INDEX('Industry Stats'!$F$2:$F$49,MATCH($C416,'Industry Stats'!$A$2:$A$49,0))</f>
        <v>1058.8947368421052</v>
      </c>
      <c r="I416" s="19">
        <f t="shared" si="66"/>
        <v>150.1052631578948</v>
      </c>
      <c r="J416" s="20">
        <f t="shared" si="67"/>
        <v>0.14175654853620961</v>
      </c>
      <c r="K416" s="18">
        <f>INDEX('Industry Stats'!$C$2:$C$49,MATCH($C416,'Industry Stats'!$A$2:$A$49,0))</f>
        <v>463.73684210526318</v>
      </c>
      <c r="L416" s="19">
        <f t="shared" si="68"/>
        <v>51.263157894736821</v>
      </c>
      <c r="M416" s="18">
        <f>INDEX('Industry Stats'!$D$2:$D$49,MATCH($C416,'Industry Stats'!$A$2:$A$49,0))</f>
        <v>304.36842105263156</v>
      </c>
      <c r="N416" s="19">
        <f t="shared" si="69"/>
        <v>74.631578947368439</v>
      </c>
      <c r="O416" s="18">
        <f>INDEX('Industry Stats'!$E$2:$E$49,MATCH($C416,'Industry Stats'!$A$2:$A$49,0))</f>
        <v>290.78947368421052</v>
      </c>
      <c r="P416" s="19">
        <f t="shared" si="70"/>
        <v>24.21052631578948</v>
      </c>
      <c r="R416">
        <f t="shared" si="71"/>
        <v>1209.0009583999999</v>
      </c>
      <c r="S416">
        <f t="shared" si="72"/>
        <v>515.00095839999994</v>
      </c>
      <c r="T416">
        <f t="shared" si="73"/>
        <v>379.0009584</v>
      </c>
      <c r="U416">
        <f t="shared" si="74"/>
        <v>315.0009584</v>
      </c>
      <c r="V416">
        <f t="shared" si="75"/>
        <v>150.1062215578948</v>
      </c>
      <c r="W416">
        <f t="shared" si="76"/>
        <v>-150.10430475789479</v>
      </c>
    </row>
    <row r="417" spans="1:23" ht="15" customHeight="1" x14ac:dyDescent="0.35">
      <c r="A417" t="str">
        <f>'Raw Data'!B415</f>
        <v>US Bancorp</v>
      </c>
      <c r="B417" t="str">
        <f>'Raw Data'!A415</f>
        <v>usb</v>
      </c>
      <c r="C417" t="str">
        <f>IF('Raw Data'!E415="N/A","Unclassified",TRIM(SUBSTITUTE('Raw Data'!E415," and "," &amp; ")))</f>
        <v>Banking</v>
      </c>
      <c r="D417" s="17">
        <f>'Raw Data'!N415</f>
        <v>336</v>
      </c>
      <c r="E417" s="17">
        <f>'Raw Data'!O415</f>
        <v>317</v>
      </c>
      <c r="F417" s="17">
        <f>'Raw Data'!P415</f>
        <v>300</v>
      </c>
      <c r="G417" s="17">
        <f>'Raw Data'!Q415</f>
        <v>953</v>
      </c>
      <c r="H417" s="18">
        <f>INDEX('Industry Stats'!$F$2:$F$49,MATCH($C417,'Industry Stats'!$A$2:$A$49,0))</f>
        <v>898.31034482758616</v>
      </c>
      <c r="I417" s="19">
        <f t="shared" si="66"/>
        <v>54.689655172413836</v>
      </c>
      <c r="J417" s="20">
        <f t="shared" si="67"/>
        <v>6.0880580399984695E-2</v>
      </c>
      <c r="K417" s="18">
        <f>INDEX('Industry Stats'!$C$2:$C$49,MATCH($C417,'Industry Stats'!$A$2:$A$49,0))</f>
        <v>341.48275862068965</v>
      </c>
      <c r="L417" s="19">
        <f t="shared" si="68"/>
        <v>-5.4827586206896513</v>
      </c>
      <c r="M417" s="18">
        <f>INDEX('Industry Stats'!$D$2:$D$49,MATCH($C417,'Industry Stats'!$A$2:$A$49,0))</f>
        <v>292.34482758620692</v>
      </c>
      <c r="N417" s="19">
        <f t="shared" si="69"/>
        <v>24.655172413793082</v>
      </c>
      <c r="O417" s="18">
        <f>INDEX('Industry Stats'!$E$2:$E$49,MATCH($C417,'Industry Stats'!$A$2:$A$49,0))</f>
        <v>264.48275862068965</v>
      </c>
      <c r="P417" s="19">
        <f t="shared" si="70"/>
        <v>35.517241379310349</v>
      </c>
      <c r="R417">
        <f t="shared" si="71"/>
        <v>953.00095829999998</v>
      </c>
      <c r="S417">
        <f t="shared" si="72"/>
        <v>336.00095829999998</v>
      </c>
      <c r="T417">
        <f t="shared" si="73"/>
        <v>317.00095829999998</v>
      </c>
      <c r="U417">
        <f t="shared" si="74"/>
        <v>300.00095829999998</v>
      </c>
      <c r="V417">
        <f t="shared" si="75"/>
        <v>54.690613472413837</v>
      </c>
      <c r="W417">
        <f t="shared" si="76"/>
        <v>-54.688696872413836</v>
      </c>
    </row>
    <row r="418" spans="1:23" ht="15" customHeight="1" x14ac:dyDescent="0.35">
      <c r="A418" t="str">
        <f>'Raw Data'!B416</f>
        <v>United Rentals Inc</v>
      </c>
      <c r="B418" t="str">
        <f>'Raw Data'!A416</f>
        <v>uri</v>
      </c>
      <c r="C418" t="str">
        <f>IF('Raw Data'!E416="N/A","Unclassified",TRIM(SUBSTITUTE('Raw Data'!E416," and "," &amp; ")))</f>
        <v>Trading Companies &amp; Distributors</v>
      </c>
      <c r="D418" s="17">
        <f>'Raw Data'!N416</f>
        <v>472</v>
      </c>
      <c r="E418" s="17">
        <f>'Raw Data'!O416</f>
        <v>318</v>
      </c>
      <c r="F418" s="17">
        <f>'Raw Data'!P416</f>
        <v>300</v>
      </c>
      <c r="G418" s="17">
        <f>'Raw Data'!Q416</f>
        <v>1090</v>
      </c>
      <c r="H418" s="18">
        <f>INDEX('Industry Stats'!$F$2:$F$49,MATCH($C418,'Industry Stats'!$A$2:$A$49,0))</f>
        <v>885.2</v>
      </c>
      <c r="I418" s="19">
        <f t="shared" si="66"/>
        <v>204.79999999999995</v>
      </c>
      <c r="J418" s="20">
        <f t="shared" si="67"/>
        <v>0.2313601446000903</v>
      </c>
      <c r="K418" s="18">
        <f>INDEX('Industry Stats'!$C$2:$C$49,MATCH($C418,'Industry Stats'!$A$2:$A$49,0))</f>
        <v>332.8</v>
      </c>
      <c r="L418" s="19">
        <f t="shared" si="68"/>
        <v>139.19999999999999</v>
      </c>
      <c r="M418" s="18">
        <f>INDEX('Industry Stats'!$D$2:$D$49,MATCH($C418,'Industry Stats'!$A$2:$A$49,0))</f>
        <v>302.39999999999998</v>
      </c>
      <c r="N418" s="19">
        <f t="shared" si="69"/>
        <v>15.600000000000023</v>
      </c>
      <c r="O418" s="18">
        <f>INDEX('Industry Stats'!$E$2:$E$49,MATCH($C418,'Industry Stats'!$A$2:$A$49,0))</f>
        <v>250</v>
      </c>
      <c r="P418" s="19">
        <f t="shared" si="70"/>
        <v>50</v>
      </c>
      <c r="R418">
        <f t="shared" si="71"/>
        <v>1090.0009582</v>
      </c>
      <c r="S418">
        <f t="shared" si="72"/>
        <v>472.00095820000001</v>
      </c>
      <c r="T418">
        <f t="shared" si="73"/>
        <v>318.00095820000001</v>
      </c>
      <c r="U418">
        <f t="shared" si="74"/>
        <v>300.00095820000001</v>
      </c>
      <c r="V418">
        <f t="shared" si="75"/>
        <v>204.80095819999997</v>
      </c>
      <c r="W418">
        <f t="shared" si="76"/>
        <v>-204.79904179999994</v>
      </c>
    </row>
    <row r="419" spans="1:23" ht="15" customHeight="1" x14ac:dyDescent="0.35">
      <c r="A419" t="str">
        <f>'Raw Data'!B417</f>
        <v>Vornado Realty Trust</v>
      </c>
      <c r="B419" t="str">
        <f>'Raw Data'!A417</f>
        <v>vno</v>
      </c>
      <c r="C419" t="str">
        <f>IF('Raw Data'!E417="N/A","Unclassified",TRIM(SUBSTITUTE('Raw Data'!E417," and "," &amp; ")))</f>
        <v>Real Estate</v>
      </c>
      <c r="D419" s="17">
        <f>'Raw Data'!N417</f>
        <v>540</v>
      </c>
      <c r="E419" s="17">
        <f>'Raw Data'!O417</f>
        <v>326</v>
      </c>
      <c r="F419" s="17">
        <f>'Raw Data'!P417</f>
        <v>325</v>
      </c>
      <c r="G419" s="17">
        <f>'Raw Data'!Q417</f>
        <v>1191</v>
      </c>
      <c r="H419" s="18">
        <f>INDEX('Industry Stats'!$F$2:$F$49,MATCH($C419,'Industry Stats'!$A$2:$A$49,0))</f>
        <v>995.94444444444446</v>
      </c>
      <c r="I419" s="19">
        <f t="shared" si="66"/>
        <v>195.05555555555554</v>
      </c>
      <c r="J419" s="20">
        <f t="shared" si="67"/>
        <v>0.19584983544374407</v>
      </c>
      <c r="K419" s="18">
        <f>INDEX('Industry Stats'!$C$2:$C$49,MATCH($C419,'Industry Stats'!$A$2:$A$49,0))</f>
        <v>431.38888888888891</v>
      </c>
      <c r="L419" s="19">
        <f t="shared" si="68"/>
        <v>108.61111111111109</v>
      </c>
      <c r="M419" s="18">
        <f>INDEX('Industry Stats'!$D$2:$D$49,MATCH($C419,'Industry Stats'!$A$2:$A$49,0))</f>
        <v>290.91666666666669</v>
      </c>
      <c r="N419" s="19">
        <f t="shared" si="69"/>
        <v>35.083333333333314</v>
      </c>
      <c r="O419" s="18">
        <f>INDEX('Industry Stats'!$E$2:$E$49,MATCH($C419,'Industry Stats'!$A$2:$A$49,0))</f>
        <v>273.63888888888891</v>
      </c>
      <c r="P419" s="19">
        <f t="shared" si="70"/>
        <v>51.361111111111086</v>
      </c>
      <c r="R419">
        <f t="shared" si="71"/>
        <v>1191.0009580999999</v>
      </c>
      <c r="S419">
        <f t="shared" si="72"/>
        <v>540.00095810000005</v>
      </c>
      <c r="T419">
        <f t="shared" si="73"/>
        <v>326.00095809999999</v>
      </c>
      <c r="U419">
        <f t="shared" si="74"/>
        <v>325.00095809999999</v>
      </c>
      <c r="V419">
        <f t="shared" si="75"/>
        <v>195.05651365555553</v>
      </c>
      <c r="W419">
        <f t="shared" si="76"/>
        <v>-195.05459745555555</v>
      </c>
    </row>
    <row r="420" spans="1:23" ht="15" customHeight="1" x14ac:dyDescent="0.35">
      <c r="A420" t="str">
        <f>'Raw Data'!B418</f>
        <v>Valero Energy Corp</v>
      </c>
      <c r="B420" t="str">
        <f>'Raw Data'!A418</f>
        <v>vlo</v>
      </c>
      <c r="C420" t="str">
        <f>IF('Raw Data'!E418="N/A","Unclassified",TRIM(SUBSTITUTE('Raw Data'!E418," and "," &amp; ")))</f>
        <v>Energy</v>
      </c>
      <c r="D420" s="17">
        <f>'Raw Data'!N418</f>
        <v>608</v>
      </c>
      <c r="E420" s="17">
        <f>'Raw Data'!O418</f>
        <v>307</v>
      </c>
      <c r="F420" s="17">
        <f>'Raw Data'!P418</f>
        <v>330</v>
      </c>
      <c r="G420" s="17">
        <f>'Raw Data'!Q418</f>
        <v>1245</v>
      </c>
      <c r="H420" s="18">
        <f>INDEX('Industry Stats'!$F$2:$F$49,MATCH($C420,'Industry Stats'!$A$2:$A$49,0))</f>
        <v>1117.7619047619048</v>
      </c>
      <c r="I420" s="19">
        <f t="shared" si="66"/>
        <v>127.23809523809518</v>
      </c>
      <c r="J420" s="20">
        <f t="shared" si="67"/>
        <v>0.11383291441230345</v>
      </c>
      <c r="K420" s="18">
        <f>INDEX('Industry Stats'!$C$2:$C$49,MATCH($C420,'Industry Stats'!$A$2:$A$49,0))</f>
        <v>515.09523809523807</v>
      </c>
      <c r="L420" s="19">
        <f t="shared" si="68"/>
        <v>92.904761904761926</v>
      </c>
      <c r="M420" s="18">
        <f>INDEX('Industry Stats'!$D$2:$D$49,MATCH($C420,'Industry Stats'!$A$2:$A$49,0))</f>
        <v>308.95238095238096</v>
      </c>
      <c r="N420" s="19">
        <f t="shared" si="69"/>
        <v>-1.9523809523809632</v>
      </c>
      <c r="O420" s="18">
        <f>INDEX('Industry Stats'!$E$2:$E$49,MATCH($C420,'Industry Stats'!$A$2:$A$49,0))</f>
        <v>293.71428571428572</v>
      </c>
      <c r="P420" s="19">
        <f t="shared" si="70"/>
        <v>36.285714285714278</v>
      </c>
      <c r="R420">
        <f t="shared" si="71"/>
        <v>1245.0009580000001</v>
      </c>
      <c r="S420">
        <f t="shared" si="72"/>
        <v>608.00095799999997</v>
      </c>
      <c r="T420">
        <f t="shared" si="73"/>
        <v>307.00095800000003</v>
      </c>
      <c r="U420">
        <f t="shared" si="74"/>
        <v>330.00095800000003</v>
      </c>
      <c r="V420">
        <f t="shared" si="75"/>
        <v>127.23905323809518</v>
      </c>
      <c r="W420">
        <f t="shared" si="76"/>
        <v>-127.23713723809519</v>
      </c>
    </row>
    <row r="421" spans="1:23" ht="15" customHeight="1" x14ac:dyDescent="0.35">
      <c r="A421" t="str">
        <f>'Raw Data'!B419</f>
        <v>VF Corp</v>
      </c>
      <c r="B421" t="str">
        <f>'Raw Data'!A419</f>
        <v>vfc</v>
      </c>
      <c r="C421" t="str">
        <f>IF('Raw Data'!E419="N/A","Unclassified",TRIM(SUBSTITUTE('Raw Data'!E419," and "," &amp; ")))</f>
        <v>Textiles Apparel &amp; Luxury Goods</v>
      </c>
      <c r="D421" s="17">
        <f>'Raw Data'!N419</f>
        <v>505</v>
      </c>
      <c r="E421" s="17">
        <f>'Raw Data'!O419</f>
        <v>301</v>
      </c>
      <c r="F421" s="17">
        <f>'Raw Data'!P419</f>
        <v>300</v>
      </c>
      <c r="G421" s="17">
        <f>'Raw Data'!Q419</f>
        <v>1106</v>
      </c>
      <c r="H421" s="18">
        <f>INDEX('Industry Stats'!$F$2:$F$49,MATCH($C421,'Industry Stats'!$A$2:$A$49,0))</f>
        <v>944.44444444444446</v>
      </c>
      <c r="I421" s="19">
        <f t="shared" si="66"/>
        <v>161.55555555555554</v>
      </c>
      <c r="J421" s="20">
        <f t="shared" si="67"/>
        <v>0.17105882352941174</v>
      </c>
      <c r="K421" s="18">
        <f>INDEX('Industry Stats'!$C$2:$C$49,MATCH($C421,'Industry Stats'!$A$2:$A$49,0))</f>
        <v>382.11111111111109</v>
      </c>
      <c r="L421" s="19">
        <f t="shared" si="68"/>
        <v>122.88888888888891</v>
      </c>
      <c r="M421" s="18">
        <f>INDEX('Industry Stats'!$D$2:$D$49,MATCH($C421,'Industry Stats'!$A$2:$A$49,0))</f>
        <v>280</v>
      </c>
      <c r="N421" s="19">
        <f t="shared" si="69"/>
        <v>21</v>
      </c>
      <c r="O421" s="18">
        <f>INDEX('Industry Stats'!$E$2:$E$49,MATCH($C421,'Industry Stats'!$A$2:$A$49,0))</f>
        <v>282.33333333333331</v>
      </c>
      <c r="P421" s="19">
        <f t="shared" si="70"/>
        <v>17.666666666666686</v>
      </c>
      <c r="R421">
        <f t="shared" si="71"/>
        <v>1106.0009579</v>
      </c>
      <c r="S421">
        <f t="shared" si="72"/>
        <v>505.0009579</v>
      </c>
      <c r="T421">
        <f t="shared" si="73"/>
        <v>301.0009579</v>
      </c>
      <c r="U421">
        <f t="shared" si="74"/>
        <v>300.0009579</v>
      </c>
      <c r="V421">
        <f t="shared" si="75"/>
        <v>161.55651345555555</v>
      </c>
      <c r="W421">
        <f t="shared" si="76"/>
        <v>-161.55459765555554</v>
      </c>
    </row>
    <row r="422" spans="1:23" ht="15" customHeight="1" x14ac:dyDescent="0.35">
      <c r="A422" t="str">
        <f>'Raw Data'!B420</f>
        <v>Visa Inc</v>
      </c>
      <c r="B422" t="str">
        <f>'Raw Data'!A420</f>
        <v>v</v>
      </c>
      <c r="C422" t="str">
        <f>IF('Raw Data'!E420="N/A","Unclassified",TRIM(SUBSTITUTE('Raw Data'!E420," and "," &amp; ")))</f>
        <v>Technology</v>
      </c>
      <c r="D422" s="17">
        <f>'Raw Data'!N420</f>
        <v>504</v>
      </c>
      <c r="E422" s="17">
        <f>'Raw Data'!O420</f>
        <v>368</v>
      </c>
      <c r="F422" s="17">
        <f>'Raw Data'!P420</f>
        <v>310</v>
      </c>
      <c r="G422" s="17">
        <f>'Raw Data'!Q420</f>
        <v>1182</v>
      </c>
      <c r="H422" s="18">
        <f>INDEX('Industry Stats'!$F$2:$F$49,MATCH($C422,'Industry Stats'!$A$2:$A$49,0))</f>
        <v>1031.3174603174602</v>
      </c>
      <c r="I422" s="19">
        <f t="shared" si="66"/>
        <v>150.68253968253975</v>
      </c>
      <c r="J422" s="20">
        <f t="shared" si="67"/>
        <v>0.14610684438151239</v>
      </c>
      <c r="K422" s="18">
        <f>INDEX('Industry Stats'!$C$2:$C$49,MATCH($C422,'Industry Stats'!$A$2:$A$49,0))</f>
        <v>438.11111111111109</v>
      </c>
      <c r="L422" s="19">
        <f t="shared" si="68"/>
        <v>65.888888888888914</v>
      </c>
      <c r="M422" s="18">
        <f>INDEX('Industry Stats'!$D$2:$D$49,MATCH($C422,'Industry Stats'!$A$2:$A$49,0))</f>
        <v>307.90476190476193</v>
      </c>
      <c r="N422" s="19">
        <f t="shared" si="69"/>
        <v>60.095238095238074</v>
      </c>
      <c r="O422" s="18">
        <f>INDEX('Industry Stats'!$E$2:$E$49,MATCH($C422,'Industry Stats'!$A$2:$A$49,0))</f>
        <v>285.30158730158729</v>
      </c>
      <c r="P422" s="19">
        <f t="shared" si="70"/>
        <v>24.69841269841271</v>
      </c>
      <c r="R422">
        <f t="shared" si="71"/>
        <v>1182.0009577999999</v>
      </c>
      <c r="S422">
        <f t="shared" si="72"/>
        <v>504.00095779999998</v>
      </c>
      <c r="T422">
        <f t="shared" si="73"/>
        <v>368.00095779999998</v>
      </c>
      <c r="U422">
        <f t="shared" si="74"/>
        <v>310.00095779999998</v>
      </c>
      <c r="V422">
        <f t="shared" si="75"/>
        <v>150.68349748253976</v>
      </c>
      <c r="W422">
        <f t="shared" si="76"/>
        <v>-150.68158188253975</v>
      </c>
    </row>
    <row r="423" spans="1:23" ht="15" customHeight="1" x14ac:dyDescent="0.35">
      <c r="A423" t="str">
        <f>'Raw Data'!B421</f>
        <v>Ventas Inc</v>
      </c>
      <c r="B423" t="str">
        <f>'Raw Data'!A421</f>
        <v>vtr</v>
      </c>
      <c r="C423" t="str">
        <f>IF('Raw Data'!E421="N/A","Unclassified",TRIM(SUBSTITUTE('Raw Data'!E421," and "," &amp; ")))</f>
        <v>Real Estate</v>
      </c>
      <c r="D423" s="17">
        <f>'Raw Data'!N421</f>
        <v>500</v>
      </c>
      <c r="E423" s="17">
        <f>'Raw Data'!O421</f>
        <v>300</v>
      </c>
      <c r="F423" s="17">
        <f>'Raw Data'!P421</f>
        <v>300</v>
      </c>
      <c r="G423" s="17">
        <f>'Raw Data'!Q421</f>
        <v>1100</v>
      </c>
      <c r="H423" s="18">
        <f>INDEX('Industry Stats'!$F$2:$F$49,MATCH($C423,'Industry Stats'!$A$2:$A$49,0))</f>
        <v>995.94444444444446</v>
      </c>
      <c r="I423" s="19">
        <f t="shared" si="66"/>
        <v>104.05555555555554</v>
      </c>
      <c r="J423" s="20">
        <f t="shared" si="67"/>
        <v>0.10447927706810954</v>
      </c>
      <c r="K423" s="18">
        <f>INDEX('Industry Stats'!$C$2:$C$49,MATCH($C423,'Industry Stats'!$A$2:$A$49,0))</f>
        <v>431.38888888888891</v>
      </c>
      <c r="L423" s="19">
        <f t="shared" si="68"/>
        <v>68.611111111111086</v>
      </c>
      <c r="M423" s="18">
        <f>INDEX('Industry Stats'!$D$2:$D$49,MATCH($C423,'Industry Stats'!$A$2:$A$49,0))</f>
        <v>290.91666666666669</v>
      </c>
      <c r="N423" s="19">
        <f t="shared" si="69"/>
        <v>9.0833333333333144</v>
      </c>
      <c r="O423" s="18">
        <f>INDEX('Industry Stats'!$E$2:$E$49,MATCH($C423,'Industry Stats'!$A$2:$A$49,0))</f>
        <v>273.63888888888891</v>
      </c>
      <c r="P423" s="19">
        <f t="shared" si="70"/>
        <v>26.361111111111086</v>
      </c>
      <c r="R423">
        <f t="shared" si="71"/>
        <v>1100.0009577000001</v>
      </c>
      <c r="S423">
        <f t="shared" si="72"/>
        <v>500.00095770000001</v>
      </c>
      <c r="T423">
        <f t="shared" si="73"/>
        <v>300.00095770000001</v>
      </c>
      <c r="U423">
        <f t="shared" si="74"/>
        <v>300.00095770000001</v>
      </c>
      <c r="V423">
        <f t="shared" si="75"/>
        <v>104.05651325555554</v>
      </c>
      <c r="W423">
        <f t="shared" si="76"/>
        <v>-104.05459785555554</v>
      </c>
    </row>
    <row r="424" spans="1:23" ht="15" customHeight="1" x14ac:dyDescent="0.35">
      <c r="A424" t="str">
        <f>'Raw Data'!B422</f>
        <v>Vulcan Materials Co</v>
      </c>
      <c r="B424" t="str">
        <f>'Raw Data'!A422</f>
        <v>vmc</v>
      </c>
      <c r="C424" t="str">
        <f>IF('Raw Data'!E422="N/A","Unclassified",TRIM(SUBSTITUTE('Raw Data'!E422," and "," &amp; ")))</f>
        <v>Construction</v>
      </c>
      <c r="D424" s="17">
        <f>'Raw Data'!N422</f>
        <v>570</v>
      </c>
      <c r="E424" s="17">
        <f>'Raw Data'!O422</f>
        <v>319</v>
      </c>
      <c r="F424" s="17">
        <f>'Raw Data'!P422</f>
        <v>300</v>
      </c>
      <c r="G424" s="17">
        <f>'Raw Data'!Q422</f>
        <v>1189</v>
      </c>
      <c r="H424" s="18">
        <f>INDEX('Industry Stats'!$F$2:$F$49,MATCH($C424,'Industry Stats'!$A$2:$A$49,0))</f>
        <v>1082.6666666666667</v>
      </c>
      <c r="I424" s="19">
        <f t="shared" si="66"/>
        <v>106.33333333333326</v>
      </c>
      <c r="J424" s="20">
        <f t="shared" si="67"/>
        <v>9.8214285714285643E-2</v>
      </c>
      <c r="K424" s="18">
        <f>INDEX('Industry Stats'!$C$2:$C$49,MATCH($C424,'Industry Stats'!$A$2:$A$49,0))</f>
        <v>495.33333333333331</v>
      </c>
      <c r="L424" s="19">
        <f t="shared" si="68"/>
        <v>74.666666666666686</v>
      </c>
      <c r="M424" s="18">
        <f>INDEX('Industry Stats'!$D$2:$D$49,MATCH($C424,'Industry Stats'!$A$2:$A$49,0))</f>
        <v>306.16666666666669</v>
      </c>
      <c r="N424" s="19">
        <f t="shared" si="69"/>
        <v>12.833333333333314</v>
      </c>
      <c r="O424" s="18">
        <f>INDEX('Industry Stats'!$E$2:$E$49,MATCH($C424,'Industry Stats'!$A$2:$A$49,0))</f>
        <v>281.16666666666669</v>
      </c>
      <c r="P424" s="19">
        <f t="shared" si="70"/>
        <v>18.833333333333314</v>
      </c>
      <c r="R424">
        <f t="shared" si="71"/>
        <v>1189.0009576</v>
      </c>
      <c r="S424">
        <f t="shared" si="72"/>
        <v>570.00095759999999</v>
      </c>
      <c r="T424">
        <f t="shared" si="73"/>
        <v>319.00095759999999</v>
      </c>
      <c r="U424">
        <f t="shared" si="74"/>
        <v>300.00095759999999</v>
      </c>
      <c r="V424">
        <f t="shared" si="75"/>
        <v>106.33429093333326</v>
      </c>
      <c r="W424">
        <f t="shared" si="76"/>
        <v>-106.33237573333325</v>
      </c>
    </row>
    <row r="425" spans="1:23" ht="15" customHeight="1" x14ac:dyDescent="0.35">
      <c r="A425" t="str">
        <f>'Raw Data'!B423</f>
        <v>WEC Energy Group Inc</v>
      </c>
      <c r="B425" t="str">
        <f>'Raw Data'!A423</f>
        <v>wec</v>
      </c>
      <c r="C425" t="str">
        <f>IF('Raw Data'!E423="N/A","Unclassified",TRIM(SUBSTITUTE('Raw Data'!E423," and "," &amp; ")))</f>
        <v>Utilities</v>
      </c>
      <c r="D425" s="17">
        <f>'Raw Data'!N423</f>
        <v>635</v>
      </c>
      <c r="E425" s="17">
        <f>'Raw Data'!O423</f>
        <v>438</v>
      </c>
      <c r="F425" s="17">
        <f>'Raw Data'!P423</f>
        <v>300</v>
      </c>
      <c r="G425" s="17">
        <f>'Raw Data'!Q423</f>
        <v>1373</v>
      </c>
      <c r="H425" s="18">
        <f>INDEX('Industry Stats'!$F$2:$F$49,MATCH($C425,'Industry Stats'!$A$2:$A$49,0))</f>
        <v>1190.6333333333334</v>
      </c>
      <c r="I425" s="19">
        <f t="shared" si="66"/>
        <v>182.36666666666656</v>
      </c>
      <c r="J425" s="20">
        <f t="shared" si="67"/>
        <v>0.15316778185279534</v>
      </c>
      <c r="K425" s="18">
        <f>INDEX('Industry Stats'!$C$2:$C$49,MATCH($C425,'Industry Stats'!$A$2:$A$49,0))</f>
        <v>550.9666666666667</v>
      </c>
      <c r="L425" s="19">
        <f t="shared" si="68"/>
        <v>84.033333333333303</v>
      </c>
      <c r="M425" s="18">
        <f>INDEX('Industry Stats'!$D$2:$D$49,MATCH($C425,'Industry Stats'!$A$2:$A$49,0))</f>
        <v>357.4</v>
      </c>
      <c r="N425" s="19">
        <f t="shared" si="69"/>
        <v>80.600000000000023</v>
      </c>
      <c r="O425" s="18">
        <f>INDEX('Industry Stats'!$E$2:$E$49,MATCH($C425,'Industry Stats'!$A$2:$A$49,0))</f>
        <v>282.26666666666665</v>
      </c>
      <c r="P425" s="19">
        <f t="shared" si="70"/>
        <v>17.733333333333348</v>
      </c>
      <c r="R425">
        <f t="shared" si="71"/>
        <v>1373.0009574999999</v>
      </c>
      <c r="S425">
        <f t="shared" si="72"/>
        <v>635.00095750000003</v>
      </c>
      <c r="T425">
        <f t="shared" si="73"/>
        <v>438.00095750000003</v>
      </c>
      <c r="U425">
        <f t="shared" si="74"/>
        <v>300.00095750000003</v>
      </c>
      <c r="V425">
        <f t="shared" si="75"/>
        <v>182.36762416666656</v>
      </c>
      <c r="W425">
        <f t="shared" si="76"/>
        <v>-182.36570916666656</v>
      </c>
    </row>
    <row r="426" spans="1:23" ht="15" customHeight="1" x14ac:dyDescent="0.35">
      <c r="A426" t="str">
        <f>'Raw Data'!B424</f>
        <v>Welltower OP LLC</v>
      </c>
      <c r="B426" t="str">
        <f>'Raw Data'!A424</f>
        <v>well</v>
      </c>
      <c r="C426" t="str">
        <f>IF('Raw Data'!E424="N/A","Unclassified",TRIM(SUBSTITUTE('Raw Data'!E424," and "," &amp; ")))</f>
        <v>Real Estate</v>
      </c>
      <c r="D426" s="17">
        <f>'Raw Data'!N424</f>
        <v>437</v>
      </c>
      <c r="E426" s="17">
        <f>'Raw Data'!O424</f>
        <v>326</v>
      </c>
      <c r="F426" s="17">
        <f>'Raw Data'!P424</f>
        <v>300</v>
      </c>
      <c r="G426" s="17">
        <f>'Raw Data'!Q424</f>
        <v>1063</v>
      </c>
      <c r="H426" s="18">
        <f>INDEX('Industry Stats'!$F$2:$F$49,MATCH($C426,'Industry Stats'!$A$2:$A$49,0))</f>
        <v>995.94444444444446</v>
      </c>
      <c r="I426" s="19">
        <f t="shared" si="66"/>
        <v>67.055555555555543</v>
      </c>
      <c r="J426" s="20">
        <f t="shared" si="67"/>
        <v>6.732861047581859E-2</v>
      </c>
      <c r="K426" s="18">
        <f>INDEX('Industry Stats'!$C$2:$C$49,MATCH($C426,'Industry Stats'!$A$2:$A$49,0))</f>
        <v>431.38888888888891</v>
      </c>
      <c r="L426" s="19">
        <f t="shared" si="68"/>
        <v>5.6111111111110858</v>
      </c>
      <c r="M426" s="18">
        <f>INDEX('Industry Stats'!$D$2:$D$49,MATCH($C426,'Industry Stats'!$A$2:$A$49,0))</f>
        <v>290.91666666666669</v>
      </c>
      <c r="N426" s="19">
        <f t="shared" si="69"/>
        <v>35.083333333333314</v>
      </c>
      <c r="O426" s="18">
        <f>INDEX('Industry Stats'!$E$2:$E$49,MATCH($C426,'Industry Stats'!$A$2:$A$49,0))</f>
        <v>273.63888888888891</v>
      </c>
      <c r="P426" s="19">
        <f t="shared" si="70"/>
        <v>26.361111111111086</v>
      </c>
      <c r="R426">
        <f t="shared" si="71"/>
        <v>1063.0009574000001</v>
      </c>
      <c r="S426">
        <f t="shared" si="72"/>
        <v>437.0009574</v>
      </c>
      <c r="T426">
        <f t="shared" si="73"/>
        <v>326.0009574</v>
      </c>
      <c r="U426">
        <f t="shared" si="74"/>
        <v>300.0009574</v>
      </c>
      <c r="V426">
        <f t="shared" si="75"/>
        <v>67.056512955555547</v>
      </c>
      <c r="W426">
        <f t="shared" si="76"/>
        <v>-67.054598155555539</v>
      </c>
    </row>
    <row r="427" spans="1:23" ht="15" customHeight="1" x14ac:dyDescent="0.35">
      <c r="A427" t="str">
        <f>'Raw Data'!B425</f>
        <v>Waters Corp</v>
      </c>
      <c r="B427" t="str">
        <f>'Raw Data'!A425</f>
        <v>wat</v>
      </c>
      <c r="C427" t="str">
        <f>IF('Raw Data'!E425="N/A","Unclassified",TRIM(SUBSTITUTE('Raw Data'!E425," and "," &amp; ")))</f>
        <v>Life Sciences Tools &amp; Services</v>
      </c>
      <c r="D427" s="17">
        <f>'Raw Data'!N425</f>
        <v>270</v>
      </c>
      <c r="E427" s="17">
        <f>'Raw Data'!O425</f>
        <v>292</v>
      </c>
      <c r="F427" s="17">
        <f>'Raw Data'!P425</f>
        <v>235</v>
      </c>
      <c r="G427" s="17">
        <f>'Raw Data'!Q425</f>
        <v>797</v>
      </c>
      <c r="H427" s="18">
        <f>INDEX('Industry Stats'!$F$2:$F$49,MATCH($C427,'Industry Stats'!$A$2:$A$49,0))</f>
        <v>993.125</v>
      </c>
      <c r="I427" s="19">
        <f t="shared" si="66"/>
        <v>-196.125</v>
      </c>
      <c r="J427" s="20">
        <f t="shared" si="67"/>
        <v>-0.19748269351793582</v>
      </c>
      <c r="K427" s="18">
        <f>INDEX('Industry Stats'!$C$2:$C$49,MATCH($C427,'Industry Stats'!$A$2:$A$49,0))</f>
        <v>421.375</v>
      </c>
      <c r="L427" s="19">
        <f t="shared" si="68"/>
        <v>-151.375</v>
      </c>
      <c r="M427" s="18">
        <f>INDEX('Industry Stats'!$D$2:$D$49,MATCH($C427,'Industry Stats'!$A$2:$A$49,0))</f>
        <v>294.5</v>
      </c>
      <c r="N427" s="19">
        <f t="shared" si="69"/>
        <v>-2.5</v>
      </c>
      <c r="O427" s="18">
        <f>INDEX('Industry Stats'!$E$2:$E$49,MATCH($C427,'Industry Stats'!$A$2:$A$49,0))</f>
        <v>277.25</v>
      </c>
      <c r="P427" s="19">
        <f t="shared" si="70"/>
        <v>-42.25</v>
      </c>
      <c r="R427">
        <f t="shared" si="71"/>
        <v>797.00095729999998</v>
      </c>
      <c r="S427">
        <f t="shared" si="72"/>
        <v>270.00095729999998</v>
      </c>
      <c r="T427">
        <f t="shared" si="73"/>
        <v>292.00095729999998</v>
      </c>
      <c r="U427">
        <f t="shared" si="74"/>
        <v>235.00095730000001</v>
      </c>
      <c r="V427">
        <f t="shared" si="75"/>
        <v>-196.12404269999999</v>
      </c>
      <c r="W427">
        <f t="shared" si="76"/>
        <v>196.12595730000001</v>
      </c>
    </row>
    <row r="428" spans="1:23" ht="15" customHeight="1" x14ac:dyDescent="0.35">
      <c r="A428" t="str">
        <f>'Raw Data'!B426</f>
        <v>Waste Management Inc</v>
      </c>
      <c r="B428" t="str">
        <f>'Raw Data'!A426</f>
        <v>wm</v>
      </c>
      <c r="C428" t="str">
        <f>IF('Raw Data'!E426="N/A","Unclassified",TRIM(SUBSTITUTE('Raw Data'!E426," and "," &amp; ")))</f>
        <v>Commercial Services &amp; Supplies</v>
      </c>
      <c r="D428" s="17">
        <f>'Raw Data'!N426</f>
        <v>613</v>
      </c>
      <c r="E428" s="17">
        <f>'Raw Data'!O426</f>
        <v>408</v>
      </c>
      <c r="F428" s="17">
        <f>'Raw Data'!P426</f>
        <v>285</v>
      </c>
      <c r="G428" s="17">
        <f>'Raw Data'!Q426</f>
        <v>1306</v>
      </c>
      <c r="H428" s="18">
        <f>INDEX('Industry Stats'!$F$2:$F$49,MATCH($C428,'Industry Stats'!$A$2:$A$49,0))</f>
        <v>995.85714285714289</v>
      </c>
      <c r="I428" s="19">
        <f t="shared" si="66"/>
        <v>310.14285714285711</v>
      </c>
      <c r="J428" s="20">
        <f t="shared" si="67"/>
        <v>0.311433079902453</v>
      </c>
      <c r="K428" s="18">
        <f>INDEX('Industry Stats'!$C$2:$C$49,MATCH($C428,'Industry Stats'!$A$2:$A$49,0))</f>
        <v>419.42857142857144</v>
      </c>
      <c r="L428" s="19">
        <f t="shared" si="68"/>
        <v>193.57142857142856</v>
      </c>
      <c r="M428" s="18">
        <f>INDEX('Industry Stats'!$D$2:$D$49,MATCH($C428,'Industry Stats'!$A$2:$A$49,0))</f>
        <v>301.28571428571428</v>
      </c>
      <c r="N428" s="19">
        <f t="shared" si="69"/>
        <v>106.71428571428572</v>
      </c>
      <c r="O428" s="18">
        <f>INDEX('Industry Stats'!$E$2:$E$49,MATCH($C428,'Industry Stats'!$A$2:$A$49,0))</f>
        <v>275.14285714285717</v>
      </c>
      <c r="P428" s="19">
        <f t="shared" si="70"/>
        <v>9.8571428571428328</v>
      </c>
      <c r="R428">
        <f t="shared" si="71"/>
        <v>1306.0009571999999</v>
      </c>
      <c r="S428">
        <f t="shared" si="72"/>
        <v>613.00095720000002</v>
      </c>
      <c r="T428">
        <f t="shared" si="73"/>
        <v>408.00095720000002</v>
      </c>
      <c r="U428">
        <f t="shared" si="74"/>
        <v>285.00095720000002</v>
      </c>
      <c r="V428">
        <f t="shared" si="75"/>
        <v>310.14381434285713</v>
      </c>
      <c r="W428">
        <f t="shared" si="76"/>
        <v>-310.14189994285709</v>
      </c>
    </row>
    <row r="429" spans="1:23" ht="15" customHeight="1" x14ac:dyDescent="0.35">
      <c r="A429" t="str">
        <f>'Raw Data'!B427</f>
        <v>Westinghouse Air Brake Technologies Corp</v>
      </c>
      <c r="B429" t="str">
        <f>'Raw Data'!A427</f>
        <v>wab</v>
      </c>
      <c r="C429" t="str">
        <f>IF('Raw Data'!E427="N/A","Unclassified",TRIM(SUBSTITUTE('Raw Data'!E427," and "," &amp; ")))</f>
        <v>Machinery</v>
      </c>
      <c r="D429" s="17">
        <f>'Raw Data'!N427</f>
        <v>607</v>
      </c>
      <c r="E429" s="17">
        <f>'Raw Data'!O427</f>
        <v>311</v>
      </c>
      <c r="F429" s="17">
        <f>'Raw Data'!P427</f>
        <v>320</v>
      </c>
      <c r="G429" s="17">
        <f>'Raw Data'!Q427</f>
        <v>1238</v>
      </c>
      <c r="H429" s="18">
        <f>INDEX('Industry Stats'!$F$2:$F$49,MATCH($C429,'Industry Stats'!$A$2:$A$49,0))</f>
        <v>1048.047619047619</v>
      </c>
      <c r="I429" s="19">
        <f t="shared" si="66"/>
        <v>189.95238095238096</v>
      </c>
      <c r="J429" s="20">
        <f t="shared" si="67"/>
        <v>0.18124403653051027</v>
      </c>
      <c r="K429" s="18">
        <f>INDEX('Industry Stats'!$C$2:$C$49,MATCH($C429,'Industry Stats'!$A$2:$A$49,0))</f>
        <v>459.57142857142856</v>
      </c>
      <c r="L429" s="19">
        <f t="shared" si="68"/>
        <v>147.42857142857144</v>
      </c>
      <c r="M429" s="18">
        <f>INDEX('Industry Stats'!$D$2:$D$49,MATCH($C429,'Industry Stats'!$A$2:$A$49,0))</f>
        <v>313.66666666666669</v>
      </c>
      <c r="N429" s="19">
        <f t="shared" si="69"/>
        <v>-2.6666666666666856</v>
      </c>
      <c r="O429" s="18">
        <f>INDEX('Industry Stats'!$E$2:$E$49,MATCH($C429,'Industry Stats'!$A$2:$A$49,0))</f>
        <v>274.8095238095238</v>
      </c>
      <c r="P429" s="19">
        <f t="shared" si="70"/>
        <v>45.190476190476204</v>
      </c>
      <c r="R429">
        <f t="shared" si="71"/>
        <v>1238.0009571000001</v>
      </c>
      <c r="S429">
        <f t="shared" si="72"/>
        <v>607.00095710000005</v>
      </c>
      <c r="T429">
        <f t="shared" si="73"/>
        <v>311.00095709999999</v>
      </c>
      <c r="U429">
        <f t="shared" si="74"/>
        <v>320.00095709999999</v>
      </c>
      <c r="V429">
        <f t="shared" si="75"/>
        <v>189.95333805238096</v>
      </c>
      <c r="W429">
        <f t="shared" si="76"/>
        <v>-189.95142385238097</v>
      </c>
    </row>
    <row r="430" spans="1:23" ht="15" customHeight="1" x14ac:dyDescent="0.35">
      <c r="A430" t="str">
        <f>'Raw Data'!B428</f>
        <v>Williams Companies Inc</v>
      </c>
      <c r="B430" t="str">
        <f>'Raw Data'!A428</f>
        <v>wmb</v>
      </c>
      <c r="C430" t="str">
        <f>IF('Raw Data'!E428="N/A","Unclassified",TRIM(SUBSTITUTE('Raw Data'!E428," and "," &amp; ")))</f>
        <v>Energy</v>
      </c>
      <c r="D430" s="17">
        <f>'Raw Data'!N428</f>
        <v>500</v>
      </c>
      <c r="E430" s="17">
        <f>'Raw Data'!O428</f>
        <v>300</v>
      </c>
      <c r="F430" s="17">
        <f>'Raw Data'!P428</f>
        <v>300</v>
      </c>
      <c r="G430" s="17">
        <f>'Raw Data'!Q428</f>
        <v>1100</v>
      </c>
      <c r="H430" s="18">
        <f>INDEX('Industry Stats'!$F$2:$F$49,MATCH($C430,'Industry Stats'!$A$2:$A$49,0))</f>
        <v>1117.7619047619048</v>
      </c>
      <c r="I430" s="19">
        <f t="shared" si="66"/>
        <v>-17.761904761904816</v>
      </c>
      <c r="J430" s="20">
        <f t="shared" si="67"/>
        <v>-1.5890597708004991E-2</v>
      </c>
      <c r="K430" s="18">
        <f>INDEX('Industry Stats'!$C$2:$C$49,MATCH($C430,'Industry Stats'!$A$2:$A$49,0))</f>
        <v>515.09523809523807</v>
      </c>
      <c r="L430" s="19">
        <f t="shared" si="68"/>
        <v>-15.095238095238074</v>
      </c>
      <c r="M430" s="18">
        <f>INDEX('Industry Stats'!$D$2:$D$49,MATCH($C430,'Industry Stats'!$A$2:$A$49,0))</f>
        <v>308.95238095238096</v>
      </c>
      <c r="N430" s="19">
        <f t="shared" si="69"/>
        <v>-8.9523809523809632</v>
      </c>
      <c r="O430" s="18">
        <f>INDEX('Industry Stats'!$E$2:$E$49,MATCH($C430,'Industry Stats'!$A$2:$A$49,0))</f>
        <v>293.71428571428572</v>
      </c>
      <c r="P430" s="19">
        <f t="shared" si="70"/>
        <v>6.2857142857142776</v>
      </c>
      <c r="R430">
        <f t="shared" si="71"/>
        <v>1100.000957</v>
      </c>
      <c r="S430">
        <f t="shared" si="72"/>
        <v>500.00095700000003</v>
      </c>
      <c r="T430">
        <f t="shared" si="73"/>
        <v>300.00095700000003</v>
      </c>
      <c r="U430">
        <f t="shared" si="74"/>
        <v>300.00095700000003</v>
      </c>
      <c r="V430">
        <f t="shared" si="75"/>
        <v>-17.760947761904816</v>
      </c>
      <c r="W430">
        <f t="shared" si="76"/>
        <v>17.762861761904816</v>
      </c>
    </row>
    <row r="431" spans="1:23" ht="15" customHeight="1" x14ac:dyDescent="0.35">
      <c r="A431" t="str">
        <f>'Raw Data'!B429</f>
        <v>Wells Fargo &amp; Co</v>
      </c>
      <c r="B431" t="str">
        <f>'Raw Data'!A429</f>
        <v>wfc</v>
      </c>
      <c r="C431" t="str">
        <f>IF('Raw Data'!E429="N/A","Unclassified",TRIM(SUBSTITUTE('Raw Data'!E429," and "," &amp; ")))</f>
        <v>Banking</v>
      </c>
      <c r="D431" s="17">
        <f>'Raw Data'!N429</f>
        <v>500</v>
      </c>
      <c r="E431" s="17">
        <f>'Raw Data'!O429</f>
        <v>300</v>
      </c>
      <c r="F431" s="17">
        <f>'Raw Data'!P429</f>
        <v>300</v>
      </c>
      <c r="G431" s="17">
        <f>'Raw Data'!Q429</f>
        <v>1100</v>
      </c>
      <c r="H431" s="18">
        <f>INDEX('Industry Stats'!$F$2:$F$49,MATCH($C431,'Industry Stats'!$A$2:$A$49,0))</f>
        <v>898.31034482758616</v>
      </c>
      <c r="I431" s="19">
        <f t="shared" si="66"/>
        <v>201.68965517241384</v>
      </c>
      <c r="J431" s="20">
        <f t="shared" si="67"/>
        <v>0.22452113162642515</v>
      </c>
      <c r="K431" s="18">
        <f>INDEX('Industry Stats'!$C$2:$C$49,MATCH($C431,'Industry Stats'!$A$2:$A$49,0))</f>
        <v>341.48275862068965</v>
      </c>
      <c r="L431" s="19">
        <f t="shared" si="68"/>
        <v>158.51724137931035</v>
      </c>
      <c r="M431" s="18">
        <f>INDEX('Industry Stats'!$D$2:$D$49,MATCH($C431,'Industry Stats'!$A$2:$A$49,0))</f>
        <v>292.34482758620692</v>
      </c>
      <c r="N431" s="19">
        <f t="shared" si="69"/>
        <v>7.6551724137930819</v>
      </c>
      <c r="O431" s="18">
        <f>INDEX('Industry Stats'!$E$2:$E$49,MATCH($C431,'Industry Stats'!$A$2:$A$49,0))</f>
        <v>264.48275862068965</v>
      </c>
      <c r="P431" s="19">
        <f t="shared" si="70"/>
        <v>35.517241379310349</v>
      </c>
      <c r="R431">
        <f t="shared" si="71"/>
        <v>1100.0009568999999</v>
      </c>
      <c r="S431">
        <f t="shared" si="72"/>
        <v>500.00095690000001</v>
      </c>
      <c r="T431">
        <f t="shared" si="73"/>
        <v>300.00095690000001</v>
      </c>
      <c r="U431">
        <f t="shared" si="74"/>
        <v>300.00095690000001</v>
      </c>
      <c r="V431">
        <f t="shared" si="75"/>
        <v>201.69061207241384</v>
      </c>
      <c r="W431">
        <f t="shared" si="76"/>
        <v>-201.68869827241383</v>
      </c>
    </row>
    <row r="432" spans="1:23" ht="15" customHeight="1" x14ac:dyDescent="0.35">
      <c r="A432" t="str">
        <f>'Raw Data'!B430</f>
        <v>Whirlpool Corp</v>
      </c>
      <c r="B432" t="str">
        <f>'Raw Data'!A430</f>
        <v>whr</v>
      </c>
      <c r="C432" t="str">
        <f>IF('Raw Data'!E430="N/A","Unclassified",TRIM(SUBSTITUTE('Raw Data'!E430," and "," &amp; ")))</f>
        <v>Consumer products</v>
      </c>
      <c r="D432" s="17">
        <f>'Raw Data'!N430</f>
        <v>500</v>
      </c>
      <c r="E432" s="17">
        <f>'Raw Data'!O430</f>
        <v>301</v>
      </c>
      <c r="F432" s="17">
        <f>'Raw Data'!P430</f>
        <v>300</v>
      </c>
      <c r="G432" s="17">
        <f>'Raw Data'!Q430</f>
        <v>1101</v>
      </c>
      <c r="H432" s="18">
        <f>INDEX('Industry Stats'!$F$2:$F$49,MATCH($C432,'Industry Stats'!$A$2:$A$49,0))</f>
        <v>945.55</v>
      </c>
      <c r="I432" s="19">
        <f t="shared" si="66"/>
        <v>155.45000000000005</v>
      </c>
      <c r="J432" s="20">
        <f t="shared" si="67"/>
        <v>0.16440167098514097</v>
      </c>
      <c r="K432" s="18">
        <f>INDEX('Industry Stats'!$C$2:$C$49,MATCH($C432,'Industry Stats'!$A$2:$A$49,0))</f>
        <v>384.9</v>
      </c>
      <c r="L432" s="19">
        <f t="shared" si="68"/>
        <v>115.10000000000002</v>
      </c>
      <c r="M432" s="18">
        <f>INDEX('Industry Stats'!$D$2:$D$49,MATCH($C432,'Industry Stats'!$A$2:$A$49,0))</f>
        <v>285.7</v>
      </c>
      <c r="N432" s="19">
        <f t="shared" si="69"/>
        <v>15.300000000000011</v>
      </c>
      <c r="O432" s="18">
        <f>INDEX('Industry Stats'!$E$2:$E$49,MATCH($C432,'Industry Stats'!$A$2:$A$49,0))</f>
        <v>274.95</v>
      </c>
      <c r="P432" s="19">
        <f t="shared" si="70"/>
        <v>25.050000000000011</v>
      </c>
      <c r="R432">
        <f t="shared" si="71"/>
        <v>1101.0009568</v>
      </c>
      <c r="S432">
        <f t="shared" si="72"/>
        <v>500.00095679999998</v>
      </c>
      <c r="T432">
        <f t="shared" si="73"/>
        <v>301.00095679999998</v>
      </c>
      <c r="U432">
        <f t="shared" si="74"/>
        <v>300.00095679999998</v>
      </c>
      <c r="V432">
        <f t="shared" si="75"/>
        <v>155.45095680000006</v>
      </c>
      <c r="W432">
        <f t="shared" si="76"/>
        <v>-155.44904320000003</v>
      </c>
    </row>
    <row r="433" spans="1:23" ht="15" customHeight="1" x14ac:dyDescent="0.35">
      <c r="A433" t="str">
        <f>'Raw Data'!B431</f>
        <v>West Pharmaceutical Services Inc</v>
      </c>
      <c r="B433" t="str">
        <f>'Raw Data'!A431</f>
        <v>wst</v>
      </c>
      <c r="C433" t="str">
        <f>IF('Raw Data'!E431="N/A","Unclassified",TRIM(SUBSTITUTE('Raw Data'!E431," and "," &amp; ")))</f>
        <v>Life Sciences Tools &amp; Services</v>
      </c>
      <c r="D433" s="17">
        <f>'Raw Data'!N431</f>
        <v>540</v>
      </c>
      <c r="E433" s="17">
        <f>'Raw Data'!O431</f>
        <v>330</v>
      </c>
      <c r="F433" s="17">
        <f>'Raw Data'!P431</f>
        <v>305</v>
      </c>
      <c r="G433" s="17">
        <f>'Raw Data'!Q431</f>
        <v>1175</v>
      </c>
      <c r="H433" s="18">
        <f>INDEX('Industry Stats'!$F$2:$F$49,MATCH($C433,'Industry Stats'!$A$2:$A$49,0))</f>
        <v>993.125</v>
      </c>
      <c r="I433" s="19">
        <f t="shared" si="66"/>
        <v>181.875</v>
      </c>
      <c r="J433" s="20">
        <f t="shared" si="67"/>
        <v>0.18313404657016991</v>
      </c>
      <c r="K433" s="18">
        <f>INDEX('Industry Stats'!$C$2:$C$49,MATCH($C433,'Industry Stats'!$A$2:$A$49,0))</f>
        <v>421.375</v>
      </c>
      <c r="L433" s="19">
        <f t="shared" si="68"/>
        <v>118.625</v>
      </c>
      <c r="M433" s="18">
        <f>INDEX('Industry Stats'!$D$2:$D$49,MATCH($C433,'Industry Stats'!$A$2:$A$49,0))</f>
        <v>294.5</v>
      </c>
      <c r="N433" s="19">
        <f t="shared" si="69"/>
        <v>35.5</v>
      </c>
      <c r="O433" s="18">
        <f>INDEX('Industry Stats'!$E$2:$E$49,MATCH($C433,'Industry Stats'!$A$2:$A$49,0))</f>
        <v>277.25</v>
      </c>
      <c r="P433" s="19">
        <f t="shared" si="70"/>
        <v>27.75</v>
      </c>
      <c r="R433">
        <f t="shared" si="71"/>
        <v>1175.0009567</v>
      </c>
      <c r="S433">
        <f t="shared" si="72"/>
        <v>540.00095669999996</v>
      </c>
      <c r="T433">
        <f t="shared" si="73"/>
        <v>330.00095670000002</v>
      </c>
      <c r="U433">
        <f t="shared" si="74"/>
        <v>305.00095670000002</v>
      </c>
      <c r="V433">
        <f t="shared" si="75"/>
        <v>181.87595669999999</v>
      </c>
      <c r="W433">
        <f t="shared" si="76"/>
        <v>-181.87404330000001</v>
      </c>
    </row>
    <row r="434" spans="1:23" ht="15" customHeight="1" x14ac:dyDescent="0.35">
      <c r="A434" t="str">
        <f>'Raw Data'!B432</f>
        <v>W R Berkley Corp</v>
      </c>
      <c r="B434" t="str">
        <f>'Raw Data'!A432</f>
        <v>wrb</v>
      </c>
      <c r="C434" t="str">
        <f>IF('Raw Data'!E432="N/A","Unclassified",TRIM(SUBSTITUTE('Raw Data'!E432," and "," &amp; ")))</f>
        <v>Insurance</v>
      </c>
      <c r="D434" s="17">
        <f>'Raw Data'!N432</f>
        <v>360</v>
      </c>
      <c r="E434" s="17">
        <f>'Raw Data'!O432</f>
        <v>294</v>
      </c>
      <c r="F434" s="17">
        <f>'Raw Data'!P432</f>
        <v>300</v>
      </c>
      <c r="G434" s="17">
        <f>'Raw Data'!Q432</f>
        <v>954</v>
      </c>
      <c r="H434" s="18">
        <f>INDEX('Industry Stats'!$F$2:$F$49,MATCH($C434,'Industry Stats'!$A$2:$A$49,0))</f>
        <v>1012.3703703703703</v>
      </c>
      <c r="I434" s="19">
        <f t="shared" si="66"/>
        <v>-58.370370370370324</v>
      </c>
      <c r="J434" s="20">
        <f t="shared" si="67"/>
        <v>-5.7657130313894737E-2</v>
      </c>
      <c r="K434" s="18">
        <f>INDEX('Industry Stats'!$C$2:$C$49,MATCH($C434,'Industry Stats'!$A$2:$A$49,0))</f>
        <v>425.25925925925924</v>
      </c>
      <c r="L434" s="19">
        <f t="shared" si="68"/>
        <v>-65.259259259259238</v>
      </c>
      <c r="M434" s="18">
        <f>INDEX('Industry Stats'!$D$2:$D$49,MATCH($C434,'Industry Stats'!$A$2:$A$49,0))</f>
        <v>295.66666666666669</v>
      </c>
      <c r="N434" s="19">
        <f t="shared" si="69"/>
        <v>-1.6666666666666856</v>
      </c>
      <c r="O434" s="18">
        <f>INDEX('Industry Stats'!$E$2:$E$49,MATCH($C434,'Industry Stats'!$A$2:$A$49,0))</f>
        <v>291.44444444444446</v>
      </c>
      <c r="P434" s="19">
        <f t="shared" si="70"/>
        <v>8.5555555555555429</v>
      </c>
      <c r="R434">
        <f t="shared" si="71"/>
        <v>954.00095659999999</v>
      </c>
      <c r="S434">
        <f t="shared" si="72"/>
        <v>360.00095659999999</v>
      </c>
      <c r="T434">
        <f t="shared" si="73"/>
        <v>294.00095659999999</v>
      </c>
      <c r="U434">
        <f t="shared" si="74"/>
        <v>300.00095659999999</v>
      </c>
      <c r="V434">
        <f t="shared" si="75"/>
        <v>-58.369413770370322</v>
      </c>
      <c r="W434">
        <f t="shared" si="76"/>
        <v>58.371326970370326</v>
      </c>
    </row>
    <row r="435" spans="1:23" ht="15" customHeight="1" x14ac:dyDescent="0.35">
      <c r="A435" t="str">
        <f>'Raw Data'!B433</f>
        <v>Walmart Inc</v>
      </c>
      <c r="B435" t="str">
        <f>'Raw Data'!A433</f>
        <v>wmt</v>
      </c>
      <c r="C435" t="str">
        <f>IF('Raw Data'!E433="N/A","Unclassified",TRIM(SUBSTITUTE('Raw Data'!E433," and "," &amp; ")))</f>
        <v>Retail</v>
      </c>
      <c r="D435" s="17">
        <f>'Raw Data'!N433</f>
        <v>310</v>
      </c>
      <c r="E435" s="17">
        <f>'Raw Data'!O433</f>
        <v>281</v>
      </c>
      <c r="F435" s="17">
        <f>'Raw Data'!P433</f>
        <v>220</v>
      </c>
      <c r="G435" s="17">
        <f>'Raw Data'!Q433</f>
        <v>811</v>
      </c>
      <c r="H435" s="18">
        <f>INDEX('Industry Stats'!$F$2:$F$49,MATCH($C435,'Industry Stats'!$A$2:$A$49,0))</f>
        <v>918.57692307692309</v>
      </c>
      <c r="I435" s="19">
        <f t="shared" si="66"/>
        <v>-107.57692307692309</v>
      </c>
      <c r="J435" s="20">
        <f t="shared" si="67"/>
        <v>-0.11711259054557636</v>
      </c>
      <c r="K435" s="18">
        <f>INDEX('Industry Stats'!$C$2:$C$49,MATCH($C435,'Industry Stats'!$A$2:$A$49,0))</f>
        <v>380.30769230769232</v>
      </c>
      <c r="L435" s="19">
        <f t="shared" si="68"/>
        <v>-70.307692307692321</v>
      </c>
      <c r="M435" s="18">
        <f>INDEX('Industry Stats'!$D$2:$D$49,MATCH($C435,'Industry Stats'!$A$2:$A$49,0))</f>
        <v>274.96153846153845</v>
      </c>
      <c r="N435" s="19">
        <f t="shared" si="69"/>
        <v>6.0384615384615472</v>
      </c>
      <c r="O435" s="18">
        <f>INDEX('Industry Stats'!$E$2:$E$49,MATCH($C435,'Industry Stats'!$A$2:$A$49,0))</f>
        <v>263.30769230769232</v>
      </c>
      <c r="P435" s="19">
        <f t="shared" si="70"/>
        <v>-43.307692307692321</v>
      </c>
      <c r="R435">
        <f t="shared" si="71"/>
        <v>811.00095650000003</v>
      </c>
      <c r="S435">
        <f t="shared" si="72"/>
        <v>310.00095649999997</v>
      </c>
      <c r="T435">
        <f t="shared" si="73"/>
        <v>281.00095649999997</v>
      </c>
      <c r="U435">
        <f t="shared" si="74"/>
        <v>220.0009565</v>
      </c>
      <c r="V435">
        <f t="shared" si="75"/>
        <v>-107.57596657692309</v>
      </c>
      <c r="W435">
        <f t="shared" si="76"/>
        <v>107.5778795769231</v>
      </c>
    </row>
    <row r="436" spans="1:23" ht="15" customHeight="1" x14ac:dyDescent="0.35">
      <c r="A436" t="str">
        <f>'Raw Data'!B434</f>
        <v>Western Union Co</v>
      </c>
      <c r="B436" t="str">
        <f>'Raw Data'!A434</f>
        <v>wu</v>
      </c>
      <c r="C436" t="str">
        <f>IF('Raw Data'!E434="N/A","Unclassified",TRIM(SUBSTITUTE('Raw Data'!E434," and "," &amp; ")))</f>
        <v>Technology</v>
      </c>
      <c r="D436" s="17">
        <f>'Raw Data'!N434</f>
        <v>205</v>
      </c>
      <c r="E436" s="17">
        <f>'Raw Data'!O434</f>
        <v>205</v>
      </c>
      <c r="F436" s="17">
        <f>'Raw Data'!P434</f>
        <v>228</v>
      </c>
      <c r="G436" s="17">
        <f>'Raw Data'!Q434</f>
        <v>638</v>
      </c>
      <c r="H436" s="18">
        <f>INDEX('Industry Stats'!$F$2:$F$49,MATCH($C436,'Industry Stats'!$A$2:$A$49,0))</f>
        <v>1031.3174603174602</v>
      </c>
      <c r="I436" s="19">
        <f t="shared" si="66"/>
        <v>-393.31746031746025</v>
      </c>
      <c r="J436" s="20">
        <f t="shared" si="67"/>
        <v>-0.38137380142520733</v>
      </c>
      <c r="K436" s="18">
        <f>INDEX('Industry Stats'!$C$2:$C$49,MATCH($C436,'Industry Stats'!$A$2:$A$49,0))</f>
        <v>438.11111111111109</v>
      </c>
      <c r="L436" s="19">
        <f t="shared" si="68"/>
        <v>-233.11111111111109</v>
      </c>
      <c r="M436" s="18">
        <f>INDEX('Industry Stats'!$D$2:$D$49,MATCH($C436,'Industry Stats'!$A$2:$A$49,0))</f>
        <v>307.90476190476193</v>
      </c>
      <c r="N436" s="19">
        <f t="shared" si="69"/>
        <v>-102.90476190476193</v>
      </c>
      <c r="O436" s="18">
        <f>INDEX('Industry Stats'!$E$2:$E$49,MATCH($C436,'Industry Stats'!$A$2:$A$49,0))</f>
        <v>285.30158730158729</v>
      </c>
      <c r="P436" s="19">
        <f t="shared" si="70"/>
        <v>-57.30158730158729</v>
      </c>
      <c r="R436">
        <f t="shared" si="71"/>
        <v>638.00095639999995</v>
      </c>
      <c r="S436">
        <f t="shared" si="72"/>
        <v>205.00095640000001</v>
      </c>
      <c r="T436">
        <f t="shared" si="73"/>
        <v>205.00095640000001</v>
      </c>
      <c r="U436">
        <f t="shared" si="74"/>
        <v>228.00095640000001</v>
      </c>
      <c r="V436">
        <f t="shared" si="75"/>
        <v>-393.31650391746024</v>
      </c>
      <c r="W436">
        <f t="shared" si="76"/>
        <v>393.31841671746025</v>
      </c>
    </row>
    <row r="437" spans="1:23" ht="15" customHeight="1" x14ac:dyDescent="0.35">
      <c r="A437" t="str">
        <f>'Raw Data'!B435</f>
        <v>Yum! Brands Inc</v>
      </c>
      <c r="B437" t="str">
        <f>'Raw Data'!A435</f>
        <v>yum</v>
      </c>
      <c r="C437" t="str">
        <f>IF('Raw Data'!E435="N/A","Unclassified",TRIM(SUBSTITUTE('Raw Data'!E435," and "," &amp; ")))</f>
        <v>Hotels Restaurants &amp; Leisure</v>
      </c>
      <c r="D437" s="17">
        <f>'Raw Data'!N435</f>
        <v>500</v>
      </c>
      <c r="E437" s="17">
        <f>'Raw Data'!O435</f>
        <v>320</v>
      </c>
      <c r="F437" s="17">
        <f>'Raw Data'!P435</f>
        <v>310</v>
      </c>
      <c r="G437" s="17">
        <f>'Raw Data'!Q435</f>
        <v>1130</v>
      </c>
      <c r="H437" s="18">
        <f>INDEX('Industry Stats'!$F$2:$F$49,MATCH($C437,'Industry Stats'!$A$2:$A$49,0))</f>
        <v>918.86363636363637</v>
      </c>
      <c r="I437" s="19">
        <f t="shared" si="66"/>
        <v>211.13636363636363</v>
      </c>
      <c r="J437" s="20">
        <f t="shared" si="67"/>
        <v>0.22977986643581497</v>
      </c>
      <c r="K437" s="18">
        <f>INDEX('Industry Stats'!$C$2:$C$49,MATCH($C437,'Industry Stats'!$A$2:$A$49,0))</f>
        <v>374.63636363636363</v>
      </c>
      <c r="L437" s="19">
        <f t="shared" si="68"/>
        <v>125.36363636363637</v>
      </c>
      <c r="M437" s="18">
        <f>INDEX('Industry Stats'!$D$2:$D$49,MATCH($C437,'Industry Stats'!$A$2:$A$49,0))</f>
        <v>283.04545454545456</v>
      </c>
      <c r="N437" s="19">
        <f t="shared" si="69"/>
        <v>36.954545454545439</v>
      </c>
      <c r="O437" s="18">
        <f>INDEX('Industry Stats'!$E$2:$E$49,MATCH($C437,'Industry Stats'!$A$2:$A$49,0))</f>
        <v>261.18181818181819</v>
      </c>
      <c r="P437" s="19">
        <f t="shared" si="70"/>
        <v>48.818181818181813</v>
      </c>
      <c r="R437">
        <f t="shared" si="71"/>
        <v>1130.0009563000001</v>
      </c>
      <c r="S437">
        <f t="shared" si="72"/>
        <v>500.00095629999998</v>
      </c>
      <c r="T437">
        <f t="shared" si="73"/>
        <v>320.00095629999998</v>
      </c>
      <c r="U437">
        <f t="shared" si="74"/>
        <v>310.00095629999998</v>
      </c>
      <c r="V437">
        <f t="shared" si="75"/>
        <v>211.13731993636364</v>
      </c>
      <c r="W437">
        <f t="shared" si="76"/>
        <v>-211.13540733636361</v>
      </c>
    </row>
    <row r="438" spans="1:23" ht="15" customHeight="1" x14ac:dyDescent="0.35">
      <c r="A438" t="str">
        <f>'Raw Data'!B436</f>
        <v>Xylem Inc</v>
      </c>
      <c r="B438" t="str">
        <f>'Raw Data'!A436</f>
        <v>xyl</v>
      </c>
      <c r="C438" t="str">
        <f>IF('Raw Data'!E436="N/A","Unclassified",TRIM(SUBSTITUTE('Raw Data'!E436," and "," &amp; ")))</f>
        <v>Machinery</v>
      </c>
      <c r="D438" s="17">
        <f>'Raw Data'!N436</f>
        <v>374</v>
      </c>
      <c r="E438" s="17">
        <f>'Raw Data'!O436</f>
        <v>254</v>
      </c>
      <c r="F438" s="17">
        <f>'Raw Data'!P436</f>
        <v>210</v>
      </c>
      <c r="G438" s="17">
        <f>'Raw Data'!Q436</f>
        <v>838</v>
      </c>
      <c r="H438" s="18">
        <f>INDEX('Industry Stats'!$F$2:$F$49,MATCH($C438,'Industry Stats'!$A$2:$A$49,0))</f>
        <v>1048.047619047619</v>
      </c>
      <c r="I438" s="19">
        <f t="shared" si="66"/>
        <v>-210.04761904761904</v>
      </c>
      <c r="J438" s="20">
        <f t="shared" si="67"/>
        <v>-0.20041801081375801</v>
      </c>
      <c r="K438" s="18">
        <f>INDEX('Industry Stats'!$C$2:$C$49,MATCH($C438,'Industry Stats'!$A$2:$A$49,0))</f>
        <v>459.57142857142856</v>
      </c>
      <c r="L438" s="19">
        <f t="shared" si="68"/>
        <v>-85.571428571428555</v>
      </c>
      <c r="M438" s="18">
        <f>INDEX('Industry Stats'!$D$2:$D$49,MATCH($C438,'Industry Stats'!$A$2:$A$49,0))</f>
        <v>313.66666666666669</v>
      </c>
      <c r="N438" s="19">
        <f t="shared" si="69"/>
        <v>-59.666666666666686</v>
      </c>
      <c r="O438" s="18">
        <f>INDEX('Industry Stats'!$E$2:$E$49,MATCH($C438,'Industry Stats'!$A$2:$A$49,0))</f>
        <v>274.8095238095238</v>
      </c>
      <c r="P438" s="19">
        <f t="shared" si="70"/>
        <v>-64.809523809523796</v>
      </c>
      <c r="R438">
        <f t="shared" si="71"/>
        <v>838.00095620000002</v>
      </c>
      <c r="S438">
        <f t="shared" si="72"/>
        <v>374.00095620000002</v>
      </c>
      <c r="T438">
        <f t="shared" si="73"/>
        <v>254.00095619999999</v>
      </c>
      <c r="U438">
        <f t="shared" si="74"/>
        <v>210.00095619999999</v>
      </c>
      <c r="V438">
        <f t="shared" si="75"/>
        <v>-210.04666284761905</v>
      </c>
      <c r="W438">
        <f t="shared" si="76"/>
        <v>210.04857524761903</v>
      </c>
    </row>
    <row r="439" spans="1:23" ht="15" customHeight="1" x14ac:dyDescent="0.35">
      <c r="A439" t="str">
        <f>'Raw Data'!B437</f>
        <v>Weyerhaeuser Co</v>
      </c>
      <c r="B439" t="str">
        <f>'Raw Data'!A437</f>
        <v>wy</v>
      </c>
      <c r="C439" t="str">
        <f>IF('Raw Data'!E437="N/A","Unclassified",TRIM(SUBSTITUTE('Raw Data'!E437," and "," &amp; ")))</f>
        <v>Real Estate</v>
      </c>
      <c r="D439" s="17">
        <f>'Raw Data'!N437</f>
        <v>700</v>
      </c>
      <c r="E439" s="17">
        <f>'Raw Data'!O437</f>
        <v>340</v>
      </c>
      <c r="F439" s="17">
        <f>'Raw Data'!P437</f>
        <v>300</v>
      </c>
      <c r="G439" s="17">
        <f>'Raw Data'!Q437</f>
        <v>1340</v>
      </c>
      <c r="H439" s="18">
        <f>INDEX('Industry Stats'!$F$2:$F$49,MATCH($C439,'Industry Stats'!$A$2:$A$49,0))</f>
        <v>995.94444444444446</v>
      </c>
      <c r="I439" s="19">
        <f t="shared" si="66"/>
        <v>344.05555555555554</v>
      </c>
      <c r="J439" s="20">
        <f t="shared" si="67"/>
        <v>0.3454565738829698</v>
      </c>
      <c r="K439" s="18">
        <f>INDEX('Industry Stats'!$C$2:$C$49,MATCH($C439,'Industry Stats'!$A$2:$A$49,0))</f>
        <v>431.38888888888891</v>
      </c>
      <c r="L439" s="19">
        <f t="shared" si="68"/>
        <v>268.61111111111109</v>
      </c>
      <c r="M439" s="18">
        <f>INDEX('Industry Stats'!$D$2:$D$49,MATCH($C439,'Industry Stats'!$A$2:$A$49,0))</f>
        <v>290.91666666666669</v>
      </c>
      <c r="N439" s="19">
        <f t="shared" si="69"/>
        <v>49.083333333333314</v>
      </c>
      <c r="O439" s="18">
        <f>INDEX('Industry Stats'!$E$2:$E$49,MATCH($C439,'Industry Stats'!$A$2:$A$49,0))</f>
        <v>273.63888888888891</v>
      </c>
      <c r="P439" s="19">
        <f t="shared" si="70"/>
        <v>26.361111111111086</v>
      </c>
      <c r="R439">
        <f t="shared" si="71"/>
        <v>1340.0009560999999</v>
      </c>
      <c r="S439">
        <f t="shared" si="72"/>
        <v>700.00095610000005</v>
      </c>
      <c r="T439">
        <f t="shared" si="73"/>
        <v>340.0009561</v>
      </c>
      <c r="U439">
        <f t="shared" si="74"/>
        <v>300.0009561</v>
      </c>
      <c r="V439">
        <f t="shared" si="75"/>
        <v>344.05651165555554</v>
      </c>
      <c r="W439">
        <f t="shared" si="76"/>
        <v>-344.05459945555555</v>
      </c>
    </row>
    <row r="440" spans="1:23" ht="15" customHeight="1" x14ac:dyDescent="0.35">
      <c r="A440" t="str">
        <f>'Raw Data'!B438</f>
        <v>Westrock Co</v>
      </c>
      <c r="B440" t="str">
        <f>'Raw Data'!A438</f>
        <v>wrk</v>
      </c>
      <c r="C440" t="str">
        <f>IF('Raw Data'!E438="N/A","Unclassified",TRIM(SUBSTITUTE('Raw Data'!E438," and "," &amp; ")))</f>
        <v>Packaging</v>
      </c>
      <c r="D440" s="17">
        <f>'Raw Data'!N438</f>
        <v>555</v>
      </c>
      <c r="E440" s="17">
        <f>'Raw Data'!O438</f>
        <v>324</v>
      </c>
      <c r="F440" s="17">
        <f>'Raw Data'!P438</f>
        <v>305</v>
      </c>
      <c r="G440" s="17">
        <f>'Raw Data'!Q438</f>
        <v>1184</v>
      </c>
      <c r="H440" s="18">
        <f>INDEX('Industry Stats'!$F$2:$F$49,MATCH($C440,'Industry Stats'!$A$2:$A$49,0))</f>
        <v>1156</v>
      </c>
      <c r="I440" s="19">
        <f t="shared" si="66"/>
        <v>28</v>
      </c>
      <c r="J440" s="20">
        <f t="shared" si="67"/>
        <v>2.4221453287197232E-2</v>
      </c>
      <c r="K440" s="18">
        <f>INDEX('Industry Stats'!$C$2:$C$49,MATCH($C440,'Industry Stats'!$A$2:$A$49,0))</f>
        <v>536.25</v>
      </c>
      <c r="L440" s="19">
        <f t="shared" si="68"/>
        <v>18.75</v>
      </c>
      <c r="M440" s="18">
        <f>INDEX('Industry Stats'!$D$2:$D$49,MATCH($C440,'Industry Stats'!$A$2:$A$49,0))</f>
        <v>323</v>
      </c>
      <c r="N440" s="19">
        <f t="shared" si="69"/>
        <v>1</v>
      </c>
      <c r="O440" s="18">
        <f>INDEX('Industry Stats'!$E$2:$E$49,MATCH($C440,'Industry Stats'!$A$2:$A$49,0))</f>
        <v>296.75</v>
      </c>
      <c r="P440" s="19">
        <f t="shared" si="70"/>
        <v>8.25</v>
      </c>
      <c r="R440">
        <f t="shared" si="71"/>
        <v>1184.0009560000001</v>
      </c>
      <c r="S440">
        <f t="shared" si="72"/>
        <v>555.00095599999997</v>
      </c>
      <c r="T440">
        <f t="shared" si="73"/>
        <v>324.00095599999997</v>
      </c>
      <c r="U440">
        <f t="shared" si="74"/>
        <v>305.00095599999997</v>
      </c>
      <c r="V440">
        <f t="shared" si="75"/>
        <v>28.000955999999999</v>
      </c>
      <c r="W440">
        <f t="shared" si="76"/>
        <v>-27.999044000000001</v>
      </c>
    </row>
    <row r="441" spans="1:23" ht="15" customHeight="1" x14ac:dyDescent="0.35">
      <c r="A441" t="str">
        <f>'Raw Data'!B439</f>
        <v>Exxon Mobil Corp</v>
      </c>
      <c r="B441" t="str">
        <f>'Raw Data'!A439</f>
        <v>xom</v>
      </c>
      <c r="C441" t="str">
        <f>IF('Raw Data'!E439="N/A","Unclassified",TRIM(SUBSTITUTE('Raw Data'!E439," and "," &amp; ")))</f>
        <v>Energy</v>
      </c>
      <c r="D441" s="17">
        <f>'Raw Data'!N439</f>
        <v>538</v>
      </c>
      <c r="E441" s="17">
        <f>'Raw Data'!O439</f>
        <v>322</v>
      </c>
      <c r="F441" s="17">
        <f>'Raw Data'!P439</f>
        <v>313</v>
      </c>
      <c r="G441" s="17">
        <f>'Raw Data'!Q439</f>
        <v>1173</v>
      </c>
      <c r="H441" s="18">
        <f>INDEX('Industry Stats'!$F$2:$F$49,MATCH($C441,'Industry Stats'!$A$2:$A$49,0))</f>
        <v>1117.7619047619048</v>
      </c>
      <c r="I441" s="19">
        <f t="shared" si="66"/>
        <v>55.238095238095184</v>
      </c>
      <c r="J441" s="20">
        <f t="shared" si="67"/>
        <v>4.9418480807736496E-2</v>
      </c>
      <c r="K441" s="18">
        <f>INDEX('Industry Stats'!$C$2:$C$49,MATCH($C441,'Industry Stats'!$A$2:$A$49,0))</f>
        <v>515.09523809523807</v>
      </c>
      <c r="L441" s="19">
        <f t="shared" si="68"/>
        <v>22.904761904761926</v>
      </c>
      <c r="M441" s="18">
        <f>INDEX('Industry Stats'!$D$2:$D$49,MATCH($C441,'Industry Stats'!$A$2:$A$49,0))</f>
        <v>308.95238095238096</v>
      </c>
      <c r="N441" s="19">
        <f t="shared" si="69"/>
        <v>13.047619047619037</v>
      </c>
      <c r="O441" s="18">
        <f>INDEX('Industry Stats'!$E$2:$E$49,MATCH($C441,'Industry Stats'!$A$2:$A$49,0))</f>
        <v>293.71428571428572</v>
      </c>
      <c r="P441" s="19">
        <f t="shared" si="70"/>
        <v>19.285714285714278</v>
      </c>
      <c r="R441">
        <f t="shared" si="71"/>
        <v>1173.0009559</v>
      </c>
      <c r="S441">
        <f t="shared" si="72"/>
        <v>538.00095590000001</v>
      </c>
      <c r="T441">
        <f t="shared" si="73"/>
        <v>322.00095590000001</v>
      </c>
      <c r="U441">
        <f t="shared" si="74"/>
        <v>313.00095590000001</v>
      </c>
      <c r="V441">
        <f t="shared" si="75"/>
        <v>55.239051138095185</v>
      </c>
      <c r="W441">
        <f t="shared" si="76"/>
        <v>-55.237139338095183</v>
      </c>
    </row>
    <row r="442" spans="1:23" ht="15" customHeight="1" x14ac:dyDescent="0.35">
      <c r="A442" t="str">
        <f>'Raw Data'!B440</f>
        <v>Zimmer Biomet Holdings Inc</v>
      </c>
      <c r="B442" t="str">
        <f>'Raw Data'!A440</f>
        <v>zbh</v>
      </c>
      <c r="C442" t="str">
        <f>IF('Raw Data'!E440="N/A","Unclassified",TRIM(SUBSTITUTE('Raw Data'!E440," and "," &amp; ")))</f>
        <v>Health Care</v>
      </c>
      <c r="D442" s="17">
        <f>'Raw Data'!N440</f>
        <v>520</v>
      </c>
      <c r="E442" s="17">
        <f>'Raw Data'!O440</f>
        <v>330</v>
      </c>
      <c r="F442" s="17">
        <f>'Raw Data'!P440</f>
        <v>310</v>
      </c>
      <c r="G442" s="17">
        <f>'Raw Data'!Q440</f>
        <v>1160</v>
      </c>
      <c r="H442" s="18">
        <f>INDEX('Industry Stats'!$F$2:$F$49,MATCH($C442,'Industry Stats'!$A$2:$A$49,0))</f>
        <v>938.76470588235293</v>
      </c>
      <c r="I442" s="19">
        <f t="shared" si="66"/>
        <v>221.23529411764707</v>
      </c>
      <c r="J442" s="20">
        <f t="shared" si="67"/>
        <v>0.23566639513753995</v>
      </c>
      <c r="K442" s="18">
        <f>INDEX('Industry Stats'!$C$2:$C$49,MATCH($C442,'Industry Stats'!$A$2:$A$49,0))</f>
        <v>374.52941176470586</v>
      </c>
      <c r="L442" s="19">
        <f t="shared" si="68"/>
        <v>145.47058823529414</v>
      </c>
      <c r="M442" s="18">
        <f>INDEX('Industry Stats'!$D$2:$D$49,MATCH($C442,'Industry Stats'!$A$2:$A$49,0))</f>
        <v>287.43137254901961</v>
      </c>
      <c r="N442" s="19">
        <f t="shared" si="69"/>
        <v>42.568627450980387</v>
      </c>
      <c r="O442" s="18">
        <f>INDEX('Industry Stats'!$E$2:$E$49,MATCH($C442,'Industry Stats'!$A$2:$A$49,0))</f>
        <v>276.80392156862746</v>
      </c>
      <c r="P442" s="19">
        <f t="shared" si="70"/>
        <v>33.196078431372541</v>
      </c>
      <c r="R442">
        <f t="shared" si="71"/>
        <v>1160.0009557999999</v>
      </c>
      <c r="S442">
        <f t="shared" si="72"/>
        <v>520.00095580000004</v>
      </c>
      <c r="T442">
        <f t="shared" si="73"/>
        <v>330.00095579999999</v>
      </c>
      <c r="U442">
        <f t="shared" si="74"/>
        <v>310.00095579999999</v>
      </c>
      <c r="V442">
        <f t="shared" si="75"/>
        <v>221.23624991764709</v>
      </c>
      <c r="W442">
        <f t="shared" si="76"/>
        <v>-221.23433831764706</v>
      </c>
    </row>
    <row r="443" spans="1:23" ht="15" customHeight="1" x14ac:dyDescent="0.35">
      <c r="A443" t="str">
        <f>'Raw Data'!B441</f>
        <v>Zoetis Inc</v>
      </c>
      <c r="B443" t="str">
        <f>'Raw Data'!A441</f>
        <v>zts</v>
      </c>
      <c r="C443" t="str">
        <f>IF('Raw Data'!E441="N/A","Unclassified",TRIM(SUBSTITUTE('Raw Data'!E441," and "," &amp; ")))</f>
        <v>Pharmaceuticals</v>
      </c>
      <c r="D443" s="17">
        <f>'Raw Data'!N441</f>
        <v>520</v>
      </c>
      <c r="E443" s="17">
        <f>'Raw Data'!O441</f>
        <v>348</v>
      </c>
      <c r="F443" s="17">
        <f>'Raw Data'!P441</f>
        <v>310</v>
      </c>
      <c r="G443" s="17">
        <f>'Raw Data'!Q441</f>
        <v>1178</v>
      </c>
      <c r="H443" s="18">
        <f>INDEX('Industry Stats'!$F$2:$F$49,MATCH($C443,'Industry Stats'!$A$2:$A$49,0))</f>
        <v>903.66666666666663</v>
      </c>
      <c r="I443" s="19">
        <f t="shared" si="66"/>
        <v>274.33333333333337</v>
      </c>
      <c r="J443" s="20">
        <f t="shared" si="67"/>
        <v>0.30357801549243829</v>
      </c>
      <c r="K443" s="18">
        <f>INDEX('Industry Stats'!$C$2:$C$49,MATCH($C443,'Industry Stats'!$A$2:$A$49,0))</f>
        <v>360.04761904761904</v>
      </c>
      <c r="L443" s="19">
        <f t="shared" si="68"/>
        <v>159.95238095238096</v>
      </c>
      <c r="M443" s="18">
        <f>INDEX('Industry Stats'!$D$2:$D$49,MATCH($C443,'Industry Stats'!$A$2:$A$49,0))</f>
        <v>269.66666666666669</v>
      </c>
      <c r="N443" s="19">
        <f t="shared" si="69"/>
        <v>78.333333333333314</v>
      </c>
      <c r="O443" s="18">
        <f>INDEX('Industry Stats'!$E$2:$E$49,MATCH($C443,'Industry Stats'!$A$2:$A$49,0))</f>
        <v>273.95238095238096</v>
      </c>
      <c r="P443" s="19">
        <f t="shared" si="70"/>
        <v>36.047619047619037</v>
      </c>
      <c r="R443">
        <f t="shared" si="71"/>
        <v>1178.0009557000001</v>
      </c>
      <c r="S443">
        <f t="shared" si="72"/>
        <v>520.00095569999996</v>
      </c>
      <c r="T443">
        <f t="shared" si="73"/>
        <v>348.00095570000002</v>
      </c>
      <c r="U443">
        <f t="shared" si="74"/>
        <v>310.00095570000002</v>
      </c>
      <c r="V443">
        <f t="shared" si="75"/>
        <v>274.33428903333339</v>
      </c>
      <c r="W443">
        <f t="shared" si="76"/>
        <v>-274.33237763333335</v>
      </c>
    </row>
    <row r="444" spans="1:23" ht="15" customHeight="1" x14ac:dyDescent="0.35">
      <c r="A444" t="str">
        <f>'Raw Data'!B442</f>
        <v>Deere &amp; Co</v>
      </c>
      <c r="B444" t="str">
        <f>'Raw Data'!A442</f>
        <v>de</v>
      </c>
      <c r="C444" t="str">
        <f>IF('Raw Data'!E442="N/A","Unclassified",TRIM(SUBSTITUTE('Raw Data'!E442," and "," &amp; ")))</f>
        <v>Machinery</v>
      </c>
      <c r="D444" s="17">
        <f>'Raw Data'!N442</f>
        <v>560</v>
      </c>
      <c r="E444" s="17">
        <f>'Raw Data'!O442</f>
        <v>339</v>
      </c>
      <c r="F444" s="17">
        <f>'Raw Data'!P442</f>
        <v>305</v>
      </c>
      <c r="G444" s="17">
        <f>'Raw Data'!Q442</f>
        <v>1204</v>
      </c>
      <c r="H444" s="18">
        <f>INDEX('Industry Stats'!$F$2:$F$49,MATCH($C444,'Industry Stats'!$A$2:$A$49,0))</f>
        <v>1048.047619047619</v>
      </c>
      <c r="I444" s="19">
        <f t="shared" si="66"/>
        <v>155.95238095238096</v>
      </c>
      <c r="J444" s="20">
        <f t="shared" si="67"/>
        <v>0.14880276250624747</v>
      </c>
      <c r="K444" s="18">
        <f>INDEX('Industry Stats'!$C$2:$C$49,MATCH($C444,'Industry Stats'!$A$2:$A$49,0))</f>
        <v>459.57142857142856</v>
      </c>
      <c r="L444" s="19">
        <f t="shared" si="68"/>
        <v>100.42857142857144</v>
      </c>
      <c r="M444" s="18">
        <f>INDEX('Industry Stats'!$D$2:$D$49,MATCH($C444,'Industry Stats'!$A$2:$A$49,0))</f>
        <v>313.66666666666669</v>
      </c>
      <c r="N444" s="19">
        <f t="shared" si="69"/>
        <v>25.333333333333314</v>
      </c>
      <c r="O444" s="18">
        <f>INDEX('Industry Stats'!$E$2:$E$49,MATCH($C444,'Industry Stats'!$A$2:$A$49,0))</f>
        <v>274.8095238095238</v>
      </c>
      <c r="P444" s="19">
        <f t="shared" si="70"/>
        <v>30.190476190476204</v>
      </c>
      <c r="R444">
        <f t="shared" si="71"/>
        <v>1204.0009556</v>
      </c>
      <c r="S444">
        <f t="shared" si="72"/>
        <v>560.0009556</v>
      </c>
      <c r="T444">
        <f t="shared" si="73"/>
        <v>339.0009556</v>
      </c>
      <c r="U444">
        <f t="shared" si="74"/>
        <v>305.0009556</v>
      </c>
      <c r="V444">
        <f t="shared" si="75"/>
        <v>155.95333655238096</v>
      </c>
      <c r="W444">
        <f t="shared" si="76"/>
        <v>-155.95142535238097</v>
      </c>
    </row>
    <row r="445" spans="1:23" ht="15" customHeight="1" x14ac:dyDescent="0.35">
      <c r="A445" t="str">
        <f>'Raw Data'!B443</f>
        <v>Dupont De Nemours Inc</v>
      </c>
      <c r="B445" t="str">
        <f>'Raw Data'!A443</f>
        <v>dd</v>
      </c>
      <c r="C445" t="str">
        <f>IF('Raw Data'!E443="N/A","Unclassified",TRIM(SUBSTITUTE('Raw Data'!E443," and "," &amp; ")))</f>
        <v>Chemicals</v>
      </c>
      <c r="D445" s="17">
        <f>'Raw Data'!N443</f>
        <v>550</v>
      </c>
      <c r="E445" s="17">
        <f>'Raw Data'!O443</f>
        <v>341</v>
      </c>
      <c r="F445" s="17">
        <f>'Raw Data'!P443</f>
        <v>295</v>
      </c>
      <c r="G445" s="17">
        <f>'Raw Data'!Q443</f>
        <v>1186</v>
      </c>
      <c r="H445" s="18">
        <f>INDEX('Industry Stats'!$F$2:$F$49,MATCH($C445,'Industry Stats'!$A$2:$A$49,0))</f>
        <v>1058.8947368421052</v>
      </c>
      <c r="I445" s="19">
        <f t="shared" si="66"/>
        <v>127.1052631578948</v>
      </c>
      <c r="J445" s="20">
        <f t="shared" si="67"/>
        <v>0.1200357870669517</v>
      </c>
      <c r="K445" s="18">
        <f>INDEX('Industry Stats'!$C$2:$C$49,MATCH($C445,'Industry Stats'!$A$2:$A$49,0))</f>
        <v>463.73684210526318</v>
      </c>
      <c r="L445" s="19">
        <f t="shared" si="68"/>
        <v>86.263157894736821</v>
      </c>
      <c r="M445" s="18">
        <f>INDEX('Industry Stats'!$D$2:$D$49,MATCH($C445,'Industry Stats'!$A$2:$A$49,0))</f>
        <v>304.36842105263156</v>
      </c>
      <c r="N445" s="19">
        <f t="shared" si="69"/>
        <v>36.631578947368439</v>
      </c>
      <c r="O445" s="18">
        <f>INDEX('Industry Stats'!$E$2:$E$49,MATCH($C445,'Industry Stats'!$A$2:$A$49,0))</f>
        <v>290.78947368421052</v>
      </c>
      <c r="P445" s="19">
        <f t="shared" si="70"/>
        <v>4.2105263157894797</v>
      </c>
      <c r="R445">
        <f t="shared" si="71"/>
        <v>1186.0009554999999</v>
      </c>
      <c r="S445">
        <f t="shared" si="72"/>
        <v>550.00095550000003</v>
      </c>
      <c r="T445">
        <f t="shared" si="73"/>
        <v>341.00095549999998</v>
      </c>
      <c r="U445">
        <f t="shared" si="74"/>
        <v>295.00095549999998</v>
      </c>
      <c r="V445">
        <f t="shared" si="75"/>
        <v>127.1062186578948</v>
      </c>
      <c r="W445">
        <f t="shared" si="76"/>
        <v>-127.10430765789479</v>
      </c>
    </row>
    <row r="446" spans="1:23" ht="15" customHeight="1" x14ac:dyDescent="0.35">
      <c r="A446" t="str">
        <f>'Raw Data'!B444</f>
        <v>Dominion Energy Inc</v>
      </c>
      <c r="B446" t="str">
        <f>'Raw Data'!A444</f>
        <v>d</v>
      </c>
      <c r="C446" t="str">
        <f>IF('Raw Data'!E444="N/A","Unclassified",TRIM(SUBSTITUTE('Raw Data'!E444," and "," &amp; ")))</f>
        <v>Utilities</v>
      </c>
      <c r="D446" s="17">
        <f>'Raw Data'!N444</f>
        <v>535</v>
      </c>
      <c r="E446" s="17">
        <f>'Raw Data'!O444</f>
        <v>325</v>
      </c>
      <c r="F446" s="17">
        <f>'Raw Data'!P444</f>
        <v>310</v>
      </c>
      <c r="G446" s="17">
        <f>'Raw Data'!Q444</f>
        <v>1170</v>
      </c>
      <c r="H446" s="18">
        <f>INDEX('Industry Stats'!$F$2:$F$49,MATCH($C446,'Industry Stats'!$A$2:$A$49,0))</f>
        <v>1190.6333333333334</v>
      </c>
      <c r="I446" s="19">
        <f t="shared" si="66"/>
        <v>-20.633333333333439</v>
      </c>
      <c r="J446" s="20">
        <f t="shared" si="67"/>
        <v>-1.7329712477952997E-2</v>
      </c>
      <c r="K446" s="18">
        <f>INDEX('Industry Stats'!$C$2:$C$49,MATCH($C446,'Industry Stats'!$A$2:$A$49,0))</f>
        <v>550.9666666666667</v>
      </c>
      <c r="L446" s="19">
        <f t="shared" si="68"/>
        <v>-15.966666666666697</v>
      </c>
      <c r="M446" s="18">
        <f>INDEX('Industry Stats'!$D$2:$D$49,MATCH($C446,'Industry Stats'!$A$2:$A$49,0))</f>
        <v>357.4</v>
      </c>
      <c r="N446" s="19">
        <f t="shared" si="69"/>
        <v>-32.399999999999977</v>
      </c>
      <c r="O446" s="18">
        <f>INDEX('Industry Stats'!$E$2:$E$49,MATCH($C446,'Industry Stats'!$A$2:$A$49,0))</f>
        <v>282.26666666666665</v>
      </c>
      <c r="P446" s="19">
        <f t="shared" si="70"/>
        <v>27.733333333333348</v>
      </c>
      <c r="R446">
        <f t="shared" si="71"/>
        <v>1170.0009554000001</v>
      </c>
      <c r="S446">
        <f t="shared" si="72"/>
        <v>535.00095539999995</v>
      </c>
      <c r="T446">
        <f t="shared" si="73"/>
        <v>325.00095540000001</v>
      </c>
      <c r="U446">
        <f t="shared" si="74"/>
        <v>310.00095540000001</v>
      </c>
      <c r="V446">
        <f t="shared" si="75"/>
        <v>-20.632377933333441</v>
      </c>
      <c r="W446">
        <f t="shared" si="76"/>
        <v>20.634288733333438</v>
      </c>
    </row>
    <row r="447" spans="1:23" ht="15" customHeight="1" x14ac:dyDescent="0.35">
      <c r="A447" t="str">
        <f>'Raw Data'!B445</f>
        <v>CVS Health Corp</v>
      </c>
      <c r="B447" t="str">
        <f>'Raw Data'!A445</f>
        <v>cvs</v>
      </c>
      <c r="C447" t="str">
        <f>IF('Raw Data'!E445="N/A","Unclassified",TRIM(SUBSTITUTE('Raw Data'!E445," and "," &amp; ")))</f>
        <v>Health Care</v>
      </c>
      <c r="D447" s="17">
        <f>'Raw Data'!N445</f>
        <v>540</v>
      </c>
      <c r="E447" s="17">
        <f>'Raw Data'!O445</f>
        <v>302</v>
      </c>
      <c r="F447" s="17">
        <f>'Raw Data'!P445</f>
        <v>315</v>
      </c>
      <c r="G447" s="17">
        <f>'Raw Data'!Q445</f>
        <v>1157</v>
      </c>
      <c r="H447" s="18">
        <f>INDEX('Industry Stats'!$F$2:$F$49,MATCH($C447,'Industry Stats'!$A$2:$A$49,0))</f>
        <v>938.76470588235293</v>
      </c>
      <c r="I447" s="19">
        <f t="shared" si="66"/>
        <v>218.23529411764707</v>
      </c>
      <c r="J447" s="20">
        <f t="shared" si="67"/>
        <v>0.23247070618459806</v>
      </c>
      <c r="K447" s="18">
        <f>INDEX('Industry Stats'!$C$2:$C$49,MATCH($C447,'Industry Stats'!$A$2:$A$49,0))</f>
        <v>374.52941176470586</v>
      </c>
      <c r="L447" s="19">
        <f t="shared" si="68"/>
        <v>165.47058823529414</v>
      </c>
      <c r="M447" s="18">
        <f>INDEX('Industry Stats'!$D$2:$D$49,MATCH($C447,'Industry Stats'!$A$2:$A$49,0))</f>
        <v>287.43137254901961</v>
      </c>
      <c r="N447" s="19">
        <f t="shared" si="69"/>
        <v>14.568627450980387</v>
      </c>
      <c r="O447" s="18">
        <f>INDEX('Industry Stats'!$E$2:$E$49,MATCH($C447,'Industry Stats'!$A$2:$A$49,0))</f>
        <v>276.80392156862746</v>
      </c>
      <c r="P447" s="19">
        <f t="shared" si="70"/>
        <v>38.196078431372541</v>
      </c>
      <c r="R447">
        <f t="shared" si="71"/>
        <v>1157.0009553</v>
      </c>
      <c r="S447">
        <f t="shared" si="72"/>
        <v>540.00095529999999</v>
      </c>
      <c r="T447">
        <f t="shared" si="73"/>
        <v>302.00095529999999</v>
      </c>
      <c r="U447">
        <f t="shared" si="74"/>
        <v>315.00095529999999</v>
      </c>
      <c r="V447">
        <f t="shared" si="75"/>
        <v>218.23624941764706</v>
      </c>
      <c r="W447">
        <f t="shared" si="76"/>
        <v>-218.23433881764709</v>
      </c>
    </row>
    <row r="448" spans="1:23" ht="15" customHeight="1" x14ac:dyDescent="0.35">
      <c r="A448" t="str">
        <f>'Raw Data'!B446</f>
        <v>Delta Air Lines Inc</v>
      </c>
      <c r="B448" t="str">
        <f>'Raw Data'!A446</f>
        <v>dal</v>
      </c>
      <c r="C448" t="str">
        <f>IF('Raw Data'!E446="N/A","Unclassified",TRIM(SUBSTITUTE('Raw Data'!E446," and "," &amp; ")))</f>
        <v>Airlines</v>
      </c>
      <c r="D448" s="17">
        <f>'Raw Data'!N446</f>
        <v>515</v>
      </c>
      <c r="E448" s="17">
        <f>'Raw Data'!O446</f>
        <v>300</v>
      </c>
      <c r="F448" s="17">
        <f>'Raw Data'!P446</f>
        <v>313</v>
      </c>
      <c r="G448" s="17">
        <f>'Raw Data'!Q446</f>
        <v>1128</v>
      </c>
      <c r="H448" s="18">
        <f>INDEX('Industry Stats'!$F$2:$F$49,MATCH($C448,'Industry Stats'!$A$2:$A$49,0))</f>
        <v>838.71428571428567</v>
      </c>
      <c r="I448" s="19">
        <f t="shared" si="66"/>
        <v>289.28571428571433</v>
      </c>
      <c r="J448" s="20">
        <f t="shared" si="67"/>
        <v>0.34491568727644362</v>
      </c>
      <c r="K448" s="18">
        <f>INDEX('Industry Stats'!$C$2:$C$49,MATCH($C448,'Industry Stats'!$A$2:$A$49,0))</f>
        <v>326.71428571428572</v>
      </c>
      <c r="L448" s="19">
        <f t="shared" si="68"/>
        <v>188.28571428571428</v>
      </c>
      <c r="M448" s="18">
        <f>INDEX('Industry Stats'!$D$2:$D$49,MATCH($C448,'Industry Stats'!$A$2:$A$49,0))</f>
        <v>265.71428571428572</v>
      </c>
      <c r="N448" s="19">
        <f t="shared" si="69"/>
        <v>34.285714285714278</v>
      </c>
      <c r="O448" s="18">
        <f>INDEX('Industry Stats'!$E$2:$E$49,MATCH($C448,'Industry Stats'!$A$2:$A$49,0))</f>
        <v>246.28571428571428</v>
      </c>
      <c r="P448" s="19">
        <f t="shared" si="70"/>
        <v>66.714285714285722</v>
      </c>
      <c r="R448">
        <f t="shared" si="71"/>
        <v>1128.0009551999999</v>
      </c>
      <c r="S448">
        <f t="shared" si="72"/>
        <v>515.00095520000002</v>
      </c>
      <c r="T448">
        <f t="shared" si="73"/>
        <v>300.00095520000002</v>
      </c>
      <c r="U448">
        <f t="shared" si="74"/>
        <v>313.00095520000002</v>
      </c>
      <c r="V448">
        <f t="shared" si="75"/>
        <v>289.28666948571436</v>
      </c>
      <c r="W448">
        <f t="shared" si="76"/>
        <v>-289.28475908571431</v>
      </c>
    </row>
    <row r="449" spans="1:23" ht="15" customHeight="1" x14ac:dyDescent="0.35">
      <c r="A449" t="str">
        <f>'Raw Data'!B447</f>
        <v>Salesforce Inc</v>
      </c>
      <c r="B449" t="str">
        <f>'Raw Data'!A447</f>
        <v>crm</v>
      </c>
      <c r="C449" t="str">
        <f>IF('Raw Data'!E447="N/A","Unclassified",TRIM(SUBSTITUTE('Raw Data'!E447," and "," &amp; ")))</f>
        <v>Technology</v>
      </c>
      <c r="D449" s="17">
        <f>'Raw Data'!N447</f>
        <v>215</v>
      </c>
      <c r="E449" s="17">
        <f>'Raw Data'!O447</f>
        <v>241</v>
      </c>
      <c r="F449" s="17">
        <f>'Raw Data'!P447</f>
        <v>200</v>
      </c>
      <c r="G449" s="17">
        <f>'Raw Data'!Q447</f>
        <v>656</v>
      </c>
      <c r="H449" s="18">
        <f>INDEX('Industry Stats'!$F$2:$F$49,MATCH($C449,'Industry Stats'!$A$2:$A$49,0))</f>
        <v>1031.3174603174602</v>
      </c>
      <c r="I449" s="19">
        <f t="shared" si="66"/>
        <v>-375.31746031746025</v>
      </c>
      <c r="J449" s="20">
        <f t="shared" si="67"/>
        <v>-0.36392039770366147</v>
      </c>
      <c r="K449" s="18">
        <f>INDEX('Industry Stats'!$C$2:$C$49,MATCH($C449,'Industry Stats'!$A$2:$A$49,0))</f>
        <v>438.11111111111109</v>
      </c>
      <c r="L449" s="19">
        <f t="shared" si="68"/>
        <v>-223.11111111111109</v>
      </c>
      <c r="M449" s="18">
        <f>INDEX('Industry Stats'!$D$2:$D$49,MATCH($C449,'Industry Stats'!$A$2:$A$49,0))</f>
        <v>307.90476190476193</v>
      </c>
      <c r="N449" s="19">
        <f t="shared" si="69"/>
        <v>-66.904761904761926</v>
      </c>
      <c r="O449" s="18">
        <f>INDEX('Industry Stats'!$E$2:$E$49,MATCH($C449,'Industry Stats'!$A$2:$A$49,0))</f>
        <v>285.30158730158729</v>
      </c>
      <c r="P449" s="19">
        <f t="shared" si="70"/>
        <v>-85.30158730158729</v>
      </c>
      <c r="R449">
        <f t="shared" si="71"/>
        <v>656.00095510000006</v>
      </c>
      <c r="S449">
        <f t="shared" si="72"/>
        <v>215.0009551</v>
      </c>
      <c r="T449">
        <f t="shared" si="73"/>
        <v>241.0009551</v>
      </c>
      <c r="U449">
        <f t="shared" si="74"/>
        <v>200.0009551</v>
      </c>
      <c r="V449">
        <f t="shared" si="75"/>
        <v>-375.31650521746025</v>
      </c>
      <c r="W449">
        <f t="shared" si="76"/>
        <v>375.31841541746024</v>
      </c>
    </row>
    <row r="450" spans="1:23" ht="15" customHeight="1" x14ac:dyDescent="0.35">
      <c r="A450" t="str">
        <f>'Raw Data'!B448</f>
        <v>Chevron Corp</v>
      </c>
      <c r="B450" t="str">
        <f>'Raw Data'!A448</f>
        <v>cvx</v>
      </c>
      <c r="C450" t="str">
        <f>IF('Raw Data'!E448="N/A","Unclassified",TRIM(SUBSTITUTE('Raw Data'!E448," and "," &amp; ")))</f>
        <v>Energy</v>
      </c>
      <c r="D450" s="17">
        <f>'Raw Data'!N448</f>
        <v>210</v>
      </c>
      <c r="E450" s="17">
        <f>'Raw Data'!O448</f>
        <v>217</v>
      </c>
      <c r="F450" s="17">
        <f>'Raw Data'!P448</f>
        <v>210</v>
      </c>
      <c r="G450" s="17">
        <f>'Raw Data'!Q448</f>
        <v>637</v>
      </c>
      <c r="H450" s="18">
        <f>INDEX('Industry Stats'!$F$2:$F$49,MATCH($C450,'Industry Stats'!$A$2:$A$49,0))</f>
        <v>1117.7619047619048</v>
      </c>
      <c r="I450" s="19">
        <f t="shared" si="66"/>
        <v>-480.76190476190482</v>
      </c>
      <c r="J450" s="20">
        <f t="shared" si="67"/>
        <v>-0.43011119158181743</v>
      </c>
      <c r="K450" s="18">
        <f>INDEX('Industry Stats'!$C$2:$C$49,MATCH($C450,'Industry Stats'!$A$2:$A$49,0))</f>
        <v>515.09523809523807</v>
      </c>
      <c r="L450" s="19">
        <f t="shared" si="68"/>
        <v>-305.09523809523807</v>
      </c>
      <c r="M450" s="18">
        <f>INDEX('Industry Stats'!$D$2:$D$49,MATCH($C450,'Industry Stats'!$A$2:$A$49,0))</f>
        <v>308.95238095238096</v>
      </c>
      <c r="N450" s="19">
        <f t="shared" si="69"/>
        <v>-91.952380952380963</v>
      </c>
      <c r="O450" s="18">
        <f>INDEX('Industry Stats'!$E$2:$E$49,MATCH($C450,'Industry Stats'!$A$2:$A$49,0))</f>
        <v>293.71428571428572</v>
      </c>
      <c r="P450" s="19">
        <f t="shared" si="70"/>
        <v>-83.714285714285722</v>
      </c>
      <c r="R450">
        <f t="shared" si="71"/>
        <v>637.00095499999998</v>
      </c>
      <c r="S450">
        <f t="shared" si="72"/>
        <v>210.000955</v>
      </c>
      <c r="T450">
        <f t="shared" si="73"/>
        <v>217.000955</v>
      </c>
      <c r="U450">
        <f t="shared" si="74"/>
        <v>210.000955</v>
      </c>
      <c r="V450">
        <f t="shared" si="75"/>
        <v>-480.76094976190484</v>
      </c>
      <c r="W450">
        <f t="shared" si="76"/>
        <v>480.76285976190479</v>
      </c>
    </row>
    <row r="451" spans="1:23" ht="15" customHeight="1" x14ac:dyDescent="0.35">
      <c r="A451" t="str">
        <f>'Raw Data'!B449</f>
        <v>Corteva Inc</v>
      </c>
      <c r="B451" t="str">
        <f>'Raw Data'!A449</f>
        <v>ctva</v>
      </c>
      <c r="C451" t="str">
        <f>IF('Raw Data'!E449="N/A","Unclassified",TRIM(SUBSTITUTE('Raw Data'!E449," and "," &amp; ")))</f>
        <v>Chemicals</v>
      </c>
      <c r="D451" s="17">
        <f>'Raw Data'!N449</f>
        <v>610</v>
      </c>
      <c r="E451" s="17">
        <f>'Raw Data'!O449</f>
        <v>312</v>
      </c>
      <c r="F451" s="17">
        <f>'Raw Data'!P449</f>
        <v>320</v>
      </c>
      <c r="G451" s="17">
        <f>'Raw Data'!Q449</f>
        <v>1242</v>
      </c>
      <c r="H451" s="18">
        <f>INDEX('Industry Stats'!$F$2:$F$49,MATCH($C451,'Industry Stats'!$A$2:$A$49,0))</f>
        <v>1058.8947368421052</v>
      </c>
      <c r="I451" s="19">
        <f t="shared" si="66"/>
        <v>183.1052631578948</v>
      </c>
      <c r="J451" s="20">
        <f t="shared" si="67"/>
        <v>0.17292111933992749</v>
      </c>
      <c r="K451" s="18">
        <f>INDEX('Industry Stats'!$C$2:$C$49,MATCH($C451,'Industry Stats'!$A$2:$A$49,0))</f>
        <v>463.73684210526318</v>
      </c>
      <c r="L451" s="19">
        <f t="shared" si="68"/>
        <v>146.26315789473682</v>
      </c>
      <c r="M451" s="18">
        <f>INDEX('Industry Stats'!$D$2:$D$49,MATCH($C451,'Industry Stats'!$A$2:$A$49,0))</f>
        <v>304.36842105263156</v>
      </c>
      <c r="N451" s="19">
        <f t="shared" si="69"/>
        <v>7.631578947368439</v>
      </c>
      <c r="O451" s="18">
        <f>INDEX('Industry Stats'!$E$2:$E$49,MATCH($C451,'Industry Stats'!$A$2:$A$49,0))</f>
        <v>290.78947368421052</v>
      </c>
      <c r="P451" s="19">
        <f t="shared" si="70"/>
        <v>29.21052631578948</v>
      </c>
      <c r="R451">
        <f t="shared" si="71"/>
        <v>1242.0009548999999</v>
      </c>
      <c r="S451">
        <f t="shared" si="72"/>
        <v>610.00095490000001</v>
      </c>
      <c r="T451">
        <f t="shared" si="73"/>
        <v>312.00095490000001</v>
      </c>
      <c r="U451">
        <f t="shared" si="74"/>
        <v>320.00095490000001</v>
      </c>
      <c r="V451">
        <f t="shared" si="75"/>
        <v>183.10621805789481</v>
      </c>
      <c r="W451">
        <f t="shared" si="76"/>
        <v>-183.10430825789479</v>
      </c>
    </row>
    <row r="452" spans="1:23" ht="15" customHeight="1" x14ac:dyDescent="0.35">
      <c r="A452" t="str">
        <f>'Raw Data'!B450</f>
        <v>Coterra Energy Inc</v>
      </c>
      <c r="B452" t="str">
        <f>'Raw Data'!A450</f>
        <v>ctra</v>
      </c>
      <c r="C452" t="str">
        <f>IF('Raw Data'!E450="N/A","Unclassified",TRIM(SUBSTITUTE('Raw Data'!E450," and "," &amp; ")))</f>
        <v>Energy</v>
      </c>
      <c r="D452" s="17">
        <f>'Raw Data'!N450</f>
        <v>555</v>
      </c>
      <c r="E452" s="17">
        <f>'Raw Data'!O450</f>
        <v>329</v>
      </c>
      <c r="F452" s="17">
        <f>'Raw Data'!P450</f>
        <v>310</v>
      </c>
      <c r="G452" s="17">
        <f>'Raw Data'!Q450</f>
        <v>1194</v>
      </c>
      <c r="H452" s="18">
        <f>INDEX('Industry Stats'!$F$2:$F$49,MATCH($C452,'Industry Stats'!$A$2:$A$49,0))</f>
        <v>1117.7619047619048</v>
      </c>
      <c r="I452" s="19">
        <f t="shared" ref="I452:I515" si="77">G452-H452</f>
        <v>76.238095238095184</v>
      </c>
      <c r="J452" s="20">
        <f t="shared" ref="J452:J515" si="78">I452/H452</f>
        <v>6.8206023942401856E-2</v>
      </c>
      <c r="K452" s="18">
        <f>INDEX('Industry Stats'!$C$2:$C$49,MATCH($C452,'Industry Stats'!$A$2:$A$49,0))</f>
        <v>515.09523809523807</v>
      </c>
      <c r="L452" s="19">
        <f t="shared" ref="L452:L515" si="79">D452-K452</f>
        <v>39.904761904761926</v>
      </c>
      <c r="M452" s="18">
        <f>INDEX('Industry Stats'!$D$2:$D$49,MATCH($C452,'Industry Stats'!$A$2:$A$49,0))</f>
        <v>308.95238095238096</v>
      </c>
      <c r="N452" s="19">
        <f t="shared" ref="N452:N515" si="80">E452-M452</f>
        <v>20.047619047619037</v>
      </c>
      <c r="O452" s="18">
        <f>INDEX('Industry Stats'!$E$2:$E$49,MATCH($C452,'Industry Stats'!$A$2:$A$49,0))</f>
        <v>293.71428571428572</v>
      </c>
      <c r="P452" s="19">
        <f t="shared" ref="P452:P515" si="81">F452-O452</f>
        <v>16.285714285714278</v>
      </c>
      <c r="R452">
        <f t="shared" ref="R452:R515" si="82">G452+(10000-ROW())/10000000</f>
        <v>1194.0009548</v>
      </c>
      <c r="S452">
        <f t="shared" ref="S452:S515" si="83">D452+(10000-ROW())/10000000</f>
        <v>555.00095480000004</v>
      </c>
      <c r="T452">
        <f t="shared" ref="T452:T515" si="84">E452+(10000-ROW())/10000000</f>
        <v>329.00095479999999</v>
      </c>
      <c r="U452">
        <f t="shared" ref="U452:U515" si="85">F452+(10000-ROW())/10000000</f>
        <v>310.00095479999999</v>
      </c>
      <c r="V452">
        <f t="shared" ref="V452:V515" si="86">I452+(10000-ROW())/10000000</f>
        <v>76.239050038095186</v>
      </c>
      <c r="W452">
        <f t="shared" ref="W452:W515" si="87">-I452+(10000-ROW())/10000000</f>
        <v>-76.237140438095182</v>
      </c>
    </row>
    <row r="453" spans="1:23" ht="15" customHeight="1" x14ac:dyDescent="0.35">
      <c r="A453" t="str">
        <f>'Raw Data'!B451</f>
        <v>Catalent Inc</v>
      </c>
      <c r="B453" t="str">
        <f>'Raw Data'!A451</f>
        <v>ctlt</v>
      </c>
      <c r="C453" t="str">
        <f>IF('Raw Data'!E451="N/A","Unclassified",TRIM(SUBSTITUTE('Raw Data'!E451," and "," &amp; ")))</f>
        <v>Pharmaceuticals</v>
      </c>
      <c r="D453" s="17">
        <f>'Raw Data'!N451</f>
        <v>483</v>
      </c>
      <c r="E453" s="17">
        <f>'Raw Data'!O451</f>
        <v>303</v>
      </c>
      <c r="F453" s="17">
        <f>'Raw Data'!P451</f>
        <v>305</v>
      </c>
      <c r="G453" s="17">
        <f>'Raw Data'!Q451</f>
        <v>1091</v>
      </c>
      <c r="H453" s="18">
        <f>INDEX('Industry Stats'!$F$2:$F$49,MATCH($C453,'Industry Stats'!$A$2:$A$49,0))</f>
        <v>903.66666666666663</v>
      </c>
      <c r="I453" s="19">
        <f t="shared" si="77"/>
        <v>187.33333333333337</v>
      </c>
      <c r="J453" s="20">
        <f t="shared" si="78"/>
        <v>0.20730357801549248</v>
      </c>
      <c r="K453" s="18">
        <f>INDEX('Industry Stats'!$C$2:$C$49,MATCH($C453,'Industry Stats'!$A$2:$A$49,0))</f>
        <v>360.04761904761904</v>
      </c>
      <c r="L453" s="19">
        <f t="shared" si="79"/>
        <v>122.95238095238096</v>
      </c>
      <c r="M453" s="18">
        <f>INDEX('Industry Stats'!$D$2:$D$49,MATCH($C453,'Industry Stats'!$A$2:$A$49,0))</f>
        <v>269.66666666666669</v>
      </c>
      <c r="N453" s="19">
        <f t="shared" si="80"/>
        <v>33.333333333333314</v>
      </c>
      <c r="O453" s="18">
        <f>INDEX('Industry Stats'!$E$2:$E$49,MATCH($C453,'Industry Stats'!$A$2:$A$49,0))</f>
        <v>273.95238095238096</v>
      </c>
      <c r="P453" s="19">
        <f t="shared" si="81"/>
        <v>31.047619047619037</v>
      </c>
      <c r="R453">
        <f t="shared" si="82"/>
        <v>1091.0009547</v>
      </c>
      <c r="S453">
        <f t="shared" si="83"/>
        <v>483.00095470000002</v>
      </c>
      <c r="T453">
        <f t="shared" si="84"/>
        <v>303.00095470000002</v>
      </c>
      <c r="U453">
        <f t="shared" si="85"/>
        <v>305.00095470000002</v>
      </c>
      <c r="V453">
        <f t="shared" si="86"/>
        <v>187.33428803333337</v>
      </c>
      <c r="W453">
        <f t="shared" si="87"/>
        <v>-187.33237863333338</v>
      </c>
    </row>
    <row r="454" spans="1:23" ht="15" customHeight="1" x14ac:dyDescent="0.35">
      <c r="A454" t="str">
        <f>'Raw Data'!B452</f>
        <v>Campbell Soup Co</v>
      </c>
      <c r="B454" t="str">
        <f>'Raw Data'!A452</f>
        <v>cpb</v>
      </c>
      <c r="C454" t="str">
        <f>IF('Raw Data'!E452="N/A","Unclassified",TRIM(SUBSTITUTE('Raw Data'!E452," and "," &amp; ")))</f>
        <v>Food Products</v>
      </c>
      <c r="D454" s="17">
        <f>'Raw Data'!N452</f>
        <v>515</v>
      </c>
      <c r="E454" s="17">
        <f>'Raw Data'!O452</f>
        <v>301</v>
      </c>
      <c r="F454" s="17">
        <f>'Raw Data'!P452</f>
        <v>305</v>
      </c>
      <c r="G454" s="17">
        <f>'Raw Data'!Q452</f>
        <v>1121</v>
      </c>
      <c r="H454" s="18">
        <f>INDEX('Industry Stats'!$F$2:$F$49,MATCH($C454,'Industry Stats'!$A$2:$A$49,0))</f>
        <v>1131.0714285714287</v>
      </c>
      <c r="I454" s="19">
        <f t="shared" si="77"/>
        <v>-10.071428571428669</v>
      </c>
      <c r="J454" s="20">
        <f t="shared" si="78"/>
        <v>-8.9043258604358296E-3</v>
      </c>
      <c r="K454" s="18">
        <f>INDEX('Industry Stats'!$C$2:$C$49,MATCH($C454,'Industry Stats'!$A$2:$A$49,0))</f>
        <v>516.57142857142856</v>
      </c>
      <c r="L454" s="19">
        <f t="shared" si="79"/>
        <v>-1.5714285714285552</v>
      </c>
      <c r="M454" s="18">
        <f>INDEX('Industry Stats'!$D$2:$D$49,MATCH($C454,'Industry Stats'!$A$2:$A$49,0))</f>
        <v>311.28571428571428</v>
      </c>
      <c r="N454" s="19">
        <f t="shared" si="80"/>
        <v>-10.285714285714278</v>
      </c>
      <c r="O454" s="18">
        <f>INDEX('Industry Stats'!$E$2:$E$49,MATCH($C454,'Industry Stats'!$A$2:$A$49,0))</f>
        <v>303.21428571428572</v>
      </c>
      <c r="P454" s="19">
        <f t="shared" si="81"/>
        <v>1.7857142857142776</v>
      </c>
      <c r="R454">
        <f t="shared" si="82"/>
        <v>1121.0009546000001</v>
      </c>
      <c r="S454">
        <f t="shared" si="83"/>
        <v>515.0009546</v>
      </c>
      <c r="T454">
        <f t="shared" si="84"/>
        <v>301.0009546</v>
      </c>
      <c r="U454">
        <f t="shared" si="85"/>
        <v>305.0009546</v>
      </c>
      <c r="V454">
        <f t="shared" si="86"/>
        <v>-10.070473971428669</v>
      </c>
      <c r="W454">
        <f t="shared" si="87"/>
        <v>10.072383171428669</v>
      </c>
    </row>
    <row r="455" spans="1:23" ht="15" customHeight="1" x14ac:dyDescent="0.35">
      <c r="A455" t="str">
        <f>'Raw Data'!B453</f>
        <v>Charles River Laboratories International Inc</v>
      </c>
      <c r="B455" t="str">
        <f>'Raw Data'!A453</f>
        <v>crl</v>
      </c>
      <c r="C455" t="str">
        <f>IF('Raw Data'!E453="N/A","Unclassified",TRIM(SUBSTITUTE('Raw Data'!E453," and "," &amp; ")))</f>
        <v>Life Sciences Tools &amp; Services</v>
      </c>
      <c r="D455" s="17">
        <f>'Raw Data'!N453</f>
        <v>510</v>
      </c>
      <c r="E455" s="17">
        <f>'Raw Data'!O453</f>
        <v>322</v>
      </c>
      <c r="F455" s="17">
        <f>'Raw Data'!P453</f>
        <v>235</v>
      </c>
      <c r="G455" s="17">
        <f>'Raw Data'!Q453</f>
        <v>1067</v>
      </c>
      <c r="H455" s="18">
        <f>INDEX('Industry Stats'!$F$2:$F$49,MATCH($C455,'Industry Stats'!$A$2:$A$49,0))</f>
        <v>993.125</v>
      </c>
      <c r="I455" s="19">
        <f t="shared" si="77"/>
        <v>73.875</v>
      </c>
      <c r="J455" s="20">
        <f t="shared" si="78"/>
        <v>7.4386406544996855E-2</v>
      </c>
      <c r="K455" s="18">
        <f>INDEX('Industry Stats'!$C$2:$C$49,MATCH($C455,'Industry Stats'!$A$2:$A$49,0))</f>
        <v>421.375</v>
      </c>
      <c r="L455" s="19">
        <f t="shared" si="79"/>
        <v>88.625</v>
      </c>
      <c r="M455" s="18">
        <f>INDEX('Industry Stats'!$D$2:$D$49,MATCH($C455,'Industry Stats'!$A$2:$A$49,0))</f>
        <v>294.5</v>
      </c>
      <c r="N455" s="19">
        <f t="shared" si="80"/>
        <v>27.5</v>
      </c>
      <c r="O455" s="18">
        <f>INDEX('Industry Stats'!$E$2:$E$49,MATCH($C455,'Industry Stats'!$A$2:$A$49,0))</f>
        <v>277.25</v>
      </c>
      <c r="P455" s="19">
        <f t="shared" si="81"/>
        <v>-42.25</v>
      </c>
      <c r="R455">
        <f t="shared" si="82"/>
        <v>1067.0009545</v>
      </c>
      <c r="S455">
        <f t="shared" si="83"/>
        <v>510.00095449999998</v>
      </c>
      <c r="T455">
        <f t="shared" si="84"/>
        <v>322.00095449999998</v>
      </c>
      <c r="U455">
        <f t="shared" si="85"/>
        <v>235.00095450000001</v>
      </c>
      <c r="V455">
        <f t="shared" si="86"/>
        <v>73.875954500000006</v>
      </c>
      <c r="W455">
        <f t="shared" si="87"/>
        <v>-73.874045499999994</v>
      </c>
    </row>
    <row r="456" spans="1:23" ht="15" customHeight="1" x14ac:dyDescent="0.35">
      <c r="A456" t="str">
        <f>'Raw Data'!B454</f>
        <v>Conocophillips</v>
      </c>
      <c r="B456" t="str">
        <f>'Raw Data'!A454</f>
        <v>cop</v>
      </c>
      <c r="C456" t="str">
        <f>IF('Raw Data'!E454="N/A","Unclassified",TRIM(SUBSTITUTE('Raw Data'!E454," and "," &amp; ")))</f>
        <v>Energy</v>
      </c>
      <c r="D456" s="17">
        <f>'Raw Data'!N454</f>
        <v>687</v>
      </c>
      <c r="E456" s="17">
        <f>'Raw Data'!O454</f>
        <v>544</v>
      </c>
      <c r="F456" s="17">
        <f>'Raw Data'!P454</f>
        <v>305</v>
      </c>
      <c r="G456" s="17">
        <f>'Raw Data'!Q454</f>
        <v>1536</v>
      </c>
      <c r="H456" s="18">
        <f>INDEX('Industry Stats'!$F$2:$F$49,MATCH($C456,'Industry Stats'!$A$2:$A$49,0))</f>
        <v>1117.7619047619048</v>
      </c>
      <c r="I456" s="19">
        <f t="shared" si="77"/>
        <v>418.23809523809518</v>
      </c>
      <c r="J456" s="20">
        <f t="shared" si="78"/>
        <v>0.37417458356409483</v>
      </c>
      <c r="K456" s="18">
        <f>INDEX('Industry Stats'!$C$2:$C$49,MATCH($C456,'Industry Stats'!$A$2:$A$49,0))</f>
        <v>515.09523809523807</v>
      </c>
      <c r="L456" s="19">
        <f t="shared" si="79"/>
        <v>171.90476190476193</v>
      </c>
      <c r="M456" s="18">
        <f>INDEX('Industry Stats'!$D$2:$D$49,MATCH($C456,'Industry Stats'!$A$2:$A$49,0))</f>
        <v>308.95238095238096</v>
      </c>
      <c r="N456" s="19">
        <f t="shared" si="80"/>
        <v>235.04761904761904</v>
      </c>
      <c r="O456" s="18">
        <f>INDEX('Industry Stats'!$E$2:$E$49,MATCH($C456,'Industry Stats'!$A$2:$A$49,0))</f>
        <v>293.71428571428572</v>
      </c>
      <c r="P456" s="19">
        <f t="shared" si="81"/>
        <v>11.285714285714278</v>
      </c>
      <c r="R456">
        <f t="shared" si="82"/>
        <v>1536.0009544</v>
      </c>
      <c r="S456">
        <f t="shared" si="83"/>
        <v>687.00095439999996</v>
      </c>
      <c r="T456">
        <f t="shared" si="84"/>
        <v>544.00095439999996</v>
      </c>
      <c r="U456">
        <f t="shared" si="85"/>
        <v>305.00095440000001</v>
      </c>
      <c r="V456">
        <f t="shared" si="86"/>
        <v>418.2390496380952</v>
      </c>
      <c r="W456">
        <f t="shared" si="87"/>
        <v>-418.23714083809517</v>
      </c>
    </row>
    <row r="457" spans="1:23" ht="15" customHeight="1" x14ac:dyDescent="0.35">
      <c r="A457" t="str">
        <f>'Raw Data'!B455</f>
        <v>Cooper Companies Inc</v>
      </c>
      <c r="B457" t="str">
        <f>'Raw Data'!A455</f>
        <v>coo</v>
      </c>
      <c r="C457" t="str">
        <f>IF('Raw Data'!E455="N/A","Unclassified",TRIM(SUBSTITUTE('Raw Data'!E455," and "," &amp; ")))</f>
        <v>Health Care</v>
      </c>
      <c r="D457" s="17">
        <f>'Raw Data'!N455</f>
        <v>500</v>
      </c>
      <c r="E457" s="17">
        <f>'Raw Data'!O455</f>
        <v>300</v>
      </c>
      <c r="F457" s="17">
        <f>'Raw Data'!P455</f>
        <v>300</v>
      </c>
      <c r="G457" s="17">
        <f>'Raw Data'!Q455</f>
        <v>1100</v>
      </c>
      <c r="H457" s="18">
        <f>INDEX('Industry Stats'!$F$2:$F$49,MATCH($C457,'Industry Stats'!$A$2:$A$49,0))</f>
        <v>938.76470588235293</v>
      </c>
      <c r="I457" s="19">
        <f t="shared" si="77"/>
        <v>161.23529411764707</v>
      </c>
      <c r="J457" s="20">
        <f t="shared" si="78"/>
        <v>0.17175261607870168</v>
      </c>
      <c r="K457" s="18">
        <f>INDEX('Industry Stats'!$C$2:$C$49,MATCH($C457,'Industry Stats'!$A$2:$A$49,0))</f>
        <v>374.52941176470586</v>
      </c>
      <c r="L457" s="19">
        <f t="shared" si="79"/>
        <v>125.47058823529414</v>
      </c>
      <c r="M457" s="18">
        <f>INDEX('Industry Stats'!$D$2:$D$49,MATCH($C457,'Industry Stats'!$A$2:$A$49,0))</f>
        <v>287.43137254901961</v>
      </c>
      <c r="N457" s="19">
        <f t="shared" si="80"/>
        <v>12.568627450980387</v>
      </c>
      <c r="O457" s="18">
        <f>INDEX('Industry Stats'!$E$2:$E$49,MATCH($C457,'Industry Stats'!$A$2:$A$49,0))</f>
        <v>276.80392156862746</v>
      </c>
      <c r="P457" s="19">
        <f t="shared" si="81"/>
        <v>23.196078431372541</v>
      </c>
      <c r="R457">
        <f t="shared" si="82"/>
        <v>1100.0009543000001</v>
      </c>
      <c r="S457">
        <f t="shared" si="83"/>
        <v>500.00095429999999</v>
      </c>
      <c r="T457">
        <f t="shared" si="84"/>
        <v>300.00095429999999</v>
      </c>
      <c r="U457">
        <f t="shared" si="85"/>
        <v>300.00095429999999</v>
      </c>
      <c r="V457">
        <f t="shared" si="86"/>
        <v>161.23624841764706</v>
      </c>
      <c r="W457">
        <f t="shared" si="87"/>
        <v>-161.23433981764708</v>
      </c>
    </row>
    <row r="458" spans="1:23" ht="15" customHeight="1" x14ac:dyDescent="0.35">
      <c r="A458" t="str">
        <f>'Raw Data'!B456</f>
        <v>Capital One Financial Corp</v>
      </c>
      <c r="B458" t="str">
        <f>'Raw Data'!A456</f>
        <v>cof</v>
      </c>
      <c r="C458" t="str">
        <f>IF('Raw Data'!E456="N/A","Unclassified",TRIM(SUBSTITUTE('Raw Data'!E456," and "," &amp; ")))</f>
        <v>Financial Services</v>
      </c>
      <c r="D458" s="17">
        <f>'Raw Data'!N456</f>
        <v>508</v>
      </c>
      <c r="E458" s="17">
        <f>'Raw Data'!O456</f>
        <v>309</v>
      </c>
      <c r="F458" s="17">
        <f>'Raw Data'!P456</f>
        <v>320</v>
      </c>
      <c r="G458" s="17">
        <f>'Raw Data'!Q456</f>
        <v>1137</v>
      </c>
      <c r="H458" s="18">
        <f>INDEX('Industry Stats'!$F$2:$F$49,MATCH($C458,'Industry Stats'!$A$2:$A$49,0))</f>
        <v>909.33333333333337</v>
      </c>
      <c r="I458" s="19">
        <f t="shared" si="77"/>
        <v>227.66666666666663</v>
      </c>
      <c r="J458" s="20">
        <f t="shared" si="78"/>
        <v>0.25036656891495596</v>
      </c>
      <c r="K458" s="18">
        <f>INDEX('Industry Stats'!$C$2:$C$49,MATCH($C458,'Industry Stats'!$A$2:$A$49,0))</f>
        <v>367.63636363636363</v>
      </c>
      <c r="L458" s="19">
        <f t="shared" si="79"/>
        <v>140.36363636363637</v>
      </c>
      <c r="M458" s="18">
        <f>INDEX('Industry Stats'!$D$2:$D$49,MATCH($C458,'Industry Stats'!$A$2:$A$49,0))</f>
        <v>276.45454545454544</v>
      </c>
      <c r="N458" s="19">
        <f t="shared" si="80"/>
        <v>32.545454545454561</v>
      </c>
      <c r="O458" s="18">
        <f>INDEX('Industry Stats'!$E$2:$E$49,MATCH($C458,'Industry Stats'!$A$2:$A$49,0))</f>
        <v>265.24242424242425</v>
      </c>
      <c r="P458" s="19">
        <f t="shared" si="81"/>
        <v>54.757575757575751</v>
      </c>
      <c r="R458">
        <f t="shared" si="82"/>
        <v>1137.0009542</v>
      </c>
      <c r="S458">
        <f t="shared" si="83"/>
        <v>508.00095420000002</v>
      </c>
      <c r="T458">
        <f t="shared" si="84"/>
        <v>309.00095420000002</v>
      </c>
      <c r="U458">
        <f t="shared" si="85"/>
        <v>320.00095420000002</v>
      </c>
      <c r="V458">
        <f t="shared" si="86"/>
        <v>227.66762086666662</v>
      </c>
      <c r="W458">
        <f t="shared" si="87"/>
        <v>-227.66571246666663</v>
      </c>
    </row>
    <row r="459" spans="1:23" ht="15" customHeight="1" x14ac:dyDescent="0.35">
      <c r="A459" t="str">
        <f>'Raw Data'!B457</f>
        <v>Centene Corp</v>
      </c>
      <c r="B459" t="str">
        <f>'Raw Data'!A457</f>
        <v>cnc</v>
      </c>
      <c r="C459" t="str">
        <f>IF('Raw Data'!E457="N/A","Unclassified",TRIM(SUBSTITUTE('Raw Data'!E457," and "," &amp; ")))</f>
        <v>Health Care</v>
      </c>
      <c r="D459" s="17">
        <f>'Raw Data'!N457</f>
        <v>548</v>
      </c>
      <c r="E459" s="17">
        <f>'Raw Data'!O457</f>
        <v>355</v>
      </c>
      <c r="F459" s="17">
        <f>'Raw Data'!P457</f>
        <v>315</v>
      </c>
      <c r="G459" s="17">
        <f>'Raw Data'!Q457</f>
        <v>1218</v>
      </c>
      <c r="H459" s="18">
        <f>INDEX('Industry Stats'!$F$2:$F$49,MATCH($C459,'Industry Stats'!$A$2:$A$49,0))</f>
        <v>938.76470588235293</v>
      </c>
      <c r="I459" s="19">
        <f t="shared" si="77"/>
        <v>279.23529411764707</v>
      </c>
      <c r="J459" s="20">
        <f t="shared" si="78"/>
        <v>0.29744971489441696</v>
      </c>
      <c r="K459" s="18">
        <f>INDEX('Industry Stats'!$C$2:$C$49,MATCH($C459,'Industry Stats'!$A$2:$A$49,0))</f>
        <v>374.52941176470586</v>
      </c>
      <c r="L459" s="19">
        <f t="shared" si="79"/>
        <v>173.47058823529414</v>
      </c>
      <c r="M459" s="18">
        <f>INDEX('Industry Stats'!$D$2:$D$49,MATCH($C459,'Industry Stats'!$A$2:$A$49,0))</f>
        <v>287.43137254901961</v>
      </c>
      <c r="N459" s="19">
        <f t="shared" si="80"/>
        <v>67.568627450980387</v>
      </c>
      <c r="O459" s="18">
        <f>INDEX('Industry Stats'!$E$2:$E$49,MATCH($C459,'Industry Stats'!$A$2:$A$49,0))</f>
        <v>276.80392156862746</v>
      </c>
      <c r="P459" s="19">
        <f t="shared" si="81"/>
        <v>38.196078431372541</v>
      </c>
      <c r="R459">
        <f t="shared" si="82"/>
        <v>1218.0009540999999</v>
      </c>
      <c r="S459">
        <f t="shared" si="83"/>
        <v>548.00095409999994</v>
      </c>
      <c r="T459">
        <f t="shared" si="84"/>
        <v>355.0009541</v>
      </c>
      <c r="U459">
        <f t="shared" si="85"/>
        <v>315.0009541</v>
      </c>
      <c r="V459">
        <f t="shared" si="86"/>
        <v>279.23624821764707</v>
      </c>
      <c r="W459">
        <f t="shared" si="87"/>
        <v>-279.23434001764707</v>
      </c>
    </row>
    <row r="460" spans="1:23" ht="15" customHeight="1" x14ac:dyDescent="0.35">
      <c r="A460" t="str">
        <f>'Raw Data'!B458</f>
        <v>CenterPoint Energy Inc</v>
      </c>
      <c r="B460" t="str">
        <f>'Raw Data'!A458</f>
        <v>cnp</v>
      </c>
      <c r="C460" t="str">
        <f>IF('Raw Data'!E458="N/A","Unclassified",TRIM(SUBSTITUTE('Raw Data'!E458," and "," &amp; ")))</f>
        <v>Utilities</v>
      </c>
      <c r="D460" s="17">
        <f>'Raw Data'!N458</f>
        <v>550</v>
      </c>
      <c r="E460" s="17">
        <f>'Raw Data'!O458</f>
        <v>320</v>
      </c>
      <c r="F460" s="17">
        <f>'Raw Data'!P458</f>
        <v>260</v>
      </c>
      <c r="G460" s="17">
        <f>'Raw Data'!Q458</f>
        <v>1130</v>
      </c>
      <c r="H460" s="18">
        <f>INDEX('Industry Stats'!$F$2:$F$49,MATCH($C460,'Industry Stats'!$A$2:$A$49,0))</f>
        <v>1190.6333333333334</v>
      </c>
      <c r="I460" s="19">
        <f t="shared" si="77"/>
        <v>-60.633333333333439</v>
      </c>
      <c r="J460" s="20">
        <f t="shared" si="78"/>
        <v>-5.0925277863322127E-2</v>
      </c>
      <c r="K460" s="18">
        <f>INDEX('Industry Stats'!$C$2:$C$49,MATCH($C460,'Industry Stats'!$A$2:$A$49,0))</f>
        <v>550.9666666666667</v>
      </c>
      <c r="L460" s="19">
        <f t="shared" si="79"/>
        <v>-0.96666666666669698</v>
      </c>
      <c r="M460" s="18">
        <f>INDEX('Industry Stats'!$D$2:$D$49,MATCH($C460,'Industry Stats'!$A$2:$A$49,0))</f>
        <v>357.4</v>
      </c>
      <c r="N460" s="19">
        <f t="shared" si="80"/>
        <v>-37.399999999999977</v>
      </c>
      <c r="O460" s="18">
        <f>INDEX('Industry Stats'!$E$2:$E$49,MATCH($C460,'Industry Stats'!$A$2:$A$49,0))</f>
        <v>282.26666666666665</v>
      </c>
      <c r="P460" s="19">
        <f t="shared" si="81"/>
        <v>-22.266666666666652</v>
      </c>
      <c r="R460">
        <f t="shared" si="82"/>
        <v>1130.0009540000001</v>
      </c>
      <c r="S460">
        <f t="shared" si="83"/>
        <v>550.00095399999998</v>
      </c>
      <c r="T460">
        <f t="shared" si="84"/>
        <v>320.00095399999998</v>
      </c>
      <c r="U460">
        <f t="shared" si="85"/>
        <v>260.00095399999998</v>
      </c>
      <c r="V460">
        <f t="shared" si="86"/>
        <v>-60.632379333333439</v>
      </c>
      <c r="W460">
        <f t="shared" si="87"/>
        <v>60.63428733333344</v>
      </c>
    </row>
    <row r="461" spans="1:23" ht="15" customHeight="1" x14ac:dyDescent="0.35">
      <c r="A461" t="str">
        <f>'Raw Data'!B459</f>
        <v>CMS Energy Corp</v>
      </c>
      <c r="B461" t="str">
        <f>'Raw Data'!A459</f>
        <v>cms</v>
      </c>
      <c r="C461" t="str">
        <f>IF('Raw Data'!E459="N/A","Unclassified",TRIM(SUBSTITUTE('Raw Data'!E459," and "," &amp; ")))</f>
        <v>Utilities</v>
      </c>
      <c r="D461" s="17">
        <f>'Raw Data'!N459</f>
        <v>450</v>
      </c>
      <c r="E461" s="17">
        <f>'Raw Data'!O459</f>
        <v>667</v>
      </c>
      <c r="F461" s="17">
        <f>'Raw Data'!P459</f>
        <v>75</v>
      </c>
      <c r="G461" s="17">
        <f>'Raw Data'!Q459</f>
        <v>1192</v>
      </c>
      <c r="H461" s="18">
        <f>INDEX('Industry Stats'!$F$2:$F$49,MATCH($C461,'Industry Stats'!$A$2:$A$49,0))</f>
        <v>1190.6333333333334</v>
      </c>
      <c r="I461" s="19">
        <f t="shared" si="77"/>
        <v>1.3666666666665606</v>
      </c>
      <c r="J461" s="20">
        <f t="shared" si="78"/>
        <v>1.1478484840000227E-3</v>
      </c>
      <c r="K461" s="18">
        <f>INDEX('Industry Stats'!$C$2:$C$49,MATCH($C461,'Industry Stats'!$A$2:$A$49,0))</f>
        <v>550.9666666666667</v>
      </c>
      <c r="L461" s="19">
        <f t="shared" si="79"/>
        <v>-100.9666666666667</v>
      </c>
      <c r="M461" s="18">
        <f>INDEX('Industry Stats'!$D$2:$D$49,MATCH($C461,'Industry Stats'!$A$2:$A$49,0))</f>
        <v>357.4</v>
      </c>
      <c r="N461" s="19">
        <f t="shared" si="80"/>
        <v>309.60000000000002</v>
      </c>
      <c r="O461" s="18">
        <f>INDEX('Industry Stats'!$E$2:$E$49,MATCH($C461,'Industry Stats'!$A$2:$A$49,0))</f>
        <v>282.26666666666665</v>
      </c>
      <c r="P461" s="19">
        <f t="shared" si="81"/>
        <v>-207.26666666666665</v>
      </c>
      <c r="R461">
        <f t="shared" si="82"/>
        <v>1192.0009539</v>
      </c>
      <c r="S461">
        <f t="shared" si="83"/>
        <v>450.00095390000001</v>
      </c>
      <c r="T461">
        <f t="shared" si="84"/>
        <v>667.00095390000001</v>
      </c>
      <c r="U461">
        <f t="shared" si="85"/>
        <v>75.000953899999999</v>
      </c>
      <c r="V461">
        <f t="shared" si="86"/>
        <v>1.3676205666665606</v>
      </c>
      <c r="W461">
        <f t="shared" si="87"/>
        <v>-1.3657127666665605</v>
      </c>
    </row>
    <row r="462" spans="1:23" ht="15" customHeight="1" x14ac:dyDescent="0.35">
      <c r="A462" t="str">
        <f>'Raw Data'!B460</f>
        <v>Cummins Inc</v>
      </c>
      <c r="B462" t="str">
        <f>'Raw Data'!A460</f>
        <v>cmi</v>
      </c>
      <c r="C462" t="str">
        <f>IF('Raw Data'!E460="N/A","Unclassified",TRIM(SUBSTITUTE('Raw Data'!E460," and "," &amp; ")))</f>
        <v>Machinery</v>
      </c>
      <c r="D462" s="17">
        <f>'Raw Data'!N460</f>
        <v>510</v>
      </c>
      <c r="E462" s="17">
        <f>'Raw Data'!O460</f>
        <v>320</v>
      </c>
      <c r="F462" s="17">
        <f>'Raw Data'!P460</f>
        <v>300</v>
      </c>
      <c r="G462" s="17">
        <f>'Raw Data'!Q460</f>
        <v>1130</v>
      </c>
      <c r="H462" s="18">
        <f>INDEX('Industry Stats'!$F$2:$F$49,MATCH($C462,'Industry Stats'!$A$2:$A$49,0))</f>
        <v>1048.047619047619</v>
      </c>
      <c r="I462" s="19">
        <f t="shared" si="77"/>
        <v>81.952380952380963</v>
      </c>
      <c r="J462" s="20">
        <f t="shared" si="78"/>
        <v>7.8195283747557826E-2</v>
      </c>
      <c r="K462" s="18">
        <f>INDEX('Industry Stats'!$C$2:$C$49,MATCH($C462,'Industry Stats'!$A$2:$A$49,0))</f>
        <v>459.57142857142856</v>
      </c>
      <c r="L462" s="19">
        <f t="shared" si="79"/>
        <v>50.428571428571445</v>
      </c>
      <c r="M462" s="18">
        <f>INDEX('Industry Stats'!$D$2:$D$49,MATCH($C462,'Industry Stats'!$A$2:$A$49,0))</f>
        <v>313.66666666666669</v>
      </c>
      <c r="N462" s="19">
        <f t="shared" si="80"/>
        <v>6.3333333333333144</v>
      </c>
      <c r="O462" s="18">
        <f>INDEX('Industry Stats'!$E$2:$E$49,MATCH($C462,'Industry Stats'!$A$2:$A$49,0))</f>
        <v>274.8095238095238</v>
      </c>
      <c r="P462" s="19">
        <f t="shared" si="81"/>
        <v>25.190476190476204</v>
      </c>
      <c r="R462">
        <f t="shared" si="82"/>
        <v>1130.0009537999999</v>
      </c>
      <c r="S462">
        <f t="shared" si="83"/>
        <v>510.00095379999999</v>
      </c>
      <c r="T462">
        <f t="shared" si="84"/>
        <v>320.00095379999999</v>
      </c>
      <c r="U462">
        <f t="shared" si="85"/>
        <v>300.00095379999999</v>
      </c>
      <c r="V462">
        <f t="shared" si="86"/>
        <v>81.953334752380968</v>
      </c>
      <c r="W462">
        <f t="shared" si="87"/>
        <v>-81.951427152380958</v>
      </c>
    </row>
    <row r="463" spans="1:23" ht="15" customHeight="1" x14ac:dyDescent="0.35">
      <c r="A463" t="str">
        <f>'Raw Data'!B461</f>
        <v>Colgate-Palmolive Co</v>
      </c>
      <c r="B463" t="str">
        <f>'Raw Data'!A461</f>
        <v>cl</v>
      </c>
      <c r="C463" t="str">
        <f>IF('Raw Data'!E461="N/A","Unclassified",TRIM(SUBSTITUTE('Raw Data'!E461," and "," &amp; ")))</f>
        <v>Consumer products</v>
      </c>
      <c r="D463" s="17">
        <f>'Raw Data'!N461</f>
        <v>520</v>
      </c>
      <c r="E463" s="17">
        <f>'Raw Data'!O461</f>
        <v>310</v>
      </c>
      <c r="F463" s="17">
        <f>'Raw Data'!P461</f>
        <v>310</v>
      </c>
      <c r="G463" s="17">
        <f>'Raw Data'!Q461</f>
        <v>1140</v>
      </c>
      <c r="H463" s="18">
        <f>INDEX('Industry Stats'!$F$2:$F$49,MATCH($C463,'Industry Stats'!$A$2:$A$49,0))</f>
        <v>945.55</v>
      </c>
      <c r="I463" s="19">
        <f t="shared" si="77"/>
        <v>194.45000000000005</v>
      </c>
      <c r="J463" s="20">
        <f t="shared" si="78"/>
        <v>0.20564750674210783</v>
      </c>
      <c r="K463" s="18">
        <f>INDEX('Industry Stats'!$C$2:$C$49,MATCH($C463,'Industry Stats'!$A$2:$A$49,0))</f>
        <v>384.9</v>
      </c>
      <c r="L463" s="19">
        <f t="shared" si="79"/>
        <v>135.10000000000002</v>
      </c>
      <c r="M463" s="18">
        <f>INDEX('Industry Stats'!$D$2:$D$49,MATCH($C463,'Industry Stats'!$A$2:$A$49,0))</f>
        <v>285.7</v>
      </c>
      <c r="N463" s="19">
        <f t="shared" si="80"/>
        <v>24.300000000000011</v>
      </c>
      <c r="O463" s="18">
        <f>INDEX('Industry Stats'!$E$2:$E$49,MATCH($C463,'Industry Stats'!$A$2:$A$49,0))</f>
        <v>274.95</v>
      </c>
      <c r="P463" s="19">
        <f t="shared" si="81"/>
        <v>35.050000000000011</v>
      </c>
      <c r="R463">
        <f t="shared" si="82"/>
        <v>1140.0009537000001</v>
      </c>
      <c r="S463">
        <f t="shared" si="83"/>
        <v>520.00095369999997</v>
      </c>
      <c r="T463">
        <f t="shared" si="84"/>
        <v>310.00095370000003</v>
      </c>
      <c r="U463">
        <f t="shared" si="85"/>
        <v>310.00095370000003</v>
      </c>
      <c r="V463">
        <f t="shared" si="86"/>
        <v>194.45095370000004</v>
      </c>
      <c r="W463">
        <f t="shared" si="87"/>
        <v>-194.44904630000005</v>
      </c>
    </row>
    <row r="464" spans="1:23" ht="15" customHeight="1" x14ac:dyDescent="0.35">
      <c r="A464" t="str">
        <f>'Raw Data'!B462</f>
        <v>3M Co</v>
      </c>
      <c r="B464" t="str">
        <f>'Raw Data'!A462</f>
        <v>mmm</v>
      </c>
      <c r="C464" t="str">
        <f>IF('Raw Data'!E462="N/A","Unclassified",TRIM(SUBSTITUTE('Raw Data'!E462," and "," &amp; ")))</f>
        <v>Industrial Conglomerates</v>
      </c>
      <c r="D464" s="17">
        <f>'Raw Data'!N462</f>
        <v>526</v>
      </c>
      <c r="E464" s="17">
        <f>'Raw Data'!O462</f>
        <v>310</v>
      </c>
      <c r="F464" s="17">
        <f>'Raw Data'!P462</f>
        <v>305</v>
      </c>
      <c r="G464" s="17">
        <f>'Raw Data'!Q462</f>
        <v>1141</v>
      </c>
      <c r="H464" s="18">
        <f>INDEX('Industry Stats'!$F$2:$F$49,MATCH($C464,'Industry Stats'!$A$2:$A$49,0))</f>
        <v>1157</v>
      </c>
      <c r="I464" s="19">
        <f t="shared" si="77"/>
        <v>-16</v>
      </c>
      <c r="J464" s="20">
        <f t="shared" si="78"/>
        <v>-1.3828867761452032E-2</v>
      </c>
      <c r="K464" s="18">
        <f>INDEX('Industry Stats'!$C$2:$C$49,MATCH($C464,'Industry Stats'!$A$2:$A$49,0))</f>
        <v>534.66666666666663</v>
      </c>
      <c r="L464" s="19">
        <f t="shared" si="79"/>
        <v>-8.6666666666666288</v>
      </c>
      <c r="M464" s="18">
        <f>INDEX('Industry Stats'!$D$2:$D$49,MATCH($C464,'Industry Stats'!$A$2:$A$49,0))</f>
        <v>318</v>
      </c>
      <c r="N464" s="19">
        <f t="shared" si="80"/>
        <v>-8</v>
      </c>
      <c r="O464" s="18">
        <f>INDEX('Industry Stats'!$E$2:$E$49,MATCH($C464,'Industry Stats'!$A$2:$A$49,0))</f>
        <v>304.33333333333331</v>
      </c>
      <c r="P464" s="19">
        <f t="shared" si="81"/>
        <v>0.66666666666668561</v>
      </c>
      <c r="R464">
        <f t="shared" si="82"/>
        <v>1141.0009536</v>
      </c>
      <c r="S464">
        <f t="shared" si="83"/>
        <v>526.0009536</v>
      </c>
      <c r="T464">
        <f t="shared" si="84"/>
        <v>310.0009536</v>
      </c>
      <c r="U464">
        <f t="shared" si="85"/>
        <v>305.0009536</v>
      </c>
      <c r="V464">
        <f t="shared" si="86"/>
        <v>-15.999046399999999</v>
      </c>
      <c r="W464">
        <f t="shared" si="87"/>
        <v>16.000953599999999</v>
      </c>
    </row>
    <row r="465" spans="1:23" ht="15" customHeight="1" x14ac:dyDescent="0.35">
      <c r="A465" t="str">
        <f>'Raw Data'!B463</f>
        <v>Citizens Financial Group Inc</v>
      </c>
      <c r="B465" t="str">
        <f>'Raw Data'!A463</f>
        <v>cfg</v>
      </c>
      <c r="C465" t="str">
        <f>IF('Raw Data'!E463="N/A","Unclassified",TRIM(SUBSTITUTE('Raw Data'!E463," and "," &amp; ")))</f>
        <v>Banking</v>
      </c>
      <c r="D465" s="17">
        <f>'Raw Data'!N463</f>
        <v>230</v>
      </c>
      <c r="E465" s="17">
        <f>'Raw Data'!O463</f>
        <v>215</v>
      </c>
      <c r="F465" s="17">
        <f>'Raw Data'!P463</f>
        <v>205</v>
      </c>
      <c r="G465" s="17">
        <f>'Raw Data'!Q463</f>
        <v>650</v>
      </c>
      <c r="H465" s="18">
        <f>INDEX('Industry Stats'!$F$2:$F$49,MATCH($C465,'Industry Stats'!$A$2:$A$49,0))</f>
        <v>898.31034482758616</v>
      </c>
      <c r="I465" s="19">
        <f t="shared" si="77"/>
        <v>-248.31034482758616</v>
      </c>
      <c r="J465" s="20">
        <f t="shared" si="78"/>
        <v>-0.27641933131165786</v>
      </c>
      <c r="K465" s="18">
        <f>INDEX('Industry Stats'!$C$2:$C$49,MATCH($C465,'Industry Stats'!$A$2:$A$49,0))</f>
        <v>341.48275862068965</v>
      </c>
      <c r="L465" s="19">
        <f t="shared" si="79"/>
        <v>-111.48275862068965</v>
      </c>
      <c r="M465" s="18">
        <f>INDEX('Industry Stats'!$D$2:$D$49,MATCH($C465,'Industry Stats'!$A$2:$A$49,0))</f>
        <v>292.34482758620692</v>
      </c>
      <c r="N465" s="19">
        <f t="shared" si="80"/>
        <v>-77.344827586206918</v>
      </c>
      <c r="O465" s="18">
        <f>INDEX('Industry Stats'!$E$2:$E$49,MATCH($C465,'Industry Stats'!$A$2:$A$49,0))</f>
        <v>264.48275862068965</v>
      </c>
      <c r="P465" s="19">
        <f t="shared" si="81"/>
        <v>-59.482758620689651</v>
      </c>
      <c r="R465">
        <f t="shared" si="82"/>
        <v>650.00095350000004</v>
      </c>
      <c r="S465">
        <f t="shared" si="83"/>
        <v>230.00095350000001</v>
      </c>
      <c r="T465">
        <f t="shared" si="84"/>
        <v>215.00095350000001</v>
      </c>
      <c r="U465">
        <f t="shared" si="85"/>
        <v>205.00095350000001</v>
      </c>
      <c r="V465">
        <f t="shared" si="86"/>
        <v>-248.30939132758616</v>
      </c>
      <c r="W465">
        <f t="shared" si="87"/>
        <v>248.31129832758617</v>
      </c>
    </row>
    <row r="466" spans="1:23" ht="15" customHeight="1" x14ac:dyDescent="0.35">
      <c r="A466" t="str">
        <f>'Raw Data'!B464</f>
        <v>Conagra Brands Inc</v>
      </c>
      <c r="B466" t="str">
        <f>'Raw Data'!A464</f>
        <v>cag</v>
      </c>
      <c r="C466" t="str">
        <f>IF('Raw Data'!E464="N/A","Unclassified",TRIM(SUBSTITUTE('Raw Data'!E464," and "," &amp; ")))</f>
        <v>Food Products</v>
      </c>
      <c r="D466" s="17">
        <f>'Raw Data'!N464</f>
        <v>525</v>
      </c>
      <c r="E466" s="17">
        <f>'Raw Data'!O464</f>
        <v>306</v>
      </c>
      <c r="F466" s="17">
        <f>'Raw Data'!P464</f>
        <v>300</v>
      </c>
      <c r="G466" s="17">
        <f>'Raw Data'!Q464</f>
        <v>1131</v>
      </c>
      <c r="H466" s="18">
        <f>INDEX('Industry Stats'!$F$2:$F$49,MATCH($C466,'Industry Stats'!$A$2:$A$49,0))</f>
        <v>1131.0714285714287</v>
      </c>
      <c r="I466" s="19">
        <f t="shared" si="77"/>
        <v>-7.1428571428668874E-2</v>
      </c>
      <c r="J466" s="20">
        <f t="shared" si="78"/>
        <v>-6.315124723721908E-5</v>
      </c>
      <c r="K466" s="18">
        <f>INDEX('Industry Stats'!$C$2:$C$49,MATCH($C466,'Industry Stats'!$A$2:$A$49,0))</f>
        <v>516.57142857142856</v>
      </c>
      <c r="L466" s="19">
        <f t="shared" si="79"/>
        <v>8.4285714285714448</v>
      </c>
      <c r="M466" s="18">
        <f>INDEX('Industry Stats'!$D$2:$D$49,MATCH($C466,'Industry Stats'!$A$2:$A$49,0))</f>
        <v>311.28571428571428</v>
      </c>
      <c r="N466" s="19">
        <f t="shared" si="80"/>
        <v>-5.2857142857142776</v>
      </c>
      <c r="O466" s="18">
        <f>INDEX('Industry Stats'!$E$2:$E$49,MATCH($C466,'Industry Stats'!$A$2:$A$49,0))</f>
        <v>303.21428571428572</v>
      </c>
      <c r="P466" s="19">
        <f t="shared" si="81"/>
        <v>-3.2142857142857224</v>
      </c>
      <c r="R466">
        <f t="shared" si="82"/>
        <v>1131.0009534000001</v>
      </c>
      <c r="S466">
        <f t="shared" si="83"/>
        <v>525.00095339999996</v>
      </c>
      <c r="T466">
        <f t="shared" si="84"/>
        <v>306.00095340000001</v>
      </c>
      <c r="U466">
        <f t="shared" si="85"/>
        <v>300.00095340000001</v>
      </c>
      <c r="V466">
        <f t="shared" si="86"/>
        <v>-7.0475171428668881E-2</v>
      </c>
      <c r="W466">
        <f t="shared" si="87"/>
        <v>7.2381971428668868E-2</v>
      </c>
    </row>
    <row r="467" spans="1:23" ht="15" customHeight="1" x14ac:dyDescent="0.35">
      <c r="A467" t="str">
        <f>'Raw Data'!B465</f>
        <v>Cigna Corp</v>
      </c>
      <c r="B467" t="str">
        <f>'Raw Data'!A465</f>
        <v>ci</v>
      </c>
      <c r="C467" t="str">
        <f>IF('Raw Data'!E465="N/A","Unclassified",TRIM(SUBSTITUTE('Raw Data'!E465," and "," &amp; ")))</f>
        <v>Health Care</v>
      </c>
      <c r="D467" s="17">
        <f>'Raw Data'!N465</f>
        <v>508</v>
      </c>
      <c r="E467" s="17">
        <f>'Raw Data'!O465</f>
        <v>328</v>
      </c>
      <c r="F467" s="17">
        <f>'Raw Data'!P465</f>
        <v>310</v>
      </c>
      <c r="G467" s="17">
        <f>'Raw Data'!Q465</f>
        <v>1146</v>
      </c>
      <c r="H467" s="18">
        <f>INDEX('Industry Stats'!$F$2:$F$49,MATCH($C467,'Industry Stats'!$A$2:$A$49,0))</f>
        <v>938.76470588235293</v>
      </c>
      <c r="I467" s="19">
        <f t="shared" si="77"/>
        <v>207.23529411764707</v>
      </c>
      <c r="J467" s="20">
        <f t="shared" si="78"/>
        <v>0.22075318002381103</v>
      </c>
      <c r="K467" s="18">
        <f>INDEX('Industry Stats'!$C$2:$C$49,MATCH($C467,'Industry Stats'!$A$2:$A$49,0))</f>
        <v>374.52941176470586</v>
      </c>
      <c r="L467" s="19">
        <f t="shared" si="79"/>
        <v>133.47058823529414</v>
      </c>
      <c r="M467" s="18">
        <f>INDEX('Industry Stats'!$D$2:$D$49,MATCH($C467,'Industry Stats'!$A$2:$A$49,0))</f>
        <v>287.43137254901961</v>
      </c>
      <c r="N467" s="19">
        <f t="shared" si="80"/>
        <v>40.568627450980387</v>
      </c>
      <c r="O467" s="18">
        <f>INDEX('Industry Stats'!$E$2:$E$49,MATCH($C467,'Industry Stats'!$A$2:$A$49,0))</f>
        <v>276.80392156862746</v>
      </c>
      <c r="P467" s="19">
        <f t="shared" si="81"/>
        <v>33.196078431372541</v>
      </c>
      <c r="R467">
        <f t="shared" si="82"/>
        <v>1146.0009533</v>
      </c>
      <c r="S467">
        <f t="shared" si="83"/>
        <v>508.00095329999999</v>
      </c>
      <c r="T467">
        <f t="shared" si="84"/>
        <v>328.00095329999999</v>
      </c>
      <c r="U467">
        <f t="shared" si="85"/>
        <v>310.00095329999999</v>
      </c>
      <c r="V467">
        <f t="shared" si="86"/>
        <v>207.23624741764706</v>
      </c>
      <c r="W467">
        <f t="shared" si="87"/>
        <v>-207.23434081764708</v>
      </c>
    </row>
    <row r="468" spans="1:23" ht="15" customHeight="1" x14ac:dyDescent="0.35">
      <c r="A468" t="str">
        <f>'Raw Data'!B466</f>
        <v>Cardinal Health Inc</v>
      </c>
      <c r="B468" t="str">
        <f>'Raw Data'!A466</f>
        <v>cah</v>
      </c>
      <c r="C468" t="str">
        <f>IF('Raw Data'!E466="N/A","Unclassified",TRIM(SUBSTITUTE('Raw Data'!E466," and "," &amp; ")))</f>
        <v>Health Care</v>
      </c>
      <c r="D468" s="17">
        <f>'Raw Data'!N466</f>
        <v>505</v>
      </c>
      <c r="E468" s="17">
        <f>'Raw Data'!O466</f>
        <v>300</v>
      </c>
      <c r="F468" s="17">
        <f>'Raw Data'!P466</f>
        <v>315</v>
      </c>
      <c r="G468" s="17">
        <f>'Raw Data'!Q466</f>
        <v>1120</v>
      </c>
      <c r="H468" s="18">
        <f>INDEX('Industry Stats'!$F$2:$F$49,MATCH($C468,'Industry Stats'!$A$2:$A$49,0))</f>
        <v>938.76470588235293</v>
      </c>
      <c r="I468" s="19">
        <f t="shared" si="77"/>
        <v>181.23529411764707</v>
      </c>
      <c r="J468" s="20">
        <f t="shared" si="78"/>
        <v>0.19305720909831445</v>
      </c>
      <c r="K468" s="18">
        <f>INDEX('Industry Stats'!$C$2:$C$49,MATCH($C468,'Industry Stats'!$A$2:$A$49,0))</f>
        <v>374.52941176470586</v>
      </c>
      <c r="L468" s="19">
        <f t="shared" si="79"/>
        <v>130.47058823529414</v>
      </c>
      <c r="M468" s="18">
        <f>INDEX('Industry Stats'!$D$2:$D$49,MATCH($C468,'Industry Stats'!$A$2:$A$49,0))</f>
        <v>287.43137254901961</v>
      </c>
      <c r="N468" s="19">
        <f t="shared" si="80"/>
        <v>12.568627450980387</v>
      </c>
      <c r="O468" s="18">
        <f>INDEX('Industry Stats'!$E$2:$E$49,MATCH($C468,'Industry Stats'!$A$2:$A$49,0))</f>
        <v>276.80392156862746</v>
      </c>
      <c r="P468" s="19">
        <f t="shared" si="81"/>
        <v>38.196078431372541</v>
      </c>
      <c r="R468">
        <f t="shared" si="82"/>
        <v>1120.0009531999999</v>
      </c>
      <c r="S468">
        <f t="shared" si="83"/>
        <v>505.00095320000003</v>
      </c>
      <c r="T468">
        <f t="shared" si="84"/>
        <v>300.00095320000003</v>
      </c>
      <c r="U468">
        <f t="shared" si="85"/>
        <v>315.00095320000003</v>
      </c>
      <c r="V468">
        <f t="shared" si="86"/>
        <v>181.23624731764707</v>
      </c>
      <c r="W468">
        <f t="shared" si="87"/>
        <v>-181.23434091764707</v>
      </c>
    </row>
    <row r="469" spans="1:23" ht="15" customHeight="1" x14ac:dyDescent="0.35">
      <c r="A469" t="str">
        <f>'Raw Data'!B467</f>
        <v>Mastercard Inc</v>
      </c>
      <c r="B469" t="str">
        <f>'Raw Data'!A467</f>
        <v>ma</v>
      </c>
      <c r="C469" t="str">
        <f>IF('Raw Data'!E467="N/A","Unclassified",TRIM(SUBSTITUTE('Raw Data'!E467," and "," &amp; ")))</f>
        <v>Technology</v>
      </c>
      <c r="D469" s="17">
        <f>'Raw Data'!N467</f>
        <v>210</v>
      </c>
      <c r="E469" s="17">
        <f>'Raw Data'!O467</f>
        <v>230</v>
      </c>
      <c r="F469" s="17">
        <f>'Raw Data'!P467</f>
        <v>215</v>
      </c>
      <c r="G469" s="17">
        <f>'Raw Data'!Q467</f>
        <v>655</v>
      </c>
      <c r="H469" s="18">
        <f>INDEX('Industry Stats'!$F$2:$F$49,MATCH($C469,'Industry Stats'!$A$2:$A$49,0))</f>
        <v>1031.3174603174602</v>
      </c>
      <c r="I469" s="19">
        <f t="shared" si="77"/>
        <v>-376.31746031746025</v>
      </c>
      <c r="J469" s="20">
        <f t="shared" si="78"/>
        <v>-0.36489003124374736</v>
      </c>
      <c r="K469" s="18">
        <f>INDEX('Industry Stats'!$C$2:$C$49,MATCH($C469,'Industry Stats'!$A$2:$A$49,0))</f>
        <v>438.11111111111109</v>
      </c>
      <c r="L469" s="19">
        <f t="shared" si="79"/>
        <v>-228.11111111111109</v>
      </c>
      <c r="M469" s="18">
        <f>INDEX('Industry Stats'!$D$2:$D$49,MATCH($C469,'Industry Stats'!$A$2:$A$49,0))</f>
        <v>307.90476190476193</v>
      </c>
      <c r="N469" s="19">
        <f t="shared" si="80"/>
        <v>-77.904761904761926</v>
      </c>
      <c r="O469" s="18">
        <f>INDEX('Industry Stats'!$E$2:$E$49,MATCH($C469,'Industry Stats'!$A$2:$A$49,0))</f>
        <v>285.30158730158729</v>
      </c>
      <c r="P469" s="19">
        <f t="shared" si="81"/>
        <v>-70.30158730158729</v>
      </c>
      <c r="R469">
        <f t="shared" si="82"/>
        <v>655.00095309999995</v>
      </c>
      <c r="S469">
        <f t="shared" si="83"/>
        <v>210.0009531</v>
      </c>
      <c r="T469">
        <f t="shared" si="84"/>
        <v>230.0009531</v>
      </c>
      <c r="U469">
        <f t="shared" si="85"/>
        <v>215.0009531</v>
      </c>
      <c r="V469">
        <f t="shared" si="86"/>
        <v>-376.31650721746024</v>
      </c>
      <c r="W469">
        <f t="shared" si="87"/>
        <v>376.31841341746025</v>
      </c>
    </row>
    <row r="470" spans="1:23" ht="15" customHeight="1" x14ac:dyDescent="0.35">
      <c r="A470" t="str">
        <f>'Raw Data'!B468</f>
        <v>Lamb Weston Holdings Inc</v>
      </c>
      <c r="B470" t="str">
        <f>'Raw Data'!A468</f>
        <v>lw</v>
      </c>
      <c r="C470" t="str">
        <f>IF('Raw Data'!E468="N/A","Unclassified",TRIM(SUBSTITUTE('Raw Data'!E468," and "," &amp; ")))</f>
        <v>Food Products</v>
      </c>
      <c r="D470" s="17">
        <f>'Raw Data'!N468</f>
        <v>345</v>
      </c>
      <c r="E470" s="17">
        <f>'Raw Data'!O468</f>
        <v>256</v>
      </c>
      <c r="F470" s="17">
        <f>'Raw Data'!P468</f>
        <v>300</v>
      </c>
      <c r="G470" s="17">
        <f>'Raw Data'!Q468</f>
        <v>901</v>
      </c>
      <c r="H470" s="18">
        <f>INDEX('Industry Stats'!$F$2:$F$49,MATCH($C470,'Industry Stats'!$A$2:$A$49,0))</f>
        <v>1131.0714285714287</v>
      </c>
      <c r="I470" s="19">
        <f t="shared" si="77"/>
        <v>-230.07142857142867</v>
      </c>
      <c r="J470" s="20">
        <f t="shared" si="78"/>
        <v>-0.20341016735080525</v>
      </c>
      <c r="K470" s="18">
        <f>INDEX('Industry Stats'!$C$2:$C$49,MATCH($C470,'Industry Stats'!$A$2:$A$49,0))</f>
        <v>516.57142857142856</v>
      </c>
      <c r="L470" s="19">
        <f t="shared" si="79"/>
        <v>-171.57142857142856</v>
      </c>
      <c r="M470" s="18">
        <f>INDEX('Industry Stats'!$D$2:$D$49,MATCH($C470,'Industry Stats'!$A$2:$A$49,0))</f>
        <v>311.28571428571428</v>
      </c>
      <c r="N470" s="19">
        <f t="shared" si="80"/>
        <v>-55.285714285714278</v>
      </c>
      <c r="O470" s="18">
        <f>INDEX('Industry Stats'!$E$2:$E$49,MATCH($C470,'Industry Stats'!$A$2:$A$49,0))</f>
        <v>303.21428571428572</v>
      </c>
      <c r="P470" s="19">
        <f t="shared" si="81"/>
        <v>-3.2142857142857224</v>
      </c>
      <c r="R470">
        <f t="shared" si="82"/>
        <v>901.00095299999998</v>
      </c>
      <c r="S470">
        <f t="shared" si="83"/>
        <v>345.00095299999998</v>
      </c>
      <c r="T470">
        <f t="shared" si="84"/>
        <v>256.00095299999998</v>
      </c>
      <c r="U470">
        <f t="shared" si="85"/>
        <v>300.00095299999998</v>
      </c>
      <c r="V470">
        <f t="shared" si="86"/>
        <v>-230.07047557142866</v>
      </c>
      <c r="W470">
        <f t="shared" si="87"/>
        <v>230.07238157142868</v>
      </c>
    </row>
    <row r="471" spans="1:23" ht="15" customHeight="1" x14ac:dyDescent="0.35">
      <c r="A471" t="str">
        <f>'Raw Data'!B469</f>
        <v>Mid-America Apartment Communities Inc</v>
      </c>
      <c r="B471" t="str">
        <f>'Raw Data'!A469</f>
        <v>maa</v>
      </c>
      <c r="C471" t="str">
        <f>IF('Raw Data'!E469="N/A","Unclassified",TRIM(SUBSTITUTE('Raw Data'!E469," and "," &amp; ")))</f>
        <v>Real Estate</v>
      </c>
      <c r="D471" s="17">
        <f>'Raw Data'!N469</f>
        <v>315</v>
      </c>
      <c r="E471" s="17">
        <f>'Raw Data'!O469</f>
        <v>261</v>
      </c>
      <c r="F471" s="17">
        <f>'Raw Data'!P469</f>
        <v>210</v>
      </c>
      <c r="G471" s="17">
        <f>'Raw Data'!Q469</f>
        <v>786</v>
      </c>
      <c r="H471" s="18">
        <f>INDEX('Industry Stats'!$F$2:$F$49,MATCH($C471,'Industry Stats'!$A$2:$A$49,0))</f>
        <v>995.94444444444446</v>
      </c>
      <c r="I471" s="19">
        <f t="shared" si="77"/>
        <v>-209.94444444444446</v>
      </c>
      <c r="J471" s="20">
        <f t="shared" si="78"/>
        <v>-0.21079935293133265</v>
      </c>
      <c r="K471" s="18">
        <f>INDEX('Industry Stats'!$C$2:$C$49,MATCH($C471,'Industry Stats'!$A$2:$A$49,0))</f>
        <v>431.38888888888891</v>
      </c>
      <c r="L471" s="19">
        <f t="shared" si="79"/>
        <v>-116.38888888888891</v>
      </c>
      <c r="M471" s="18">
        <f>INDEX('Industry Stats'!$D$2:$D$49,MATCH($C471,'Industry Stats'!$A$2:$A$49,0))</f>
        <v>290.91666666666669</v>
      </c>
      <c r="N471" s="19">
        <f t="shared" si="80"/>
        <v>-29.916666666666686</v>
      </c>
      <c r="O471" s="18">
        <f>INDEX('Industry Stats'!$E$2:$E$49,MATCH($C471,'Industry Stats'!$A$2:$A$49,0))</f>
        <v>273.63888888888891</v>
      </c>
      <c r="P471" s="19">
        <f t="shared" si="81"/>
        <v>-63.638888888888914</v>
      </c>
      <c r="R471">
        <f t="shared" si="82"/>
        <v>786.00095290000002</v>
      </c>
      <c r="S471">
        <f t="shared" si="83"/>
        <v>315.00095290000002</v>
      </c>
      <c r="T471">
        <f t="shared" si="84"/>
        <v>261.00095290000002</v>
      </c>
      <c r="U471">
        <f t="shared" si="85"/>
        <v>210.00095289999999</v>
      </c>
      <c r="V471">
        <f t="shared" si="86"/>
        <v>-209.94349154444447</v>
      </c>
      <c r="W471">
        <f t="shared" si="87"/>
        <v>209.94539734444444</v>
      </c>
    </row>
    <row r="472" spans="1:23" ht="15" customHeight="1" x14ac:dyDescent="0.35">
      <c r="A472" t="str">
        <f>'Raw Data'!B470</f>
        <v>Martin Marietta Materials Inc</v>
      </c>
      <c r="B472" t="str">
        <f>'Raw Data'!A470</f>
        <v>mlm</v>
      </c>
      <c r="C472" t="str">
        <f>IF('Raw Data'!E470="N/A","Unclassified",TRIM(SUBSTITUTE('Raw Data'!E470," and "," &amp; ")))</f>
        <v>Construction</v>
      </c>
      <c r="D472" s="17">
        <f>'Raw Data'!N470</f>
        <v>573</v>
      </c>
      <c r="E472" s="17">
        <f>'Raw Data'!O470</f>
        <v>313</v>
      </c>
      <c r="F472" s="17">
        <f>'Raw Data'!P470</f>
        <v>300</v>
      </c>
      <c r="G472" s="17">
        <f>'Raw Data'!Q470</f>
        <v>1186</v>
      </c>
      <c r="H472" s="18">
        <f>INDEX('Industry Stats'!$F$2:$F$49,MATCH($C472,'Industry Stats'!$A$2:$A$49,0))</f>
        <v>1082.6666666666667</v>
      </c>
      <c r="I472" s="19">
        <f t="shared" si="77"/>
        <v>103.33333333333326</v>
      </c>
      <c r="J472" s="20">
        <f t="shared" si="78"/>
        <v>9.5443349753694506E-2</v>
      </c>
      <c r="K472" s="18">
        <f>INDEX('Industry Stats'!$C$2:$C$49,MATCH($C472,'Industry Stats'!$A$2:$A$49,0))</f>
        <v>495.33333333333331</v>
      </c>
      <c r="L472" s="19">
        <f t="shared" si="79"/>
        <v>77.666666666666686</v>
      </c>
      <c r="M472" s="18">
        <f>INDEX('Industry Stats'!$D$2:$D$49,MATCH($C472,'Industry Stats'!$A$2:$A$49,0))</f>
        <v>306.16666666666669</v>
      </c>
      <c r="N472" s="19">
        <f t="shared" si="80"/>
        <v>6.8333333333333144</v>
      </c>
      <c r="O472" s="18">
        <f>INDEX('Industry Stats'!$E$2:$E$49,MATCH($C472,'Industry Stats'!$A$2:$A$49,0))</f>
        <v>281.16666666666669</v>
      </c>
      <c r="P472" s="19">
        <f t="shared" si="81"/>
        <v>18.833333333333314</v>
      </c>
      <c r="R472">
        <f t="shared" si="82"/>
        <v>1186.0009528000001</v>
      </c>
      <c r="S472">
        <f t="shared" si="83"/>
        <v>573.00095280000005</v>
      </c>
      <c r="T472">
        <f t="shared" si="84"/>
        <v>313.00095279999999</v>
      </c>
      <c r="U472">
        <f t="shared" si="85"/>
        <v>300.00095279999999</v>
      </c>
      <c r="V472">
        <f t="shared" si="86"/>
        <v>103.33428613333325</v>
      </c>
      <c r="W472">
        <f t="shared" si="87"/>
        <v>-103.33238053333326</v>
      </c>
    </row>
    <row r="473" spans="1:23" ht="15" customHeight="1" x14ac:dyDescent="0.35">
      <c r="A473" t="str">
        <f>'Raw Data'!B471</f>
        <v>Southwest Airlines Co</v>
      </c>
      <c r="B473" t="str">
        <f>'Raw Data'!A471</f>
        <v>luv</v>
      </c>
      <c r="C473" t="str">
        <f>IF('Raw Data'!E471="N/A","Unclassified",TRIM(SUBSTITUTE('Raw Data'!E471," and "," &amp; ")))</f>
        <v>Airlines</v>
      </c>
      <c r="D473" s="17">
        <f>'Raw Data'!N471</f>
        <v>295</v>
      </c>
      <c r="E473" s="17">
        <f>'Raw Data'!O471</f>
        <v>314</v>
      </c>
      <c r="F473" s="17">
        <f>'Raw Data'!P471</f>
        <v>218</v>
      </c>
      <c r="G473" s="17">
        <f>'Raw Data'!Q471</f>
        <v>827</v>
      </c>
      <c r="H473" s="18">
        <f>INDEX('Industry Stats'!$F$2:$F$49,MATCH($C473,'Industry Stats'!$A$2:$A$49,0))</f>
        <v>838.71428571428567</v>
      </c>
      <c r="I473" s="19">
        <f t="shared" si="77"/>
        <v>-11.714285714285666</v>
      </c>
      <c r="J473" s="20">
        <f t="shared" si="78"/>
        <v>-1.3966956225515187E-2</v>
      </c>
      <c r="K473" s="18">
        <f>INDEX('Industry Stats'!$C$2:$C$49,MATCH($C473,'Industry Stats'!$A$2:$A$49,0))</f>
        <v>326.71428571428572</v>
      </c>
      <c r="L473" s="19">
        <f t="shared" si="79"/>
        <v>-31.714285714285722</v>
      </c>
      <c r="M473" s="18">
        <f>INDEX('Industry Stats'!$D$2:$D$49,MATCH($C473,'Industry Stats'!$A$2:$A$49,0))</f>
        <v>265.71428571428572</v>
      </c>
      <c r="N473" s="19">
        <f t="shared" si="80"/>
        <v>48.285714285714278</v>
      </c>
      <c r="O473" s="18">
        <f>INDEX('Industry Stats'!$E$2:$E$49,MATCH($C473,'Industry Stats'!$A$2:$A$49,0))</f>
        <v>246.28571428571428</v>
      </c>
      <c r="P473" s="19">
        <f t="shared" si="81"/>
        <v>-28.285714285714278</v>
      </c>
      <c r="R473">
        <f t="shared" si="82"/>
        <v>827.00095269999997</v>
      </c>
      <c r="S473">
        <f t="shared" si="83"/>
        <v>295.00095270000003</v>
      </c>
      <c r="T473">
        <f t="shared" si="84"/>
        <v>314.00095270000003</v>
      </c>
      <c r="U473">
        <f t="shared" si="85"/>
        <v>218.0009527</v>
      </c>
      <c r="V473">
        <f t="shared" si="86"/>
        <v>-11.713333014285666</v>
      </c>
      <c r="W473">
        <f t="shared" si="87"/>
        <v>11.715238414285665</v>
      </c>
    </row>
    <row r="474" spans="1:23" ht="15" customHeight="1" x14ac:dyDescent="0.35">
      <c r="A474" t="str">
        <f>'Raw Data'!B472</f>
        <v>Lincoln National Corp</v>
      </c>
      <c r="B474" t="str">
        <f>'Raw Data'!A472</f>
        <v>lnc</v>
      </c>
      <c r="C474" t="str">
        <f>IF('Raw Data'!E472="N/A","Unclassified",TRIM(SUBSTITUTE('Raw Data'!E472," and "," &amp; ")))</f>
        <v>Insurance</v>
      </c>
      <c r="D474" s="17">
        <f>'Raw Data'!N472</f>
        <v>700</v>
      </c>
      <c r="E474" s="17">
        <f>'Raw Data'!O472</f>
        <v>300</v>
      </c>
      <c r="F474" s="17">
        <f>'Raw Data'!P472</f>
        <v>300</v>
      </c>
      <c r="G474" s="17">
        <f>'Raw Data'!Q472</f>
        <v>1300</v>
      </c>
      <c r="H474" s="18">
        <f>INDEX('Industry Stats'!$F$2:$F$49,MATCH($C474,'Industry Stats'!$A$2:$A$49,0))</f>
        <v>1012.3703703703703</v>
      </c>
      <c r="I474" s="19">
        <f t="shared" si="77"/>
        <v>287.62962962962968</v>
      </c>
      <c r="J474" s="20">
        <f t="shared" si="78"/>
        <v>0.28411502158483948</v>
      </c>
      <c r="K474" s="18">
        <f>INDEX('Industry Stats'!$C$2:$C$49,MATCH($C474,'Industry Stats'!$A$2:$A$49,0))</f>
        <v>425.25925925925924</v>
      </c>
      <c r="L474" s="19">
        <f t="shared" si="79"/>
        <v>274.74074074074076</v>
      </c>
      <c r="M474" s="18">
        <f>INDEX('Industry Stats'!$D$2:$D$49,MATCH($C474,'Industry Stats'!$A$2:$A$49,0))</f>
        <v>295.66666666666669</v>
      </c>
      <c r="N474" s="19">
        <f t="shared" si="80"/>
        <v>4.3333333333333144</v>
      </c>
      <c r="O474" s="18">
        <f>INDEX('Industry Stats'!$E$2:$E$49,MATCH($C474,'Industry Stats'!$A$2:$A$49,0))</f>
        <v>291.44444444444446</v>
      </c>
      <c r="P474" s="19">
        <f t="shared" si="81"/>
        <v>8.5555555555555429</v>
      </c>
      <c r="R474">
        <f t="shared" si="82"/>
        <v>1300.0009525999999</v>
      </c>
      <c r="S474">
        <f t="shared" si="83"/>
        <v>700.00095260000001</v>
      </c>
      <c r="T474">
        <f t="shared" si="84"/>
        <v>300.00095260000001</v>
      </c>
      <c r="U474">
        <f t="shared" si="85"/>
        <v>300.00095260000001</v>
      </c>
      <c r="V474">
        <f t="shared" si="86"/>
        <v>287.63058222962968</v>
      </c>
      <c r="W474">
        <f t="shared" si="87"/>
        <v>-287.62867702962967</v>
      </c>
    </row>
    <row r="475" spans="1:23" ht="15" customHeight="1" x14ac:dyDescent="0.35">
      <c r="A475" t="str">
        <f>'Raw Data'!B473</f>
        <v>Lennar Corp</v>
      </c>
      <c r="B475" t="str">
        <f>'Raw Data'!A473</f>
        <v>len</v>
      </c>
      <c r="C475" t="str">
        <f>IF('Raw Data'!E473="N/A","Unclassified",TRIM(SUBSTITUTE('Raw Data'!E473," and "," &amp; ")))</f>
        <v>Consumer products</v>
      </c>
      <c r="D475" s="17">
        <f>'Raw Data'!N473</f>
        <v>363</v>
      </c>
      <c r="E475" s="17">
        <f>'Raw Data'!O473</f>
        <v>344</v>
      </c>
      <c r="F475" s="17">
        <f>'Raw Data'!P473</f>
        <v>220</v>
      </c>
      <c r="G475" s="17">
        <f>'Raw Data'!Q473</f>
        <v>927</v>
      </c>
      <c r="H475" s="18">
        <f>INDEX('Industry Stats'!$F$2:$F$49,MATCH($C475,'Industry Stats'!$A$2:$A$49,0))</f>
        <v>945.55</v>
      </c>
      <c r="I475" s="19">
        <f t="shared" si="77"/>
        <v>-18.549999999999955</v>
      </c>
      <c r="J475" s="20">
        <f t="shared" si="78"/>
        <v>-1.9618211622864951E-2</v>
      </c>
      <c r="K475" s="18">
        <f>INDEX('Industry Stats'!$C$2:$C$49,MATCH($C475,'Industry Stats'!$A$2:$A$49,0))</f>
        <v>384.9</v>
      </c>
      <c r="L475" s="19">
        <f t="shared" si="79"/>
        <v>-21.899999999999977</v>
      </c>
      <c r="M475" s="18">
        <f>INDEX('Industry Stats'!$D$2:$D$49,MATCH($C475,'Industry Stats'!$A$2:$A$49,0))</f>
        <v>285.7</v>
      </c>
      <c r="N475" s="19">
        <f t="shared" si="80"/>
        <v>58.300000000000011</v>
      </c>
      <c r="O475" s="18">
        <f>INDEX('Industry Stats'!$E$2:$E$49,MATCH($C475,'Industry Stats'!$A$2:$A$49,0))</f>
        <v>274.95</v>
      </c>
      <c r="P475" s="19">
        <f t="shared" si="81"/>
        <v>-54.949999999999989</v>
      </c>
      <c r="R475">
        <f t="shared" si="82"/>
        <v>927.00095250000004</v>
      </c>
      <c r="S475">
        <f t="shared" si="83"/>
        <v>363.00095249999998</v>
      </c>
      <c r="T475">
        <f t="shared" si="84"/>
        <v>344.00095249999998</v>
      </c>
      <c r="U475">
        <f t="shared" si="85"/>
        <v>220.00095250000001</v>
      </c>
      <c r="V475">
        <f t="shared" si="86"/>
        <v>-18.549047499999954</v>
      </c>
      <c r="W475">
        <f t="shared" si="87"/>
        <v>18.550952499999955</v>
      </c>
    </row>
    <row r="476" spans="1:23" ht="15" customHeight="1" x14ac:dyDescent="0.35">
      <c r="A476" t="str">
        <f>'Raw Data'!B474</f>
        <v>Procter &amp; Gamble Co</v>
      </c>
      <c r="B476" t="str">
        <f>'Raw Data'!A474</f>
        <v>pg</v>
      </c>
      <c r="C476" t="str">
        <f>IF('Raw Data'!E474="N/A","Unclassified",TRIM(SUBSTITUTE('Raw Data'!E474," and "," &amp; ")))</f>
        <v>Consumer products</v>
      </c>
      <c r="D476" s="17">
        <f>'Raw Data'!N474</f>
        <v>560</v>
      </c>
      <c r="E476" s="17">
        <f>'Raw Data'!O474</f>
        <v>422</v>
      </c>
      <c r="F476" s="17">
        <f>'Raw Data'!P474</f>
        <v>310</v>
      </c>
      <c r="G476" s="17">
        <f>'Raw Data'!Q474</f>
        <v>1292</v>
      </c>
      <c r="H476" s="18">
        <f>INDEX('Industry Stats'!$F$2:$F$49,MATCH($C476,'Industry Stats'!$A$2:$A$49,0))</f>
        <v>945.55</v>
      </c>
      <c r="I476" s="19">
        <f t="shared" si="77"/>
        <v>346.45000000000005</v>
      </c>
      <c r="J476" s="20">
        <f t="shared" si="78"/>
        <v>0.36640050764105553</v>
      </c>
      <c r="K476" s="18">
        <f>INDEX('Industry Stats'!$C$2:$C$49,MATCH($C476,'Industry Stats'!$A$2:$A$49,0))</f>
        <v>384.9</v>
      </c>
      <c r="L476" s="19">
        <f t="shared" si="79"/>
        <v>175.10000000000002</v>
      </c>
      <c r="M476" s="18">
        <f>INDEX('Industry Stats'!$D$2:$D$49,MATCH($C476,'Industry Stats'!$A$2:$A$49,0))</f>
        <v>285.7</v>
      </c>
      <c r="N476" s="19">
        <f t="shared" si="80"/>
        <v>136.30000000000001</v>
      </c>
      <c r="O476" s="18">
        <f>INDEX('Industry Stats'!$E$2:$E$49,MATCH($C476,'Industry Stats'!$A$2:$A$49,0))</f>
        <v>274.95</v>
      </c>
      <c r="P476" s="19">
        <f t="shared" si="81"/>
        <v>35.050000000000011</v>
      </c>
      <c r="R476">
        <f t="shared" si="82"/>
        <v>1292.0009524</v>
      </c>
      <c r="S476">
        <f t="shared" si="83"/>
        <v>560.00095239999996</v>
      </c>
      <c r="T476">
        <f t="shared" si="84"/>
        <v>422.00095240000002</v>
      </c>
      <c r="U476">
        <f t="shared" si="85"/>
        <v>310.00095240000002</v>
      </c>
      <c r="V476">
        <f t="shared" si="86"/>
        <v>346.45095240000006</v>
      </c>
      <c r="W476">
        <f t="shared" si="87"/>
        <v>-346.44904760000003</v>
      </c>
    </row>
    <row r="477" spans="1:23" ht="15" customHeight="1" x14ac:dyDescent="0.35">
      <c r="A477" t="str">
        <f>'Raw Data'!B475</f>
        <v>Organon &amp; Co</v>
      </c>
      <c r="B477" t="str">
        <f>'Raw Data'!A475</f>
        <v>ogn</v>
      </c>
      <c r="C477" t="str">
        <f>IF('Raw Data'!E475="N/A","Unclassified",TRIM(SUBSTITUTE('Raw Data'!E475," and "," &amp; ")))</f>
        <v>Pharmaceuticals</v>
      </c>
      <c r="D477" s="17">
        <f>'Raw Data'!N475</f>
        <v>515</v>
      </c>
      <c r="E477" s="17">
        <f>'Raw Data'!O475</f>
        <v>335</v>
      </c>
      <c r="F477" s="17">
        <f>'Raw Data'!P475</f>
        <v>305</v>
      </c>
      <c r="G477" s="17">
        <f>'Raw Data'!Q475</f>
        <v>1155</v>
      </c>
      <c r="H477" s="18">
        <f>INDEX('Industry Stats'!$F$2:$F$49,MATCH($C477,'Industry Stats'!$A$2:$A$49,0))</f>
        <v>903.66666666666663</v>
      </c>
      <c r="I477" s="19">
        <f t="shared" si="77"/>
        <v>251.33333333333337</v>
      </c>
      <c r="J477" s="20">
        <f t="shared" si="78"/>
        <v>0.27812615271117674</v>
      </c>
      <c r="K477" s="18">
        <f>INDEX('Industry Stats'!$C$2:$C$49,MATCH($C477,'Industry Stats'!$A$2:$A$49,0))</f>
        <v>360.04761904761904</v>
      </c>
      <c r="L477" s="19">
        <f t="shared" si="79"/>
        <v>154.95238095238096</v>
      </c>
      <c r="M477" s="18">
        <f>INDEX('Industry Stats'!$D$2:$D$49,MATCH($C477,'Industry Stats'!$A$2:$A$49,0))</f>
        <v>269.66666666666669</v>
      </c>
      <c r="N477" s="19">
        <f t="shared" si="80"/>
        <v>65.333333333333314</v>
      </c>
      <c r="O477" s="18">
        <f>INDEX('Industry Stats'!$E$2:$E$49,MATCH($C477,'Industry Stats'!$A$2:$A$49,0))</f>
        <v>273.95238095238096</v>
      </c>
      <c r="P477" s="19">
        <f t="shared" si="81"/>
        <v>31.047619047619037</v>
      </c>
      <c r="R477">
        <f t="shared" si="82"/>
        <v>1155.0009523000001</v>
      </c>
      <c r="S477">
        <f t="shared" si="83"/>
        <v>515.00095229999999</v>
      </c>
      <c r="T477">
        <f t="shared" si="84"/>
        <v>335.00095229999999</v>
      </c>
      <c r="U477">
        <f t="shared" si="85"/>
        <v>305.00095229999999</v>
      </c>
      <c r="V477">
        <f t="shared" si="86"/>
        <v>251.33428563333337</v>
      </c>
      <c r="W477">
        <f t="shared" si="87"/>
        <v>-251.33238103333338</v>
      </c>
    </row>
    <row r="478" spans="1:23" ht="15" customHeight="1" x14ac:dyDescent="0.35">
      <c r="A478" t="str">
        <f>'Raw Data'!B476</f>
        <v>Occidental Petroleum Corp</v>
      </c>
      <c r="B478" t="str">
        <f>'Raw Data'!A476</f>
        <v>oxy</v>
      </c>
      <c r="C478" t="str">
        <f>IF('Raw Data'!E476="N/A","Unclassified",TRIM(SUBSTITUTE('Raw Data'!E476," and "," &amp; ")))</f>
        <v>Energy</v>
      </c>
      <c r="D478" s="17">
        <f>'Raw Data'!N476</f>
        <v>505</v>
      </c>
      <c r="E478" s="17">
        <f>'Raw Data'!O476</f>
        <v>302</v>
      </c>
      <c r="F478" s="17">
        <f>'Raw Data'!P476</f>
        <v>300</v>
      </c>
      <c r="G478" s="17">
        <f>'Raw Data'!Q476</f>
        <v>1107</v>
      </c>
      <c r="H478" s="18">
        <f>INDEX('Industry Stats'!$F$2:$F$49,MATCH($C478,'Industry Stats'!$A$2:$A$49,0))</f>
        <v>1117.7619047619048</v>
      </c>
      <c r="I478" s="19">
        <f t="shared" si="77"/>
        <v>-10.761904761904816</v>
      </c>
      <c r="J478" s="20">
        <f t="shared" si="78"/>
        <v>-9.6280833297832033E-3</v>
      </c>
      <c r="K478" s="18">
        <f>INDEX('Industry Stats'!$C$2:$C$49,MATCH($C478,'Industry Stats'!$A$2:$A$49,0))</f>
        <v>515.09523809523807</v>
      </c>
      <c r="L478" s="19">
        <f t="shared" si="79"/>
        <v>-10.095238095238074</v>
      </c>
      <c r="M478" s="18">
        <f>INDEX('Industry Stats'!$D$2:$D$49,MATCH($C478,'Industry Stats'!$A$2:$A$49,0))</f>
        <v>308.95238095238096</v>
      </c>
      <c r="N478" s="19">
        <f t="shared" si="80"/>
        <v>-6.9523809523809632</v>
      </c>
      <c r="O478" s="18">
        <f>INDEX('Industry Stats'!$E$2:$E$49,MATCH($C478,'Industry Stats'!$A$2:$A$49,0))</f>
        <v>293.71428571428572</v>
      </c>
      <c r="P478" s="19">
        <f t="shared" si="81"/>
        <v>6.2857142857142776</v>
      </c>
      <c r="R478">
        <f t="shared" si="82"/>
        <v>1107.0009522</v>
      </c>
      <c r="S478">
        <f t="shared" si="83"/>
        <v>505.00095219999997</v>
      </c>
      <c r="T478">
        <f t="shared" si="84"/>
        <v>302.00095219999997</v>
      </c>
      <c r="U478">
        <f t="shared" si="85"/>
        <v>300.00095219999997</v>
      </c>
      <c r="V478">
        <f t="shared" si="86"/>
        <v>-10.760952561904816</v>
      </c>
      <c r="W478">
        <f t="shared" si="87"/>
        <v>10.762856961904816</v>
      </c>
    </row>
    <row r="479" spans="1:23" ht="15" customHeight="1" x14ac:dyDescent="0.35">
      <c r="A479" t="str">
        <f>'Raw Data'!B477</f>
        <v>Dell Technologies Inc</v>
      </c>
      <c r="B479" t="str">
        <f>'Raw Data'!A477</f>
        <v>dell</v>
      </c>
      <c r="C479" t="str">
        <f>IF('Raw Data'!E477="N/A","Unclassified",TRIM(SUBSTITUTE('Raw Data'!E477," and "," &amp; ")))</f>
        <v>Technology</v>
      </c>
      <c r="D479" s="17">
        <f>'Raw Data'!N477</f>
        <v>500</v>
      </c>
      <c r="E479" s="17">
        <f>'Raw Data'!O477</f>
        <v>318</v>
      </c>
      <c r="F479" s="17">
        <f>'Raw Data'!P477</f>
        <v>275</v>
      </c>
      <c r="G479" s="17">
        <f>'Raw Data'!Q477</f>
        <v>1093</v>
      </c>
      <c r="H479" s="18">
        <f>INDEX('Industry Stats'!$F$2:$F$49,MATCH($C479,'Industry Stats'!$A$2:$A$49,0))</f>
        <v>1031.3174603174602</v>
      </c>
      <c r="I479" s="19">
        <f t="shared" si="77"/>
        <v>61.682539682539755</v>
      </c>
      <c r="J479" s="20">
        <f t="shared" si="78"/>
        <v>5.9809459313868912E-2</v>
      </c>
      <c r="K479" s="18">
        <f>INDEX('Industry Stats'!$C$2:$C$49,MATCH($C479,'Industry Stats'!$A$2:$A$49,0))</f>
        <v>438.11111111111109</v>
      </c>
      <c r="L479" s="19">
        <f t="shared" si="79"/>
        <v>61.888888888888914</v>
      </c>
      <c r="M479" s="18">
        <f>INDEX('Industry Stats'!$D$2:$D$49,MATCH($C479,'Industry Stats'!$A$2:$A$49,0))</f>
        <v>307.90476190476193</v>
      </c>
      <c r="N479" s="19">
        <f t="shared" si="80"/>
        <v>10.095238095238074</v>
      </c>
      <c r="O479" s="18">
        <f>INDEX('Industry Stats'!$E$2:$E$49,MATCH($C479,'Industry Stats'!$A$2:$A$49,0))</f>
        <v>285.30158730158729</v>
      </c>
      <c r="P479" s="19">
        <f t="shared" si="81"/>
        <v>-10.30158730158729</v>
      </c>
      <c r="R479">
        <f t="shared" si="82"/>
        <v>1093.0009520999999</v>
      </c>
      <c r="S479">
        <f t="shared" si="83"/>
        <v>500.00095210000001</v>
      </c>
      <c r="T479">
        <f t="shared" si="84"/>
        <v>318.00095210000001</v>
      </c>
      <c r="U479">
        <f t="shared" si="85"/>
        <v>275.00095210000001</v>
      </c>
      <c r="V479">
        <f t="shared" si="86"/>
        <v>61.683491782539754</v>
      </c>
      <c r="W479">
        <f t="shared" si="87"/>
        <v>-61.681587582539755</v>
      </c>
    </row>
    <row r="480" spans="1:23" ht="15" customHeight="1" x14ac:dyDescent="0.35">
      <c r="A480" t="str">
        <f>'Raw Data'!B478</f>
        <v>Paycom Software Inc</v>
      </c>
      <c r="B480" t="str">
        <f>'Raw Data'!A478</f>
        <v>payc</v>
      </c>
      <c r="C480" t="str">
        <f>IF('Raw Data'!E478="N/A","Unclassified",TRIM(SUBSTITUTE('Raw Data'!E478," and "," &amp; ")))</f>
        <v>Technology</v>
      </c>
      <c r="D480" s="17">
        <f>'Raw Data'!N478</f>
        <v>470</v>
      </c>
      <c r="E480" s="17">
        <f>'Raw Data'!O478</f>
        <v>305</v>
      </c>
      <c r="F480" s="17">
        <f>'Raw Data'!P478</f>
        <v>315</v>
      </c>
      <c r="G480" s="17">
        <f>'Raw Data'!Q478</f>
        <v>1090</v>
      </c>
      <c r="H480" s="18">
        <f>INDEX('Industry Stats'!$F$2:$F$49,MATCH($C480,'Industry Stats'!$A$2:$A$49,0))</f>
        <v>1031.3174603174602</v>
      </c>
      <c r="I480" s="19">
        <f t="shared" si="77"/>
        <v>58.682539682539755</v>
      </c>
      <c r="J480" s="20">
        <f t="shared" si="78"/>
        <v>5.690055869361127E-2</v>
      </c>
      <c r="K480" s="18">
        <f>INDEX('Industry Stats'!$C$2:$C$49,MATCH($C480,'Industry Stats'!$A$2:$A$49,0))</f>
        <v>438.11111111111109</v>
      </c>
      <c r="L480" s="19">
        <f t="shared" si="79"/>
        <v>31.888888888888914</v>
      </c>
      <c r="M480" s="18">
        <f>INDEX('Industry Stats'!$D$2:$D$49,MATCH($C480,'Industry Stats'!$A$2:$A$49,0))</f>
        <v>307.90476190476193</v>
      </c>
      <c r="N480" s="19">
        <f t="shared" si="80"/>
        <v>-2.9047619047619264</v>
      </c>
      <c r="O480" s="18">
        <f>INDEX('Industry Stats'!$E$2:$E$49,MATCH($C480,'Industry Stats'!$A$2:$A$49,0))</f>
        <v>285.30158730158729</v>
      </c>
      <c r="P480" s="19">
        <f t="shared" si="81"/>
        <v>29.69841269841271</v>
      </c>
      <c r="R480">
        <f t="shared" si="82"/>
        <v>1090.0009520000001</v>
      </c>
      <c r="S480">
        <f t="shared" si="83"/>
        <v>470.00095199999998</v>
      </c>
      <c r="T480">
        <f t="shared" si="84"/>
        <v>305.00095199999998</v>
      </c>
      <c r="U480">
        <f t="shared" si="85"/>
        <v>315.00095199999998</v>
      </c>
      <c r="V480">
        <f t="shared" si="86"/>
        <v>58.683491682539753</v>
      </c>
      <c r="W480">
        <f t="shared" si="87"/>
        <v>-58.681587682539757</v>
      </c>
    </row>
    <row r="481" spans="1:23" ht="15" customHeight="1" x14ac:dyDescent="0.35">
      <c r="A481" t="str">
        <f>'Raw Data'!B479</f>
        <v>Public Service Enterprise Group Inc</v>
      </c>
      <c r="B481" t="str">
        <f>'Raw Data'!A479</f>
        <v>peg</v>
      </c>
      <c r="C481" t="str">
        <f>IF('Raw Data'!E479="N/A","Unclassified",TRIM(SUBSTITUTE('Raw Data'!E479," and "," &amp; ")))</f>
        <v>Utilities</v>
      </c>
      <c r="D481" s="17">
        <f>'Raw Data'!N479</f>
        <v>500</v>
      </c>
      <c r="E481" s="17">
        <f>'Raw Data'!O479</f>
        <v>300</v>
      </c>
      <c r="F481" s="17">
        <f>'Raw Data'!P479</f>
        <v>205</v>
      </c>
      <c r="G481" s="17">
        <f>'Raw Data'!Q479</f>
        <v>1005</v>
      </c>
      <c r="H481" s="18">
        <f>INDEX('Industry Stats'!$F$2:$F$49,MATCH($C481,'Industry Stats'!$A$2:$A$49,0))</f>
        <v>1190.6333333333334</v>
      </c>
      <c r="I481" s="19">
        <f t="shared" si="77"/>
        <v>-185.63333333333344</v>
      </c>
      <c r="J481" s="20">
        <f t="shared" si="78"/>
        <v>-0.15591141969260064</v>
      </c>
      <c r="K481" s="18">
        <f>INDEX('Industry Stats'!$C$2:$C$49,MATCH($C481,'Industry Stats'!$A$2:$A$49,0))</f>
        <v>550.9666666666667</v>
      </c>
      <c r="L481" s="19">
        <f t="shared" si="79"/>
        <v>-50.966666666666697</v>
      </c>
      <c r="M481" s="18">
        <f>INDEX('Industry Stats'!$D$2:$D$49,MATCH($C481,'Industry Stats'!$A$2:$A$49,0))</f>
        <v>357.4</v>
      </c>
      <c r="N481" s="19">
        <f t="shared" si="80"/>
        <v>-57.399999999999977</v>
      </c>
      <c r="O481" s="18">
        <f>INDEX('Industry Stats'!$E$2:$E$49,MATCH($C481,'Industry Stats'!$A$2:$A$49,0))</f>
        <v>282.26666666666665</v>
      </c>
      <c r="P481" s="19">
        <f t="shared" si="81"/>
        <v>-77.266666666666652</v>
      </c>
      <c r="R481">
        <f t="shared" si="82"/>
        <v>1005.0009519</v>
      </c>
      <c r="S481">
        <f t="shared" si="83"/>
        <v>500.00095190000002</v>
      </c>
      <c r="T481">
        <f t="shared" si="84"/>
        <v>300.00095190000002</v>
      </c>
      <c r="U481">
        <f t="shared" si="85"/>
        <v>205.00095189999999</v>
      </c>
      <c r="V481">
        <f t="shared" si="86"/>
        <v>-185.63238143333345</v>
      </c>
      <c r="W481">
        <f t="shared" si="87"/>
        <v>185.63428523333343</v>
      </c>
    </row>
    <row r="482" spans="1:23" ht="15" customHeight="1" x14ac:dyDescent="0.35">
      <c r="A482" t="str">
        <f>'Raw Data'!B480</f>
        <v>ONEOK Inc</v>
      </c>
      <c r="B482" t="str">
        <f>'Raw Data'!A480</f>
        <v>oke</v>
      </c>
      <c r="C482" t="str">
        <f>IF('Raw Data'!E480="N/A","Unclassified",TRIM(SUBSTITUTE('Raw Data'!E480," and "," &amp; ")))</f>
        <v>Energy</v>
      </c>
      <c r="D482" s="17">
        <f>'Raw Data'!N480</f>
        <v>581</v>
      </c>
      <c r="E482" s="17">
        <f>'Raw Data'!O480</f>
        <v>326</v>
      </c>
      <c r="F482" s="17">
        <f>'Raw Data'!P480</f>
        <v>355</v>
      </c>
      <c r="G482" s="17">
        <f>'Raw Data'!Q480</f>
        <v>1262</v>
      </c>
      <c r="H482" s="18">
        <f>INDEX('Industry Stats'!$F$2:$F$49,MATCH($C482,'Industry Stats'!$A$2:$A$49,0))</f>
        <v>1117.7619047619048</v>
      </c>
      <c r="I482" s="19">
        <f t="shared" si="77"/>
        <v>144.23809523809518</v>
      </c>
      <c r="J482" s="20">
        <f t="shared" si="78"/>
        <v>0.12904187790227065</v>
      </c>
      <c r="K482" s="18">
        <f>INDEX('Industry Stats'!$C$2:$C$49,MATCH($C482,'Industry Stats'!$A$2:$A$49,0))</f>
        <v>515.09523809523807</v>
      </c>
      <c r="L482" s="19">
        <f t="shared" si="79"/>
        <v>65.904761904761926</v>
      </c>
      <c r="M482" s="18">
        <f>INDEX('Industry Stats'!$D$2:$D$49,MATCH($C482,'Industry Stats'!$A$2:$A$49,0))</f>
        <v>308.95238095238096</v>
      </c>
      <c r="N482" s="19">
        <f t="shared" si="80"/>
        <v>17.047619047619037</v>
      </c>
      <c r="O482" s="18">
        <f>INDEX('Industry Stats'!$E$2:$E$49,MATCH($C482,'Industry Stats'!$A$2:$A$49,0))</f>
        <v>293.71428571428572</v>
      </c>
      <c r="P482" s="19">
        <f t="shared" si="81"/>
        <v>61.285714285714278</v>
      </c>
      <c r="R482">
        <f t="shared" si="82"/>
        <v>1262.0009517999999</v>
      </c>
      <c r="S482">
        <f t="shared" si="83"/>
        <v>581.00095180000005</v>
      </c>
      <c r="T482">
        <f t="shared" si="84"/>
        <v>326.0009518</v>
      </c>
      <c r="U482">
        <f t="shared" si="85"/>
        <v>355.0009518</v>
      </c>
      <c r="V482">
        <f t="shared" si="86"/>
        <v>144.23904703809518</v>
      </c>
      <c r="W482">
        <f t="shared" si="87"/>
        <v>-144.23714343809519</v>
      </c>
    </row>
    <row r="483" spans="1:23" ht="15" customHeight="1" x14ac:dyDescent="0.35">
      <c r="A483" t="str">
        <f>'Raw Data'!B481</f>
        <v>NRG Energy Inc</v>
      </c>
      <c r="B483" t="str">
        <f>'Raw Data'!A481</f>
        <v>nrg</v>
      </c>
      <c r="C483" t="str">
        <f>IF('Raw Data'!E481="N/A","Unclassified",TRIM(SUBSTITUTE('Raw Data'!E481," and "," &amp; ")))</f>
        <v>Utilities</v>
      </c>
      <c r="D483" s="17">
        <f>'Raw Data'!N481</f>
        <v>371</v>
      </c>
      <c r="E483" s="17">
        <f>'Raw Data'!O481</f>
        <v>327</v>
      </c>
      <c r="F483" s="17">
        <f>'Raw Data'!P481</f>
        <v>218</v>
      </c>
      <c r="G483" s="17">
        <f>'Raw Data'!Q481</f>
        <v>916</v>
      </c>
      <c r="H483" s="18">
        <f>INDEX('Industry Stats'!$F$2:$F$49,MATCH($C483,'Industry Stats'!$A$2:$A$49,0))</f>
        <v>1190.6333333333334</v>
      </c>
      <c r="I483" s="19">
        <f t="shared" si="77"/>
        <v>-274.63333333333344</v>
      </c>
      <c r="J483" s="20">
        <f t="shared" si="78"/>
        <v>-0.23066155267504695</v>
      </c>
      <c r="K483" s="18">
        <f>INDEX('Industry Stats'!$C$2:$C$49,MATCH($C483,'Industry Stats'!$A$2:$A$49,0))</f>
        <v>550.9666666666667</v>
      </c>
      <c r="L483" s="19">
        <f t="shared" si="79"/>
        <v>-179.9666666666667</v>
      </c>
      <c r="M483" s="18">
        <f>INDEX('Industry Stats'!$D$2:$D$49,MATCH($C483,'Industry Stats'!$A$2:$A$49,0))</f>
        <v>357.4</v>
      </c>
      <c r="N483" s="19">
        <f t="shared" si="80"/>
        <v>-30.399999999999977</v>
      </c>
      <c r="O483" s="18">
        <f>INDEX('Industry Stats'!$E$2:$E$49,MATCH($C483,'Industry Stats'!$A$2:$A$49,0))</f>
        <v>282.26666666666665</v>
      </c>
      <c r="P483" s="19">
        <f t="shared" si="81"/>
        <v>-64.266666666666652</v>
      </c>
      <c r="R483">
        <f t="shared" si="82"/>
        <v>916.00095169999997</v>
      </c>
      <c r="S483">
        <f t="shared" si="83"/>
        <v>371.00095169999997</v>
      </c>
      <c r="T483">
        <f t="shared" si="84"/>
        <v>327.00095169999997</v>
      </c>
      <c r="U483">
        <f t="shared" si="85"/>
        <v>218.0009517</v>
      </c>
      <c r="V483">
        <f t="shared" si="86"/>
        <v>-274.63238163333347</v>
      </c>
      <c r="W483">
        <f t="shared" si="87"/>
        <v>274.63428503333341</v>
      </c>
    </row>
    <row r="484" spans="1:23" ht="15" customHeight="1" x14ac:dyDescent="0.35">
      <c r="A484" t="str">
        <f>'Raw Data'!B482</f>
        <v>Loews Corp</v>
      </c>
      <c r="B484" t="str">
        <f>'Raw Data'!A482</f>
        <v>l</v>
      </c>
      <c r="C484" t="str">
        <f>IF('Raw Data'!E482="N/A","Unclassified",TRIM(SUBSTITUTE('Raw Data'!E482," and "," &amp; ")))</f>
        <v>Insurance</v>
      </c>
      <c r="D484" s="17">
        <f>'Raw Data'!N482</f>
        <v>505</v>
      </c>
      <c r="E484" s="17">
        <f>'Raw Data'!O482</f>
        <v>303</v>
      </c>
      <c r="F484" s="17">
        <f>'Raw Data'!P482</f>
        <v>313</v>
      </c>
      <c r="G484" s="17">
        <f>'Raw Data'!Q482</f>
        <v>1121</v>
      </c>
      <c r="H484" s="18">
        <f>INDEX('Industry Stats'!$F$2:$F$49,MATCH($C484,'Industry Stats'!$A$2:$A$49,0))</f>
        <v>1012.3703703703703</v>
      </c>
      <c r="I484" s="19">
        <f t="shared" si="77"/>
        <v>108.62962962962968</v>
      </c>
      <c r="J484" s="20">
        <f t="shared" si="78"/>
        <v>0.10730226092046541</v>
      </c>
      <c r="K484" s="18">
        <f>INDEX('Industry Stats'!$C$2:$C$49,MATCH($C484,'Industry Stats'!$A$2:$A$49,0))</f>
        <v>425.25925925925924</v>
      </c>
      <c r="L484" s="19">
        <f t="shared" si="79"/>
        <v>79.740740740740762</v>
      </c>
      <c r="M484" s="18">
        <f>INDEX('Industry Stats'!$D$2:$D$49,MATCH($C484,'Industry Stats'!$A$2:$A$49,0))</f>
        <v>295.66666666666669</v>
      </c>
      <c r="N484" s="19">
        <f t="shared" si="80"/>
        <v>7.3333333333333144</v>
      </c>
      <c r="O484" s="18">
        <f>INDEX('Industry Stats'!$E$2:$E$49,MATCH($C484,'Industry Stats'!$A$2:$A$49,0))</f>
        <v>291.44444444444446</v>
      </c>
      <c r="P484" s="19">
        <f t="shared" si="81"/>
        <v>21.555555555555543</v>
      </c>
      <c r="R484">
        <f t="shared" si="82"/>
        <v>1121.0009516</v>
      </c>
      <c r="S484">
        <f t="shared" si="83"/>
        <v>505.00095160000001</v>
      </c>
      <c r="T484">
        <f t="shared" si="84"/>
        <v>303.00095160000001</v>
      </c>
      <c r="U484">
        <f t="shared" si="85"/>
        <v>313.00095160000001</v>
      </c>
      <c r="V484">
        <f t="shared" si="86"/>
        <v>108.63058122962967</v>
      </c>
      <c r="W484">
        <f t="shared" si="87"/>
        <v>-108.62867802962968</v>
      </c>
    </row>
    <row r="485" spans="1:23" ht="15" customHeight="1" x14ac:dyDescent="0.35">
      <c r="A485" t="str">
        <f>'Raw Data'!B483</f>
        <v>Omnicom Group Inc</v>
      </c>
      <c r="B485" t="str">
        <f>'Raw Data'!A483</f>
        <v>omc</v>
      </c>
      <c r="C485" t="str">
        <f>IF('Raw Data'!E483="N/A","Unclassified",TRIM(SUBSTITUTE('Raw Data'!E483," and "," &amp; ")))</f>
        <v>Media</v>
      </c>
      <c r="D485" s="17">
        <f>'Raw Data'!N483</f>
        <v>543</v>
      </c>
      <c r="E485" s="17">
        <f>'Raw Data'!O483</f>
        <v>333</v>
      </c>
      <c r="F485" s="17">
        <f>'Raw Data'!P483</f>
        <v>305</v>
      </c>
      <c r="G485" s="17">
        <f>'Raw Data'!Q483</f>
        <v>1181</v>
      </c>
      <c r="H485" s="18">
        <f>INDEX('Industry Stats'!$F$2:$F$49,MATCH($C485,'Industry Stats'!$A$2:$A$49,0))</f>
        <v>935.26086956521738</v>
      </c>
      <c r="I485" s="19">
        <f t="shared" si="77"/>
        <v>245.73913043478262</v>
      </c>
      <c r="J485" s="20">
        <f t="shared" si="78"/>
        <v>0.26274929106038775</v>
      </c>
      <c r="K485" s="18">
        <f>INDEX('Industry Stats'!$C$2:$C$49,MATCH($C485,'Industry Stats'!$A$2:$A$49,0))</f>
        <v>346.91304347826087</v>
      </c>
      <c r="L485" s="19">
        <f t="shared" si="79"/>
        <v>196.08695652173913</v>
      </c>
      <c r="M485" s="18">
        <f>INDEX('Industry Stats'!$D$2:$D$49,MATCH($C485,'Industry Stats'!$A$2:$A$49,0))</f>
        <v>313</v>
      </c>
      <c r="N485" s="19">
        <f t="shared" si="80"/>
        <v>20</v>
      </c>
      <c r="O485" s="18">
        <f>INDEX('Industry Stats'!$E$2:$E$49,MATCH($C485,'Industry Stats'!$A$2:$A$49,0))</f>
        <v>275.3478260869565</v>
      </c>
      <c r="P485" s="19">
        <f t="shared" si="81"/>
        <v>29.652173913043498</v>
      </c>
      <c r="R485">
        <f t="shared" si="82"/>
        <v>1181.0009514999999</v>
      </c>
      <c r="S485">
        <f t="shared" si="83"/>
        <v>543.00095150000004</v>
      </c>
      <c r="T485">
        <f t="shared" si="84"/>
        <v>333.00095149999999</v>
      </c>
      <c r="U485">
        <f t="shared" si="85"/>
        <v>305.00095149999999</v>
      </c>
      <c r="V485">
        <f t="shared" si="86"/>
        <v>245.74008193478264</v>
      </c>
      <c r="W485">
        <f t="shared" si="87"/>
        <v>-245.73817893478261</v>
      </c>
    </row>
    <row r="486" spans="1:23" ht="15" customHeight="1" x14ac:dyDescent="0.35">
      <c r="A486" t="str">
        <f>'Raw Data'!B484</f>
        <v>Oracle Corp</v>
      </c>
      <c r="B486" t="str">
        <f>'Raw Data'!A484</f>
        <v>orcl</v>
      </c>
      <c r="C486" t="str">
        <f>IF('Raw Data'!E484="N/A","Unclassified",TRIM(SUBSTITUTE('Raw Data'!E484," and "," &amp; ")))</f>
        <v>Technology</v>
      </c>
      <c r="D486" s="17">
        <f>'Raw Data'!N484</f>
        <v>500</v>
      </c>
      <c r="E486" s="17">
        <f>'Raw Data'!O484</f>
        <v>300</v>
      </c>
      <c r="F486" s="17">
        <f>'Raw Data'!P484</f>
        <v>200</v>
      </c>
      <c r="G486" s="17">
        <f>'Raw Data'!Q484</f>
        <v>1000</v>
      </c>
      <c r="H486" s="18">
        <f>INDEX('Industry Stats'!$F$2:$F$49,MATCH($C486,'Industry Stats'!$A$2:$A$49,0))</f>
        <v>1031.3174603174602</v>
      </c>
      <c r="I486" s="19">
        <f t="shared" si="77"/>
        <v>-31.317460317460245</v>
      </c>
      <c r="J486" s="20">
        <f t="shared" si="78"/>
        <v>-3.0366459914118106E-2</v>
      </c>
      <c r="K486" s="18">
        <f>INDEX('Industry Stats'!$C$2:$C$49,MATCH($C486,'Industry Stats'!$A$2:$A$49,0))</f>
        <v>438.11111111111109</v>
      </c>
      <c r="L486" s="19">
        <f t="shared" si="79"/>
        <v>61.888888888888914</v>
      </c>
      <c r="M486" s="18">
        <f>INDEX('Industry Stats'!$D$2:$D$49,MATCH($C486,'Industry Stats'!$A$2:$A$49,0))</f>
        <v>307.90476190476193</v>
      </c>
      <c r="N486" s="19">
        <f t="shared" si="80"/>
        <v>-7.9047619047619264</v>
      </c>
      <c r="O486" s="18">
        <f>INDEX('Industry Stats'!$E$2:$E$49,MATCH($C486,'Industry Stats'!$A$2:$A$49,0))</f>
        <v>285.30158730158729</v>
      </c>
      <c r="P486" s="19">
        <f t="shared" si="81"/>
        <v>-85.30158730158729</v>
      </c>
      <c r="R486">
        <f t="shared" si="82"/>
        <v>1000.0009514</v>
      </c>
      <c r="S486">
        <f t="shared" si="83"/>
        <v>500.00095140000002</v>
      </c>
      <c r="T486">
        <f t="shared" si="84"/>
        <v>300.00095140000002</v>
      </c>
      <c r="U486">
        <f t="shared" si="85"/>
        <v>200.00095139999999</v>
      </c>
      <c r="V486">
        <f t="shared" si="86"/>
        <v>-31.316508917460244</v>
      </c>
      <c r="W486">
        <f t="shared" si="87"/>
        <v>31.318411717460247</v>
      </c>
    </row>
    <row r="487" spans="1:23" ht="15" customHeight="1" x14ac:dyDescent="0.35">
      <c r="A487" t="str">
        <f>'Raw Data'!B485</f>
        <v>Realty Income Corp</v>
      </c>
      <c r="B487" t="str">
        <f>'Raw Data'!A485</f>
        <v>o</v>
      </c>
      <c r="C487" t="str">
        <f>IF('Raw Data'!E485="N/A","Unclassified",TRIM(SUBSTITUTE('Raw Data'!E485," and "," &amp; ")))</f>
        <v>Real Estate</v>
      </c>
      <c r="D487" s="17">
        <f>'Raw Data'!N485</f>
        <v>500</v>
      </c>
      <c r="E487" s="17">
        <f>'Raw Data'!O485</f>
        <v>300</v>
      </c>
      <c r="F487" s="17">
        <f>'Raw Data'!P485</f>
        <v>300</v>
      </c>
      <c r="G487" s="17">
        <f>'Raw Data'!Q485</f>
        <v>1100</v>
      </c>
      <c r="H487" s="18">
        <f>INDEX('Industry Stats'!$F$2:$F$49,MATCH($C487,'Industry Stats'!$A$2:$A$49,0))</f>
        <v>995.94444444444446</v>
      </c>
      <c r="I487" s="19">
        <f t="shared" si="77"/>
        <v>104.05555555555554</v>
      </c>
      <c r="J487" s="20">
        <f t="shared" si="78"/>
        <v>0.10447927706810954</v>
      </c>
      <c r="K487" s="18">
        <f>INDEX('Industry Stats'!$C$2:$C$49,MATCH($C487,'Industry Stats'!$A$2:$A$49,0))</f>
        <v>431.38888888888891</v>
      </c>
      <c r="L487" s="19">
        <f t="shared" si="79"/>
        <v>68.611111111111086</v>
      </c>
      <c r="M487" s="18">
        <f>INDEX('Industry Stats'!$D$2:$D$49,MATCH($C487,'Industry Stats'!$A$2:$A$49,0))</f>
        <v>290.91666666666669</v>
      </c>
      <c r="N487" s="19">
        <f t="shared" si="80"/>
        <v>9.0833333333333144</v>
      </c>
      <c r="O487" s="18">
        <f>INDEX('Industry Stats'!$E$2:$E$49,MATCH($C487,'Industry Stats'!$A$2:$A$49,0))</f>
        <v>273.63888888888891</v>
      </c>
      <c r="P487" s="19">
        <f t="shared" si="81"/>
        <v>26.361111111111086</v>
      </c>
      <c r="R487">
        <f t="shared" si="82"/>
        <v>1100.0009513</v>
      </c>
      <c r="S487">
        <f t="shared" si="83"/>
        <v>500.0009513</v>
      </c>
      <c r="T487">
        <f t="shared" si="84"/>
        <v>300.0009513</v>
      </c>
      <c r="U487">
        <f t="shared" si="85"/>
        <v>300.0009513</v>
      </c>
      <c r="V487">
        <f t="shared" si="86"/>
        <v>104.05650685555554</v>
      </c>
      <c r="W487">
        <f t="shared" si="87"/>
        <v>-104.05460425555555</v>
      </c>
    </row>
    <row r="488" spans="1:23" ht="15" customHeight="1" x14ac:dyDescent="0.35">
      <c r="A488" t="str">
        <f>'Raw Data'!B486</f>
        <v>Domino's Pizza Inc</v>
      </c>
      <c r="B488" t="str">
        <f>'Raw Data'!A486</f>
        <v>dpz</v>
      </c>
      <c r="C488" t="str">
        <f>IF('Raw Data'!E486="N/A","Unclassified",TRIM(SUBSTITUTE('Raw Data'!E486," and "," &amp; ")))</f>
        <v>Hotels Restaurants &amp; Leisure</v>
      </c>
      <c r="D488" s="17">
        <f>'Raw Data'!N486</f>
        <v>205</v>
      </c>
      <c r="E488" s="17">
        <f>'Raw Data'!O486</f>
        <v>205</v>
      </c>
      <c r="F488" s="17">
        <f>'Raw Data'!P486</f>
        <v>200</v>
      </c>
      <c r="G488" s="17">
        <f>'Raw Data'!Q486</f>
        <v>610</v>
      </c>
      <c r="H488" s="18">
        <f>INDEX('Industry Stats'!$F$2:$F$49,MATCH($C488,'Industry Stats'!$A$2:$A$49,0))</f>
        <v>918.86363636363637</v>
      </c>
      <c r="I488" s="19">
        <f t="shared" si="77"/>
        <v>-308.86363636363637</v>
      </c>
      <c r="J488" s="20">
        <f t="shared" si="78"/>
        <v>-0.33613653227801138</v>
      </c>
      <c r="K488" s="18">
        <f>INDEX('Industry Stats'!$C$2:$C$49,MATCH($C488,'Industry Stats'!$A$2:$A$49,0))</f>
        <v>374.63636363636363</v>
      </c>
      <c r="L488" s="19">
        <f t="shared" si="79"/>
        <v>-169.63636363636363</v>
      </c>
      <c r="M488" s="18">
        <f>INDEX('Industry Stats'!$D$2:$D$49,MATCH($C488,'Industry Stats'!$A$2:$A$49,0))</f>
        <v>283.04545454545456</v>
      </c>
      <c r="N488" s="19">
        <f t="shared" si="80"/>
        <v>-78.045454545454561</v>
      </c>
      <c r="O488" s="18">
        <f>INDEX('Industry Stats'!$E$2:$E$49,MATCH($C488,'Industry Stats'!$A$2:$A$49,0))</f>
        <v>261.18181818181819</v>
      </c>
      <c r="P488" s="19">
        <f t="shared" si="81"/>
        <v>-61.181818181818187</v>
      </c>
      <c r="R488">
        <f t="shared" si="82"/>
        <v>610.00095120000003</v>
      </c>
      <c r="S488">
        <f t="shared" si="83"/>
        <v>205.0009512</v>
      </c>
      <c r="T488">
        <f t="shared" si="84"/>
        <v>205.0009512</v>
      </c>
      <c r="U488">
        <f t="shared" si="85"/>
        <v>200.0009512</v>
      </c>
      <c r="V488">
        <f t="shared" si="86"/>
        <v>-308.8626851636364</v>
      </c>
      <c r="W488">
        <f t="shared" si="87"/>
        <v>308.86458756363635</v>
      </c>
    </row>
    <row r="489" spans="1:23" ht="15" customHeight="1" x14ac:dyDescent="0.35">
      <c r="A489" t="str">
        <f>'Raw Data'!B487</f>
        <v>AT&amp;T Inc</v>
      </c>
      <c r="B489" t="str">
        <f>'Raw Data'!A487</f>
        <v>t</v>
      </c>
      <c r="C489" t="str">
        <f>IF('Raw Data'!E487="N/A","Unclassified",TRIM(SUBSTITUTE('Raw Data'!E487," and "," &amp; ")))</f>
        <v>Telecommunication</v>
      </c>
      <c r="D489" s="17">
        <f>'Raw Data'!N487</f>
        <v>210</v>
      </c>
      <c r="E489" s="17">
        <f>'Raw Data'!O487</f>
        <v>200</v>
      </c>
      <c r="F489" s="17">
        <f>'Raw Data'!P487</f>
        <v>305</v>
      </c>
      <c r="G489" s="17">
        <f>'Raw Data'!Q487</f>
        <v>715</v>
      </c>
      <c r="H489" s="18">
        <f>INDEX('Industry Stats'!$F$2:$F$49,MATCH($C489,'Industry Stats'!$A$2:$A$49,0))</f>
        <v>928.33333333333337</v>
      </c>
      <c r="I489" s="19">
        <f t="shared" si="77"/>
        <v>-213.33333333333337</v>
      </c>
      <c r="J489" s="20">
        <f t="shared" si="78"/>
        <v>-0.22980251346499106</v>
      </c>
      <c r="K489" s="18">
        <f>INDEX('Industry Stats'!$C$2:$C$49,MATCH($C489,'Industry Stats'!$A$2:$A$49,0))</f>
        <v>362.33333333333331</v>
      </c>
      <c r="L489" s="19">
        <f t="shared" si="79"/>
        <v>-152.33333333333331</v>
      </c>
      <c r="M489" s="18">
        <f>INDEX('Industry Stats'!$D$2:$D$49,MATCH($C489,'Industry Stats'!$A$2:$A$49,0))</f>
        <v>286</v>
      </c>
      <c r="N489" s="19">
        <f t="shared" si="80"/>
        <v>-86</v>
      </c>
      <c r="O489" s="18">
        <f>INDEX('Industry Stats'!$E$2:$E$49,MATCH($C489,'Industry Stats'!$A$2:$A$49,0))</f>
        <v>280</v>
      </c>
      <c r="P489" s="19">
        <f t="shared" si="81"/>
        <v>25</v>
      </c>
      <c r="R489">
        <f t="shared" si="82"/>
        <v>715.00095109999995</v>
      </c>
      <c r="S489">
        <f t="shared" si="83"/>
        <v>210.00095110000001</v>
      </c>
      <c r="T489">
        <f t="shared" si="84"/>
        <v>200.00095110000001</v>
      </c>
      <c r="U489">
        <f t="shared" si="85"/>
        <v>305.00095110000001</v>
      </c>
      <c r="V489">
        <f t="shared" si="86"/>
        <v>-213.33238223333336</v>
      </c>
      <c r="W489">
        <f t="shared" si="87"/>
        <v>213.33428443333338</v>
      </c>
    </row>
    <row r="490" spans="1:23" ht="15" customHeight="1" x14ac:dyDescent="0.35">
      <c r="A490" t="str">
        <f>'Raw Data'!B488</f>
        <v>Union Pacific Corp</v>
      </c>
      <c r="B490" t="str">
        <f>'Raw Data'!A488</f>
        <v>unp</v>
      </c>
      <c r="C490" t="str">
        <f>IF('Raw Data'!E488="N/A","Unclassified",TRIM(SUBSTITUTE('Raw Data'!E488," and "," &amp; ")))</f>
        <v>Road &amp; Rail</v>
      </c>
      <c r="D490" s="17">
        <f>'Raw Data'!N488</f>
        <v>290</v>
      </c>
      <c r="E490" s="17">
        <f>'Raw Data'!O488</f>
        <v>257</v>
      </c>
      <c r="F490" s="17">
        <f>'Raw Data'!P488</f>
        <v>245</v>
      </c>
      <c r="G490" s="17">
        <f>'Raw Data'!Q488</f>
        <v>792</v>
      </c>
      <c r="H490" s="18">
        <f>INDEX('Industry Stats'!$F$2:$F$49,MATCH($C490,'Industry Stats'!$A$2:$A$49,0))</f>
        <v>1076.3333333333333</v>
      </c>
      <c r="I490" s="19">
        <f t="shared" si="77"/>
        <v>-284.33333333333326</v>
      </c>
      <c r="J490" s="20">
        <f t="shared" si="78"/>
        <v>-0.26416847321152054</v>
      </c>
      <c r="K490" s="18">
        <f>INDEX('Industry Stats'!$C$2:$C$49,MATCH($C490,'Industry Stats'!$A$2:$A$49,0))</f>
        <v>452.83333333333331</v>
      </c>
      <c r="L490" s="19">
        <f t="shared" si="79"/>
        <v>-162.83333333333331</v>
      </c>
      <c r="M490" s="18">
        <f>INDEX('Industry Stats'!$D$2:$D$49,MATCH($C490,'Industry Stats'!$A$2:$A$49,0))</f>
        <v>326.33333333333331</v>
      </c>
      <c r="N490" s="19">
        <f t="shared" si="80"/>
        <v>-69.333333333333314</v>
      </c>
      <c r="O490" s="18">
        <f>INDEX('Industry Stats'!$E$2:$E$49,MATCH($C490,'Industry Stats'!$A$2:$A$49,0))</f>
        <v>297.16666666666669</v>
      </c>
      <c r="P490" s="19">
        <f t="shared" si="81"/>
        <v>-52.166666666666686</v>
      </c>
      <c r="R490">
        <f t="shared" si="82"/>
        <v>792.00095099999999</v>
      </c>
      <c r="S490">
        <f t="shared" si="83"/>
        <v>290.00095099999999</v>
      </c>
      <c r="T490">
        <f t="shared" si="84"/>
        <v>257.00095099999999</v>
      </c>
      <c r="U490">
        <f t="shared" si="85"/>
        <v>245.00095099999999</v>
      </c>
      <c r="V490">
        <f t="shared" si="86"/>
        <v>-284.33238233333327</v>
      </c>
      <c r="W490">
        <f t="shared" si="87"/>
        <v>284.33428433333324</v>
      </c>
    </row>
    <row r="491" spans="1:23" ht="15" customHeight="1" x14ac:dyDescent="0.35">
      <c r="A491" t="str">
        <f>'Raw Data'!B489</f>
        <v>Newmont Corporation</v>
      </c>
      <c r="B491" t="str">
        <f>'Raw Data'!A489</f>
        <v>nem</v>
      </c>
      <c r="C491" t="str">
        <f>IF('Raw Data'!E489="N/A","Unclassified",TRIM(SUBSTITUTE('Raw Data'!E489," and "," &amp; ")))</f>
        <v>Metals &amp; Mining</v>
      </c>
      <c r="D491" s="17">
        <f>'Raw Data'!N489</f>
        <v>675</v>
      </c>
      <c r="E491" s="17">
        <f>'Raw Data'!O489</f>
        <v>389</v>
      </c>
      <c r="F491" s="17">
        <f>'Raw Data'!P489</f>
        <v>355</v>
      </c>
      <c r="G491" s="17">
        <f>'Raw Data'!Q489</f>
        <v>1419</v>
      </c>
      <c r="H491" s="18">
        <f>INDEX('Industry Stats'!$F$2:$F$49,MATCH($C491,'Industry Stats'!$A$2:$A$49,0))</f>
        <v>987</v>
      </c>
      <c r="I491" s="19">
        <f t="shared" si="77"/>
        <v>432</v>
      </c>
      <c r="J491" s="20">
        <f t="shared" si="78"/>
        <v>0.43768996960486323</v>
      </c>
      <c r="K491" s="18">
        <f>INDEX('Industry Stats'!$C$2:$C$49,MATCH($C491,'Industry Stats'!$A$2:$A$49,0))</f>
        <v>427.3</v>
      </c>
      <c r="L491" s="19">
        <f t="shared" si="79"/>
        <v>247.7</v>
      </c>
      <c r="M491" s="18">
        <f>INDEX('Industry Stats'!$D$2:$D$49,MATCH($C491,'Industry Stats'!$A$2:$A$49,0))</f>
        <v>289.2</v>
      </c>
      <c r="N491" s="19">
        <f t="shared" si="80"/>
        <v>99.800000000000011</v>
      </c>
      <c r="O491" s="18">
        <f>INDEX('Industry Stats'!$E$2:$E$49,MATCH($C491,'Industry Stats'!$A$2:$A$49,0))</f>
        <v>270.5</v>
      </c>
      <c r="P491" s="19">
        <f t="shared" si="81"/>
        <v>84.5</v>
      </c>
      <c r="R491">
        <f t="shared" si="82"/>
        <v>1419.0009508999999</v>
      </c>
      <c r="S491">
        <f t="shared" si="83"/>
        <v>675.00095090000002</v>
      </c>
      <c r="T491">
        <f t="shared" si="84"/>
        <v>389.00095090000002</v>
      </c>
      <c r="U491">
        <f t="shared" si="85"/>
        <v>355.00095090000002</v>
      </c>
      <c r="V491">
        <f t="shared" si="86"/>
        <v>432.00095090000002</v>
      </c>
      <c r="W491">
        <f t="shared" si="87"/>
        <v>-431.99904909999998</v>
      </c>
    </row>
    <row r="492" spans="1:23" ht="15" customHeight="1" x14ac:dyDescent="0.35">
      <c r="A492" t="str">
        <f>'Raw Data'!B490</f>
        <v>FedEx Corp</v>
      </c>
      <c r="B492" t="str">
        <f>'Raw Data'!A490</f>
        <v>fdx</v>
      </c>
      <c r="C492" t="str">
        <f>IF('Raw Data'!E490="N/A","Unclassified",TRIM(SUBSTITUTE('Raw Data'!E490," and "," &amp; ")))</f>
        <v>Logistics &amp; Transportation</v>
      </c>
      <c r="D492" s="17">
        <f>'Raw Data'!N490</f>
        <v>335</v>
      </c>
      <c r="E492" s="17">
        <f>'Raw Data'!O490</f>
        <v>278</v>
      </c>
      <c r="F492" s="17">
        <f>'Raw Data'!P490</f>
        <v>255</v>
      </c>
      <c r="G492" s="17">
        <f>'Raw Data'!Q490</f>
        <v>868</v>
      </c>
      <c r="H492" s="18">
        <f>INDEX('Industry Stats'!$F$2:$F$49,MATCH($C492,'Industry Stats'!$A$2:$A$49,0))</f>
        <v>1025.1666666666667</v>
      </c>
      <c r="I492" s="19">
        <f t="shared" si="77"/>
        <v>-157.16666666666674</v>
      </c>
      <c r="J492" s="20">
        <f t="shared" si="78"/>
        <v>-0.15330840513737609</v>
      </c>
      <c r="K492" s="18">
        <f>INDEX('Industry Stats'!$C$2:$C$49,MATCH($C492,'Industry Stats'!$A$2:$A$49,0))</f>
        <v>452.33333333333331</v>
      </c>
      <c r="L492" s="19">
        <f t="shared" si="79"/>
        <v>-117.33333333333331</v>
      </c>
      <c r="M492" s="18">
        <f>INDEX('Industry Stats'!$D$2:$D$49,MATCH($C492,'Industry Stats'!$A$2:$A$49,0))</f>
        <v>289.5</v>
      </c>
      <c r="N492" s="19">
        <f t="shared" si="80"/>
        <v>-11.5</v>
      </c>
      <c r="O492" s="18">
        <f>INDEX('Industry Stats'!$E$2:$E$49,MATCH($C492,'Industry Stats'!$A$2:$A$49,0))</f>
        <v>283.33333333333331</v>
      </c>
      <c r="P492" s="19">
        <f t="shared" si="81"/>
        <v>-28.333333333333314</v>
      </c>
      <c r="R492">
        <f t="shared" si="82"/>
        <v>868.00095080000006</v>
      </c>
      <c r="S492">
        <f t="shared" si="83"/>
        <v>335.0009508</v>
      </c>
      <c r="T492">
        <f t="shared" si="84"/>
        <v>278.0009508</v>
      </c>
      <c r="U492">
        <f t="shared" si="85"/>
        <v>255.0009508</v>
      </c>
      <c r="V492">
        <f t="shared" si="86"/>
        <v>-157.16571586666674</v>
      </c>
      <c r="W492">
        <f t="shared" si="87"/>
        <v>157.16761746666674</v>
      </c>
    </row>
    <row r="493" spans="1:23" ht="15" customHeight="1" x14ac:dyDescent="0.35">
      <c r="A493" t="str">
        <f>'Raw Data'!B491</f>
        <v>Nike Inc</v>
      </c>
      <c r="B493" t="str">
        <f>'Raw Data'!A491</f>
        <v>nke</v>
      </c>
      <c r="C493" t="str">
        <f>IF('Raw Data'!E491="N/A","Unclassified",TRIM(SUBSTITUTE('Raw Data'!E491," and "," &amp; ")))</f>
        <v>Textiles Apparel &amp; Luxury Goods</v>
      </c>
      <c r="D493" s="17">
        <f>'Raw Data'!N491</f>
        <v>205</v>
      </c>
      <c r="E493" s="17">
        <f>'Raw Data'!O491</f>
        <v>275</v>
      </c>
      <c r="F493" s="17">
        <f>'Raw Data'!P491</f>
        <v>200</v>
      </c>
      <c r="G493" s="17">
        <f>'Raw Data'!Q491</f>
        <v>680</v>
      </c>
      <c r="H493" s="18">
        <f>INDEX('Industry Stats'!$F$2:$F$49,MATCH($C493,'Industry Stats'!$A$2:$A$49,0))</f>
        <v>944.44444444444446</v>
      </c>
      <c r="I493" s="19">
        <f t="shared" si="77"/>
        <v>-264.44444444444446</v>
      </c>
      <c r="J493" s="20">
        <f t="shared" si="78"/>
        <v>-0.28000000000000003</v>
      </c>
      <c r="K493" s="18">
        <f>INDEX('Industry Stats'!$C$2:$C$49,MATCH($C493,'Industry Stats'!$A$2:$A$49,0))</f>
        <v>382.11111111111109</v>
      </c>
      <c r="L493" s="19">
        <f t="shared" si="79"/>
        <v>-177.11111111111109</v>
      </c>
      <c r="M493" s="18">
        <f>INDEX('Industry Stats'!$D$2:$D$49,MATCH($C493,'Industry Stats'!$A$2:$A$49,0))</f>
        <v>280</v>
      </c>
      <c r="N493" s="19">
        <f t="shared" si="80"/>
        <v>-5</v>
      </c>
      <c r="O493" s="18">
        <f>INDEX('Industry Stats'!$E$2:$E$49,MATCH($C493,'Industry Stats'!$A$2:$A$49,0))</f>
        <v>282.33333333333331</v>
      </c>
      <c r="P493" s="19">
        <f t="shared" si="81"/>
        <v>-82.333333333333314</v>
      </c>
      <c r="R493">
        <f t="shared" si="82"/>
        <v>680.00095069999998</v>
      </c>
      <c r="S493">
        <f t="shared" si="83"/>
        <v>205.0009507</v>
      </c>
      <c r="T493">
        <f t="shared" si="84"/>
        <v>275.00095069999998</v>
      </c>
      <c r="U493">
        <f t="shared" si="85"/>
        <v>200.0009507</v>
      </c>
      <c r="V493">
        <f t="shared" si="86"/>
        <v>-264.44349374444448</v>
      </c>
      <c r="W493">
        <f t="shared" si="87"/>
        <v>264.44539514444443</v>
      </c>
    </row>
    <row r="494" spans="1:23" ht="15" customHeight="1" x14ac:dyDescent="0.35">
      <c r="A494" t="str">
        <f>'Raw Data'!B492</f>
        <v>Ford Motor Co</v>
      </c>
      <c r="B494" t="str">
        <f>'Raw Data'!A492</f>
        <v>f</v>
      </c>
      <c r="C494" t="str">
        <f>IF('Raw Data'!E492="N/A","Unclassified",TRIM(SUBSTITUTE('Raw Data'!E492," and "," &amp; ")))</f>
        <v>Automobiles</v>
      </c>
      <c r="D494" s="17">
        <f>'Raw Data'!N492</f>
        <v>292</v>
      </c>
      <c r="E494" s="17">
        <f>'Raw Data'!O492</f>
        <v>246</v>
      </c>
      <c r="F494" s="17">
        <f>'Raw Data'!P492</f>
        <v>215</v>
      </c>
      <c r="G494" s="17">
        <f>'Raw Data'!Q492</f>
        <v>753</v>
      </c>
      <c r="H494" s="18">
        <f>INDEX('Industry Stats'!$F$2:$F$49,MATCH($C494,'Industry Stats'!$A$2:$A$49,0))</f>
        <v>859.25</v>
      </c>
      <c r="I494" s="19">
        <f t="shared" si="77"/>
        <v>-106.25</v>
      </c>
      <c r="J494" s="20">
        <f t="shared" si="78"/>
        <v>-0.12365434972359617</v>
      </c>
      <c r="K494" s="18">
        <f>INDEX('Industry Stats'!$C$2:$C$49,MATCH($C494,'Industry Stats'!$A$2:$A$49,0))</f>
        <v>393</v>
      </c>
      <c r="L494" s="19">
        <f t="shared" si="79"/>
        <v>-101</v>
      </c>
      <c r="M494" s="18">
        <f>INDEX('Industry Stats'!$D$2:$D$49,MATCH($C494,'Industry Stats'!$A$2:$A$49,0))</f>
        <v>229.25</v>
      </c>
      <c r="N494" s="19">
        <f t="shared" si="80"/>
        <v>16.75</v>
      </c>
      <c r="O494" s="18">
        <f>INDEX('Industry Stats'!$E$2:$E$49,MATCH($C494,'Industry Stats'!$A$2:$A$49,0))</f>
        <v>237</v>
      </c>
      <c r="P494" s="19">
        <f t="shared" si="81"/>
        <v>-22</v>
      </c>
      <c r="R494">
        <f t="shared" si="82"/>
        <v>753.00095060000001</v>
      </c>
      <c r="S494">
        <f t="shared" si="83"/>
        <v>292.00095060000001</v>
      </c>
      <c r="T494">
        <f t="shared" si="84"/>
        <v>246.00095060000001</v>
      </c>
      <c r="U494">
        <f t="shared" si="85"/>
        <v>215.00095060000001</v>
      </c>
      <c r="V494">
        <f t="shared" si="86"/>
        <v>-106.2490494</v>
      </c>
      <c r="W494">
        <f t="shared" si="87"/>
        <v>106.2509506</v>
      </c>
    </row>
    <row r="495" spans="1:23" ht="15" customHeight="1" x14ac:dyDescent="0.35">
      <c r="A495" t="str">
        <f>'Raw Data'!B493</f>
        <v>Lockheed Martin Corp</v>
      </c>
      <c r="B495" t="str">
        <f>'Raw Data'!A493</f>
        <v>lmt</v>
      </c>
      <c r="C495" t="str">
        <f>IF('Raw Data'!E493="N/A","Unclassified",TRIM(SUBSTITUTE('Raw Data'!E493," and "," &amp; ")))</f>
        <v>Aerospace &amp; Defense</v>
      </c>
      <c r="D495" s="17">
        <f>'Raw Data'!N493</f>
        <v>510</v>
      </c>
      <c r="E495" s="17">
        <f>'Raw Data'!O493</f>
        <v>324</v>
      </c>
      <c r="F495" s="17">
        <f>'Raw Data'!P493</f>
        <v>320</v>
      </c>
      <c r="G495" s="17">
        <f>'Raw Data'!Q493</f>
        <v>1154</v>
      </c>
      <c r="H495" s="18">
        <f>INDEX('Industry Stats'!$F$2:$F$49,MATCH($C495,'Industry Stats'!$A$2:$A$49,0))</f>
        <v>1048.1818181818182</v>
      </c>
      <c r="I495" s="19">
        <f t="shared" si="77"/>
        <v>105.81818181818176</v>
      </c>
      <c r="J495" s="20">
        <f t="shared" si="78"/>
        <v>0.1009540329575021</v>
      </c>
      <c r="K495" s="18">
        <f>INDEX('Industry Stats'!$C$2:$C$49,MATCH($C495,'Industry Stats'!$A$2:$A$49,0))</f>
        <v>461.36363636363637</v>
      </c>
      <c r="L495" s="19">
        <f t="shared" si="79"/>
        <v>48.636363636363626</v>
      </c>
      <c r="M495" s="18">
        <f>INDEX('Industry Stats'!$D$2:$D$49,MATCH($C495,'Industry Stats'!$A$2:$A$49,0))</f>
        <v>296.36363636363637</v>
      </c>
      <c r="N495" s="19">
        <f t="shared" si="80"/>
        <v>27.636363636363626</v>
      </c>
      <c r="O495" s="18">
        <f>INDEX('Industry Stats'!$E$2:$E$49,MATCH($C495,'Industry Stats'!$A$2:$A$49,0))</f>
        <v>290.45454545454544</v>
      </c>
      <c r="P495" s="19">
        <f t="shared" si="81"/>
        <v>29.545454545454561</v>
      </c>
      <c r="R495">
        <f t="shared" si="82"/>
        <v>1154.0009505</v>
      </c>
      <c r="S495">
        <f t="shared" si="83"/>
        <v>510.00095049999999</v>
      </c>
      <c r="T495">
        <f t="shared" si="84"/>
        <v>324.00095049999999</v>
      </c>
      <c r="U495">
        <f t="shared" si="85"/>
        <v>320.00095049999999</v>
      </c>
      <c r="V495">
        <f t="shared" si="86"/>
        <v>105.81913231818176</v>
      </c>
      <c r="W495">
        <f t="shared" si="87"/>
        <v>-105.81723131818175</v>
      </c>
    </row>
    <row r="496" spans="1:23" ht="15" customHeight="1" x14ac:dyDescent="0.35">
      <c r="A496" t="str">
        <f>'Raw Data'!B494</f>
        <v>Republic Services Inc</v>
      </c>
      <c r="B496" t="str">
        <f>'Raw Data'!A494</f>
        <v>rsg</v>
      </c>
      <c r="C496" t="str">
        <f>IF('Raw Data'!E494="N/A","Unclassified",TRIM(SUBSTITUTE('Raw Data'!E494," and "," &amp; ")))</f>
        <v>Commercial Services &amp; Supplies</v>
      </c>
      <c r="D496" s="17">
        <f>'Raw Data'!N494</f>
        <v>293</v>
      </c>
      <c r="E496" s="17">
        <f>'Raw Data'!O494</f>
        <v>235</v>
      </c>
      <c r="F496" s="17">
        <f>'Raw Data'!P494</f>
        <v>216</v>
      </c>
      <c r="G496" s="17">
        <f>'Raw Data'!Q494</f>
        <v>744</v>
      </c>
      <c r="H496" s="18">
        <f>INDEX('Industry Stats'!$F$2:$F$49,MATCH($C496,'Industry Stats'!$A$2:$A$49,0))</f>
        <v>995.85714285714289</v>
      </c>
      <c r="I496" s="19">
        <f t="shared" si="77"/>
        <v>-251.85714285714289</v>
      </c>
      <c r="J496" s="20">
        <f t="shared" si="78"/>
        <v>-0.25290489169416153</v>
      </c>
      <c r="K496" s="18">
        <f>INDEX('Industry Stats'!$C$2:$C$49,MATCH($C496,'Industry Stats'!$A$2:$A$49,0))</f>
        <v>419.42857142857144</v>
      </c>
      <c r="L496" s="19">
        <f t="shared" si="79"/>
        <v>-126.42857142857144</v>
      </c>
      <c r="M496" s="18">
        <f>INDEX('Industry Stats'!$D$2:$D$49,MATCH($C496,'Industry Stats'!$A$2:$A$49,0))</f>
        <v>301.28571428571428</v>
      </c>
      <c r="N496" s="19">
        <f t="shared" si="80"/>
        <v>-66.285714285714278</v>
      </c>
      <c r="O496" s="18">
        <f>INDEX('Industry Stats'!$E$2:$E$49,MATCH($C496,'Industry Stats'!$A$2:$A$49,0))</f>
        <v>275.14285714285717</v>
      </c>
      <c r="P496" s="19">
        <f t="shared" si="81"/>
        <v>-59.142857142857167</v>
      </c>
      <c r="R496">
        <f t="shared" si="82"/>
        <v>744.00095039999997</v>
      </c>
      <c r="S496">
        <f t="shared" si="83"/>
        <v>293.00095040000002</v>
      </c>
      <c r="T496">
        <f t="shared" si="84"/>
        <v>235.00095039999999</v>
      </c>
      <c r="U496">
        <f t="shared" si="85"/>
        <v>216.00095039999999</v>
      </c>
      <c r="V496">
        <f t="shared" si="86"/>
        <v>-251.8561924571429</v>
      </c>
      <c r="W496">
        <f t="shared" si="87"/>
        <v>251.85809325714288</v>
      </c>
    </row>
    <row r="497" spans="1:23" ht="15" customHeight="1" x14ac:dyDescent="0.35">
      <c r="A497" t="str">
        <f>'Raw Data'!B495</f>
        <v>Enphase Energy Inc</v>
      </c>
      <c r="B497" t="str">
        <f>'Raw Data'!A495</f>
        <v>enph</v>
      </c>
      <c r="C497" t="str">
        <f>IF('Raw Data'!E495="N/A","Unclassified",TRIM(SUBSTITUTE('Raw Data'!E495," and "," &amp; ")))</f>
        <v>Semiconductors</v>
      </c>
      <c r="D497" s="17">
        <f>'Raw Data'!N495</f>
        <v>565</v>
      </c>
      <c r="E497" s="17">
        <f>'Raw Data'!O495</f>
        <v>316</v>
      </c>
      <c r="F497" s="17">
        <f>'Raw Data'!P495</f>
        <v>300</v>
      </c>
      <c r="G497" s="17">
        <f>'Raw Data'!Q495</f>
        <v>1181</v>
      </c>
      <c r="H497" s="18">
        <f>INDEX('Industry Stats'!$F$2:$F$49,MATCH($C497,'Industry Stats'!$A$2:$A$49,0))</f>
        <v>1030.5833333333333</v>
      </c>
      <c r="I497" s="19">
        <f t="shared" si="77"/>
        <v>150.41666666666674</v>
      </c>
      <c r="J497" s="20">
        <f t="shared" si="78"/>
        <v>0.14595293927387409</v>
      </c>
      <c r="K497" s="18">
        <f>INDEX('Industry Stats'!$C$2:$C$49,MATCH($C497,'Industry Stats'!$A$2:$A$49,0))</f>
        <v>448.45833333333331</v>
      </c>
      <c r="L497" s="19">
        <f t="shared" si="79"/>
        <v>116.54166666666669</v>
      </c>
      <c r="M497" s="18">
        <f>INDEX('Industry Stats'!$D$2:$D$49,MATCH($C497,'Industry Stats'!$A$2:$A$49,0))</f>
        <v>296.70833333333331</v>
      </c>
      <c r="N497" s="19">
        <f t="shared" si="80"/>
        <v>19.291666666666686</v>
      </c>
      <c r="O497" s="18">
        <f>INDEX('Industry Stats'!$E$2:$E$49,MATCH($C497,'Industry Stats'!$A$2:$A$49,0))</f>
        <v>285.41666666666669</v>
      </c>
      <c r="P497" s="19">
        <f t="shared" si="81"/>
        <v>14.583333333333314</v>
      </c>
      <c r="R497">
        <f t="shared" si="82"/>
        <v>1181.0009503000001</v>
      </c>
      <c r="S497">
        <f t="shared" si="83"/>
        <v>565.0009503</v>
      </c>
      <c r="T497">
        <f t="shared" si="84"/>
        <v>316.0009503</v>
      </c>
      <c r="U497">
        <f t="shared" si="85"/>
        <v>300.0009503</v>
      </c>
      <c r="V497">
        <f t="shared" si="86"/>
        <v>150.41761696666674</v>
      </c>
      <c r="W497">
        <f t="shared" si="87"/>
        <v>-150.41571636666674</v>
      </c>
    </row>
    <row r="498" spans="1:23" ht="15" customHeight="1" x14ac:dyDescent="0.35">
      <c r="A498" t="str">
        <f>'Raw Data'!B496</f>
        <v>Exelon Corp</v>
      </c>
      <c r="B498" t="str">
        <f>'Raw Data'!A496</f>
        <v>exc</v>
      </c>
      <c r="C498" t="str">
        <f>IF('Raw Data'!E496="N/A","Unclassified",TRIM(SUBSTITUTE('Raw Data'!E496," and "," &amp; ")))</f>
        <v>Utilities</v>
      </c>
      <c r="D498" s="17">
        <f>'Raw Data'!N496</f>
        <v>694</v>
      </c>
      <c r="E498" s="17">
        <f>'Raw Data'!O496</f>
        <v>403</v>
      </c>
      <c r="F498" s="17">
        <f>'Raw Data'!P496</f>
        <v>316</v>
      </c>
      <c r="G498" s="17">
        <f>'Raw Data'!Q496</f>
        <v>1413</v>
      </c>
      <c r="H498" s="18">
        <f>INDEX('Industry Stats'!$F$2:$F$49,MATCH($C498,'Industry Stats'!$A$2:$A$49,0))</f>
        <v>1190.6333333333334</v>
      </c>
      <c r="I498" s="19">
        <f t="shared" si="77"/>
        <v>222.36666666666656</v>
      </c>
      <c r="J498" s="20">
        <f t="shared" si="78"/>
        <v>0.18676334723816446</v>
      </c>
      <c r="K498" s="18">
        <f>INDEX('Industry Stats'!$C$2:$C$49,MATCH($C498,'Industry Stats'!$A$2:$A$49,0))</f>
        <v>550.9666666666667</v>
      </c>
      <c r="L498" s="19">
        <f t="shared" si="79"/>
        <v>143.0333333333333</v>
      </c>
      <c r="M498" s="18">
        <f>INDEX('Industry Stats'!$D$2:$D$49,MATCH($C498,'Industry Stats'!$A$2:$A$49,0))</f>
        <v>357.4</v>
      </c>
      <c r="N498" s="19">
        <f t="shared" si="80"/>
        <v>45.600000000000023</v>
      </c>
      <c r="O498" s="18">
        <f>INDEX('Industry Stats'!$E$2:$E$49,MATCH($C498,'Industry Stats'!$A$2:$A$49,0))</f>
        <v>282.26666666666665</v>
      </c>
      <c r="P498" s="19">
        <f t="shared" si="81"/>
        <v>33.733333333333348</v>
      </c>
      <c r="R498">
        <f t="shared" si="82"/>
        <v>1413.0009502</v>
      </c>
      <c r="S498">
        <f t="shared" si="83"/>
        <v>694.00095020000003</v>
      </c>
      <c r="T498">
        <f t="shared" si="84"/>
        <v>403.00095019999998</v>
      </c>
      <c r="U498">
        <f t="shared" si="85"/>
        <v>316.00095019999998</v>
      </c>
      <c r="V498">
        <f t="shared" si="86"/>
        <v>222.36761686666657</v>
      </c>
      <c r="W498">
        <f t="shared" si="87"/>
        <v>-222.36571646666656</v>
      </c>
    </row>
    <row r="499" spans="1:23" ht="15" customHeight="1" x14ac:dyDescent="0.35">
      <c r="A499" t="str">
        <f>'Raw Data'!B497</f>
        <v>Expeditors International of Washington Inc</v>
      </c>
      <c r="B499" t="str">
        <f>'Raw Data'!A497</f>
        <v>expd</v>
      </c>
      <c r="C499" t="str">
        <f>IF('Raw Data'!E497="N/A","Unclassified",TRIM(SUBSTITUTE('Raw Data'!E497," and "," &amp; ")))</f>
        <v>Logistics &amp; Transportation</v>
      </c>
      <c r="D499" s="17">
        <f>'Raw Data'!N497</f>
        <v>510</v>
      </c>
      <c r="E499" s="17">
        <f>'Raw Data'!O497</f>
        <v>302</v>
      </c>
      <c r="F499" s="17">
        <f>'Raw Data'!P497</f>
        <v>300</v>
      </c>
      <c r="G499" s="17">
        <f>'Raw Data'!Q497</f>
        <v>1112</v>
      </c>
      <c r="H499" s="18">
        <f>INDEX('Industry Stats'!$F$2:$F$49,MATCH($C499,'Industry Stats'!$A$2:$A$49,0))</f>
        <v>1025.1666666666667</v>
      </c>
      <c r="I499" s="19">
        <f t="shared" si="77"/>
        <v>86.833333333333258</v>
      </c>
      <c r="J499" s="20">
        <f t="shared" si="78"/>
        <v>8.4701674524467488E-2</v>
      </c>
      <c r="K499" s="18">
        <f>INDEX('Industry Stats'!$C$2:$C$49,MATCH($C499,'Industry Stats'!$A$2:$A$49,0))</f>
        <v>452.33333333333331</v>
      </c>
      <c r="L499" s="19">
        <f t="shared" si="79"/>
        <v>57.666666666666686</v>
      </c>
      <c r="M499" s="18">
        <f>INDEX('Industry Stats'!$D$2:$D$49,MATCH($C499,'Industry Stats'!$A$2:$A$49,0))</f>
        <v>289.5</v>
      </c>
      <c r="N499" s="19">
        <f t="shared" si="80"/>
        <v>12.5</v>
      </c>
      <c r="O499" s="18">
        <f>INDEX('Industry Stats'!$E$2:$E$49,MATCH($C499,'Industry Stats'!$A$2:$A$49,0))</f>
        <v>283.33333333333331</v>
      </c>
      <c r="P499" s="19">
        <f t="shared" si="81"/>
        <v>16.666666666666686</v>
      </c>
      <c r="R499">
        <f t="shared" si="82"/>
        <v>1112.0009501</v>
      </c>
      <c r="S499">
        <f t="shared" si="83"/>
        <v>510.00095010000001</v>
      </c>
      <c r="T499">
        <f t="shared" si="84"/>
        <v>302.00095010000001</v>
      </c>
      <c r="U499">
        <f t="shared" si="85"/>
        <v>300.00095010000001</v>
      </c>
      <c r="V499">
        <f t="shared" si="86"/>
        <v>86.834283433333255</v>
      </c>
      <c r="W499">
        <f t="shared" si="87"/>
        <v>-86.83238323333326</v>
      </c>
    </row>
    <row r="500" spans="1:23" ht="15" customHeight="1" x14ac:dyDescent="0.35">
      <c r="A500" t="str">
        <f>'Raw Data'!B498</f>
        <v>Expedia Group Inc</v>
      </c>
      <c r="B500" t="str">
        <f>'Raw Data'!A498</f>
        <v>expe</v>
      </c>
      <c r="C500" t="str">
        <f>IF('Raw Data'!E498="N/A","Unclassified",TRIM(SUBSTITUTE('Raw Data'!E498," and "," &amp; ")))</f>
        <v>Hotels Restaurants &amp; Leisure</v>
      </c>
      <c r="D500" s="17">
        <f>'Raw Data'!N498</f>
        <v>225</v>
      </c>
      <c r="E500" s="17">
        <f>'Raw Data'!O498</f>
        <v>242</v>
      </c>
      <c r="F500" s="17">
        <f>'Raw Data'!P498</f>
        <v>305</v>
      </c>
      <c r="G500" s="17">
        <f>'Raw Data'!Q498</f>
        <v>772</v>
      </c>
      <c r="H500" s="18">
        <f>INDEX('Industry Stats'!$F$2:$F$49,MATCH($C500,'Industry Stats'!$A$2:$A$49,0))</f>
        <v>918.86363636363637</v>
      </c>
      <c r="I500" s="19">
        <f t="shared" si="77"/>
        <v>-146.86363636363637</v>
      </c>
      <c r="J500" s="20">
        <f t="shared" si="78"/>
        <v>-0.15983180806331931</v>
      </c>
      <c r="K500" s="18">
        <f>INDEX('Industry Stats'!$C$2:$C$49,MATCH($C500,'Industry Stats'!$A$2:$A$49,0))</f>
        <v>374.63636363636363</v>
      </c>
      <c r="L500" s="19">
        <f t="shared" si="79"/>
        <v>-149.63636363636363</v>
      </c>
      <c r="M500" s="18">
        <f>INDEX('Industry Stats'!$D$2:$D$49,MATCH($C500,'Industry Stats'!$A$2:$A$49,0))</f>
        <v>283.04545454545456</v>
      </c>
      <c r="N500" s="19">
        <f t="shared" si="80"/>
        <v>-41.045454545454561</v>
      </c>
      <c r="O500" s="18">
        <f>INDEX('Industry Stats'!$E$2:$E$49,MATCH($C500,'Industry Stats'!$A$2:$A$49,0))</f>
        <v>261.18181818181819</v>
      </c>
      <c r="P500" s="19">
        <f t="shared" si="81"/>
        <v>43.818181818181813</v>
      </c>
      <c r="R500">
        <f t="shared" si="82"/>
        <v>772.00094999999999</v>
      </c>
      <c r="S500">
        <f t="shared" si="83"/>
        <v>225.00094999999999</v>
      </c>
      <c r="T500">
        <f t="shared" si="84"/>
        <v>242.00094999999999</v>
      </c>
      <c r="U500">
        <f t="shared" si="85"/>
        <v>305.00094999999999</v>
      </c>
      <c r="V500">
        <f t="shared" si="86"/>
        <v>-146.86268636363639</v>
      </c>
      <c r="W500">
        <f t="shared" si="87"/>
        <v>146.86458636363636</v>
      </c>
    </row>
    <row r="501" spans="1:23" ht="15" customHeight="1" x14ac:dyDescent="0.35">
      <c r="A501" t="str">
        <f>'Raw Data'!B499</f>
        <v>Fastenal Co</v>
      </c>
      <c r="B501" t="str">
        <f>'Raw Data'!A499</f>
        <v>fast</v>
      </c>
      <c r="C501" t="str">
        <f>IF('Raw Data'!E499="N/A","Unclassified",TRIM(SUBSTITUTE('Raw Data'!E499," and "," &amp; ")))</f>
        <v>Trading Companies &amp; Distributors</v>
      </c>
      <c r="D501" s="17">
        <f>'Raw Data'!N499</f>
        <v>230</v>
      </c>
      <c r="E501" s="17">
        <f>'Raw Data'!O499</f>
        <v>302</v>
      </c>
      <c r="F501" s="17">
        <f>'Raw Data'!P499</f>
        <v>200</v>
      </c>
      <c r="G501" s="17">
        <f>'Raw Data'!Q499</f>
        <v>732</v>
      </c>
      <c r="H501" s="18">
        <f>INDEX('Industry Stats'!$F$2:$F$49,MATCH($C501,'Industry Stats'!$A$2:$A$49,0))</f>
        <v>885.2</v>
      </c>
      <c r="I501" s="19">
        <f t="shared" si="77"/>
        <v>-153.20000000000005</v>
      </c>
      <c r="J501" s="20">
        <f t="shared" si="78"/>
        <v>-0.17306823316764577</v>
      </c>
      <c r="K501" s="18">
        <f>INDEX('Industry Stats'!$C$2:$C$49,MATCH($C501,'Industry Stats'!$A$2:$A$49,0))</f>
        <v>332.8</v>
      </c>
      <c r="L501" s="19">
        <f t="shared" si="79"/>
        <v>-102.80000000000001</v>
      </c>
      <c r="M501" s="18">
        <f>INDEX('Industry Stats'!$D$2:$D$49,MATCH($C501,'Industry Stats'!$A$2:$A$49,0))</f>
        <v>302.39999999999998</v>
      </c>
      <c r="N501" s="19">
        <f t="shared" si="80"/>
        <v>-0.39999999999997726</v>
      </c>
      <c r="O501" s="18">
        <f>INDEX('Industry Stats'!$E$2:$E$49,MATCH($C501,'Industry Stats'!$A$2:$A$49,0))</f>
        <v>250</v>
      </c>
      <c r="P501" s="19">
        <f t="shared" si="81"/>
        <v>-50</v>
      </c>
      <c r="R501">
        <f t="shared" si="82"/>
        <v>732.00094990000002</v>
      </c>
      <c r="S501">
        <f t="shared" si="83"/>
        <v>230.00094989999999</v>
      </c>
      <c r="T501">
        <f t="shared" si="84"/>
        <v>302.00094990000002</v>
      </c>
      <c r="U501">
        <f t="shared" si="85"/>
        <v>200.00094989999999</v>
      </c>
      <c r="V501">
        <f t="shared" si="86"/>
        <v>-153.19905010000005</v>
      </c>
      <c r="W501">
        <f t="shared" si="87"/>
        <v>153.20094990000004</v>
      </c>
    </row>
    <row r="502" spans="1:23" ht="15" customHeight="1" x14ac:dyDescent="0.35">
      <c r="A502" t="str">
        <f>'Raw Data'!B500</f>
        <v>F5 Inc</v>
      </c>
      <c r="B502" t="str">
        <f>'Raw Data'!A500</f>
        <v>ffiv</v>
      </c>
      <c r="C502" t="str">
        <f>IF('Raw Data'!E500="N/A","Unclassified",TRIM(SUBSTITUTE('Raw Data'!E500," and "," &amp; ")))</f>
        <v>Communications</v>
      </c>
      <c r="D502" s="17">
        <f>'Raw Data'!N500</f>
        <v>200</v>
      </c>
      <c r="E502" s="17">
        <f>'Raw Data'!O500</f>
        <v>221</v>
      </c>
      <c r="F502" s="17">
        <f>'Raw Data'!P500</f>
        <v>215</v>
      </c>
      <c r="G502" s="17">
        <f>'Raw Data'!Q500</f>
        <v>636</v>
      </c>
      <c r="H502" s="18">
        <f>INDEX('Industry Stats'!$F$2:$F$49,MATCH($C502,'Industry Stats'!$A$2:$A$49,0))</f>
        <v>938.22222222222217</v>
      </c>
      <c r="I502" s="19">
        <f t="shared" si="77"/>
        <v>-302.22222222222217</v>
      </c>
      <c r="J502" s="20">
        <f t="shared" si="78"/>
        <v>-0.32212221695878729</v>
      </c>
      <c r="K502" s="18">
        <f>INDEX('Industry Stats'!$C$2:$C$49,MATCH($C502,'Industry Stats'!$A$2:$A$49,0))</f>
        <v>385</v>
      </c>
      <c r="L502" s="19">
        <f t="shared" si="79"/>
        <v>-185</v>
      </c>
      <c r="M502" s="18">
        <f>INDEX('Industry Stats'!$D$2:$D$49,MATCH($C502,'Industry Stats'!$A$2:$A$49,0))</f>
        <v>278.77777777777777</v>
      </c>
      <c r="N502" s="19">
        <f t="shared" si="80"/>
        <v>-57.777777777777771</v>
      </c>
      <c r="O502" s="18">
        <f>INDEX('Industry Stats'!$E$2:$E$49,MATCH($C502,'Industry Stats'!$A$2:$A$49,0))</f>
        <v>274.44444444444446</v>
      </c>
      <c r="P502" s="19">
        <f t="shared" si="81"/>
        <v>-59.444444444444457</v>
      </c>
      <c r="R502">
        <f t="shared" si="82"/>
        <v>636.00094979999994</v>
      </c>
      <c r="S502">
        <f t="shared" si="83"/>
        <v>200.0009498</v>
      </c>
      <c r="T502">
        <f t="shared" si="84"/>
        <v>221.0009498</v>
      </c>
      <c r="U502">
        <f t="shared" si="85"/>
        <v>215.0009498</v>
      </c>
      <c r="V502">
        <f t="shared" si="86"/>
        <v>-302.22127242222217</v>
      </c>
      <c r="W502">
        <f t="shared" si="87"/>
        <v>302.22317202222217</v>
      </c>
    </row>
    <row r="503" spans="1:23" ht="15" customHeight="1" x14ac:dyDescent="0.35">
      <c r="A503" t="str">
        <f>'Raw Data'!B501</f>
        <v>Fiserv Inc</v>
      </c>
      <c r="B503" t="str">
        <f>'Raw Data'!A501</f>
        <v>fisv</v>
      </c>
      <c r="C503" t="str">
        <f>IF('Raw Data'!E501="N/A","Unclassified",TRIM(SUBSTITUTE('Raw Data'!E501," and "," &amp; ")))</f>
        <v>Technology</v>
      </c>
      <c r="D503" s="17">
        <f>'Raw Data'!N501</f>
        <v>395</v>
      </c>
      <c r="E503" s="17">
        <f>'Raw Data'!O501</f>
        <v>302</v>
      </c>
      <c r="F503" s="17">
        <f>'Raw Data'!P501</f>
        <v>310</v>
      </c>
      <c r="G503" s="17">
        <f>'Raw Data'!Q501</f>
        <v>1007</v>
      </c>
      <c r="H503" s="18">
        <f>INDEX('Industry Stats'!$F$2:$F$49,MATCH($C503,'Industry Stats'!$A$2:$A$49,0))</f>
        <v>1031.3174603174602</v>
      </c>
      <c r="I503" s="19">
        <f t="shared" si="77"/>
        <v>-24.317460317460245</v>
      </c>
      <c r="J503" s="20">
        <f t="shared" si="78"/>
        <v>-2.357902513351693E-2</v>
      </c>
      <c r="K503" s="18">
        <f>INDEX('Industry Stats'!$C$2:$C$49,MATCH($C503,'Industry Stats'!$A$2:$A$49,0))</f>
        <v>438.11111111111109</v>
      </c>
      <c r="L503" s="19">
        <f t="shared" si="79"/>
        <v>-43.111111111111086</v>
      </c>
      <c r="M503" s="18">
        <f>INDEX('Industry Stats'!$D$2:$D$49,MATCH($C503,'Industry Stats'!$A$2:$A$49,0))</f>
        <v>307.90476190476193</v>
      </c>
      <c r="N503" s="19">
        <f t="shared" si="80"/>
        <v>-5.9047619047619264</v>
      </c>
      <c r="O503" s="18">
        <f>INDEX('Industry Stats'!$E$2:$E$49,MATCH($C503,'Industry Stats'!$A$2:$A$49,0))</f>
        <v>285.30158730158729</v>
      </c>
      <c r="P503" s="19">
        <f t="shared" si="81"/>
        <v>24.69841269841271</v>
      </c>
      <c r="R503">
        <f t="shared" si="82"/>
        <v>1007.0009497</v>
      </c>
      <c r="S503">
        <f t="shared" si="83"/>
        <v>395.00094969999998</v>
      </c>
      <c r="T503">
        <f t="shared" si="84"/>
        <v>302.00094969999998</v>
      </c>
      <c r="U503">
        <f t="shared" si="85"/>
        <v>310.00094969999998</v>
      </c>
      <c r="V503">
        <f t="shared" si="86"/>
        <v>-24.316510617460246</v>
      </c>
      <c r="W503">
        <f t="shared" si="87"/>
        <v>24.318410017460245</v>
      </c>
    </row>
    <row r="504" spans="1:23" ht="15" customHeight="1" x14ac:dyDescent="0.35">
      <c r="A504" t="str">
        <f>'Raw Data'!B502</f>
        <v>Equinix Inc</v>
      </c>
      <c r="B504" t="str">
        <f>'Raw Data'!A502</f>
        <v>eqix</v>
      </c>
      <c r="C504" t="str">
        <f>IF('Raw Data'!E502="N/A","Unclassified",TRIM(SUBSTITUTE('Raw Data'!E502," and "," &amp; ")))</f>
        <v>Real Estate</v>
      </c>
      <c r="D504" s="17">
        <f>'Raw Data'!N502</f>
        <v>515</v>
      </c>
      <c r="E504" s="17">
        <f>'Raw Data'!O502</f>
        <v>323</v>
      </c>
      <c r="F504" s="17">
        <f>'Raw Data'!P502</f>
        <v>315</v>
      </c>
      <c r="G504" s="17">
        <f>'Raw Data'!Q502</f>
        <v>1153</v>
      </c>
      <c r="H504" s="18">
        <f>INDEX('Industry Stats'!$F$2:$F$49,MATCH($C504,'Industry Stats'!$A$2:$A$49,0))</f>
        <v>995.94444444444446</v>
      </c>
      <c r="I504" s="19">
        <f t="shared" si="77"/>
        <v>157.05555555555554</v>
      </c>
      <c r="J504" s="20">
        <f t="shared" si="78"/>
        <v>0.15769509678139118</v>
      </c>
      <c r="K504" s="18">
        <f>INDEX('Industry Stats'!$C$2:$C$49,MATCH($C504,'Industry Stats'!$A$2:$A$49,0))</f>
        <v>431.38888888888891</v>
      </c>
      <c r="L504" s="19">
        <f t="shared" si="79"/>
        <v>83.611111111111086</v>
      </c>
      <c r="M504" s="18">
        <f>INDEX('Industry Stats'!$D$2:$D$49,MATCH($C504,'Industry Stats'!$A$2:$A$49,0))</f>
        <v>290.91666666666669</v>
      </c>
      <c r="N504" s="19">
        <f t="shared" si="80"/>
        <v>32.083333333333314</v>
      </c>
      <c r="O504" s="18">
        <f>INDEX('Industry Stats'!$E$2:$E$49,MATCH($C504,'Industry Stats'!$A$2:$A$49,0))</f>
        <v>273.63888888888891</v>
      </c>
      <c r="P504" s="19">
        <f t="shared" si="81"/>
        <v>41.361111111111086</v>
      </c>
      <c r="R504">
        <f t="shared" si="82"/>
        <v>1153.0009496</v>
      </c>
      <c r="S504">
        <f t="shared" si="83"/>
        <v>515.00094960000001</v>
      </c>
      <c r="T504">
        <f t="shared" si="84"/>
        <v>323.00094960000001</v>
      </c>
      <c r="U504">
        <f t="shared" si="85"/>
        <v>315.00094960000001</v>
      </c>
      <c r="V504">
        <f t="shared" si="86"/>
        <v>157.05650515555556</v>
      </c>
      <c r="W504">
        <f t="shared" si="87"/>
        <v>-157.05460595555553</v>
      </c>
    </row>
    <row r="505" spans="1:23" ht="15" customHeight="1" x14ac:dyDescent="0.35">
      <c r="A505" t="str">
        <f>'Raw Data'!B503</f>
        <v>Fortinet Inc</v>
      </c>
      <c r="B505" t="str">
        <f>'Raw Data'!A503</f>
        <v>ftnt</v>
      </c>
      <c r="C505" t="str">
        <f>IF('Raw Data'!E503="N/A","Unclassified",TRIM(SUBSTITUTE('Raw Data'!E503," and "," &amp; ")))</f>
        <v>Technology</v>
      </c>
      <c r="D505" s="17">
        <f>'Raw Data'!N503</f>
        <v>500</v>
      </c>
      <c r="E505" s="17">
        <f>'Raw Data'!O503</f>
        <v>306</v>
      </c>
      <c r="F505" s="17">
        <f>'Raw Data'!P503</f>
        <v>305</v>
      </c>
      <c r="G505" s="17">
        <f>'Raw Data'!Q503</f>
        <v>1111</v>
      </c>
      <c r="H505" s="18">
        <f>INDEX('Industry Stats'!$F$2:$F$49,MATCH($C505,'Industry Stats'!$A$2:$A$49,0))</f>
        <v>1031.3174603174602</v>
      </c>
      <c r="I505" s="19">
        <f t="shared" si="77"/>
        <v>79.682539682539755</v>
      </c>
      <c r="J505" s="20">
        <f t="shared" si="78"/>
        <v>7.7262863035414783E-2</v>
      </c>
      <c r="K505" s="18">
        <f>INDEX('Industry Stats'!$C$2:$C$49,MATCH($C505,'Industry Stats'!$A$2:$A$49,0))</f>
        <v>438.11111111111109</v>
      </c>
      <c r="L505" s="19">
        <f t="shared" si="79"/>
        <v>61.888888888888914</v>
      </c>
      <c r="M505" s="18">
        <f>INDEX('Industry Stats'!$D$2:$D$49,MATCH($C505,'Industry Stats'!$A$2:$A$49,0))</f>
        <v>307.90476190476193</v>
      </c>
      <c r="N505" s="19">
        <f t="shared" si="80"/>
        <v>-1.9047619047619264</v>
      </c>
      <c r="O505" s="18">
        <f>INDEX('Industry Stats'!$E$2:$E$49,MATCH($C505,'Industry Stats'!$A$2:$A$49,0))</f>
        <v>285.30158730158729</v>
      </c>
      <c r="P505" s="19">
        <f t="shared" si="81"/>
        <v>19.69841269841271</v>
      </c>
      <c r="R505">
        <f t="shared" si="82"/>
        <v>1111.0009494999999</v>
      </c>
      <c r="S505">
        <f t="shared" si="83"/>
        <v>500.00094949999999</v>
      </c>
      <c r="T505">
        <f t="shared" si="84"/>
        <v>306.00094949999999</v>
      </c>
      <c r="U505">
        <f t="shared" si="85"/>
        <v>305.00094949999999</v>
      </c>
      <c r="V505">
        <f t="shared" si="86"/>
        <v>79.683489182539759</v>
      </c>
      <c r="W505">
        <f t="shared" si="87"/>
        <v>-79.68159018253975</v>
      </c>
    </row>
    <row r="506" spans="1:23" ht="15" customHeight="1" x14ac:dyDescent="0.35">
      <c r="A506" t="str">
        <f>'Raw Data'!B504</f>
        <v>ETSY Inc</v>
      </c>
      <c r="B506" t="str">
        <f>'Raw Data'!A504</f>
        <v>etsy</v>
      </c>
      <c r="C506" t="str">
        <f>IF('Raw Data'!E504="N/A","Unclassified",TRIM(SUBSTITUTE('Raw Data'!E504," and "," &amp; ")))</f>
        <v>Retail</v>
      </c>
      <c r="D506" s="17">
        <f>'Raw Data'!N504</f>
        <v>235</v>
      </c>
      <c r="E506" s="17">
        <f>'Raw Data'!O504</f>
        <v>241</v>
      </c>
      <c r="F506" s="17">
        <f>'Raw Data'!P504</f>
        <v>235</v>
      </c>
      <c r="G506" s="17">
        <f>'Raw Data'!Q504</f>
        <v>711</v>
      </c>
      <c r="H506" s="18">
        <f>INDEX('Industry Stats'!$F$2:$F$49,MATCH($C506,'Industry Stats'!$A$2:$A$49,0))</f>
        <v>918.57692307692309</v>
      </c>
      <c r="I506" s="19">
        <f t="shared" si="77"/>
        <v>-207.57692307692309</v>
      </c>
      <c r="J506" s="20">
        <f t="shared" si="78"/>
        <v>-0.22597663610099236</v>
      </c>
      <c r="K506" s="18">
        <f>INDEX('Industry Stats'!$C$2:$C$49,MATCH($C506,'Industry Stats'!$A$2:$A$49,0))</f>
        <v>380.30769230769232</v>
      </c>
      <c r="L506" s="19">
        <f t="shared" si="79"/>
        <v>-145.30769230769232</v>
      </c>
      <c r="M506" s="18">
        <f>INDEX('Industry Stats'!$D$2:$D$49,MATCH($C506,'Industry Stats'!$A$2:$A$49,0))</f>
        <v>274.96153846153845</v>
      </c>
      <c r="N506" s="19">
        <f t="shared" si="80"/>
        <v>-33.961538461538453</v>
      </c>
      <c r="O506" s="18">
        <f>INDEX('Industry Stats'!$E$2:$E$49,MATCH($C506,'Industry Stats'!$A$2:$A$49,0))</f>
        <v>263.30769230769232</v>
      </c>
      <c r="P506" s="19">
        <f t="shared" si="81"/>
        <v>-28.307692307692321</v>
      </c>
      <c r="R506">
        <f t="shared" si="82"/>
        <v>711.00094939999997</v>
      </c>
      <c r="S506">
        <f t="shared" si="83"/>
        <v>235.0009494</v>
      </c>
      <c r="T506">
        <f t="shared" si="84"/>
        <v>241.0009494</v>
      </c>
      <c r="U506">
        <f t="shared" si="85"/>
        <v>235.0009494</v>
      </c>
      <c r="V506">
        <f t="shared" si="86"/>
        <v>-207.5759736769231</v>
      </c>
      <c r="W506">
        <f t="shared" si="87"/>
        <v>207.57787247692309</v>
      </c>
    </row>
    <row r="507" spans="1:23" ht="15" customHeight="1" x14ac:dyDescent="0.35">
      <c r="A507" t="str">
        <f>'Raw Data'!B505</f>
        <v>Franklin Resources Inc</v>
      </c>
      <c r="B507" t="str">
        <f>'Raw Data'!A505</f>
        <v>ben</v>
      </c>
      <c r="C507" t="str">
        <f>IF('Raw Data'!E505="N/A","Unclassified",TRIM(SUBSTITUTE('Raw Data'!E505," and "," &amp; ")))</f>
        <v>Financial Services</v>
      </c>
      <c r="D507" s="17">
        <f>'Raw Data'!N505</f>
        <v>321</v>
      </c>
      <c r="E507" s="17">
        <f>'Raw Data'!O505</f>
        <v>349</v>
      </c>
      <c r="F507" s="17">
        <f>'Raw Data'!P505</f>
        <v>310</v>
      </c>
      <c r="G507" s="17">
        <f>'Raw Data'!Q505</f>
        <v>980</v>
      </c>
      <c r="H507" s="18">
        <f>INDEX('Industry Stats'!$F$2:$F$49,MATCH($C507,'Industry Stats'!$A$2:$A$49,0))</f>
        <v>909.33333333333337</v>
      </c>
      <c r="I507" s="19">
        <f t="shared" si="77"/>
        <v>70.666666666666629</v>
      </c>
      <c r="J507" s="20">
        <f t="shared" si="78"/>
        <v>7.7712609970674446E-2</v>
      </c>
      <c r="K507" s="18">
        <f>INDEX('Industry Stats'!$C$2:$C$49,MATCH($C507,'Industry Stats'!$A$2:$A$49,0))</f>
        <v>367.63636363636363</v>
      </c>
      <c r="L507" s="19">
        <f t="shared" si="79"/>
        <v>-46.636363636363626</v>
      </c>
      <c r="M507" s="18">
        <f>INDEX('Industry Stats'!$D$2:$D$49,MATCH($C507,'Industry Stats'!$A$2:$A$49,0))</f>
        <v>276.45454545454544</v>
      </c>
      <c r="N507" s="19">
        <f t="shared" si="80"/>
        <v>72.545454545454561</v>
      </c>
      <c r="O507" s="18">
        <f>INDEX('Industry Stats'!$E$2:$E$49,MATCH($C507,'Industry Stats'!$A$2:$A$49,0))</f>
        <v>265.24242424242425</v>
      </c>
      <c r="P507" s="19">
        <f t="shared" si="81"/>
        <v>44.757575757575751</v>
      </c>
      <c r="R507">
        <f t="shared" si="82"/>
        <v>980.0009493</v>
      </c>
      <c r="S507">
        <f t="shared" si="83"/>
        <v>321.0009493</v>
      </c>
      <c r="T507">
        <f t="shared" si="84"/>
        <v>349.0009493</v>
      </c>
      <c r="U507">
        <f t="shared" si="85"/>
        <v>310.0009493</v>
      </c>
      <c r="V507">
        <f t="shared" si="86"/>
        <v>70.667615966666631</v>
      </c>
      <c r="W507">
        <f t="shared" si="87"/>
        <v>-70.665717366666627</v>
      </c>
    </row>
    <row r="508" spans="1:23" ht="15" customHeight="1" x14ac:dyDescent="0.35">
      <c r="A508" t="str">
        <f>'Raw Data'!B506</f>
        <v>Digital Realty Trust Inc</v>
      </c>
      <c r="B508" t="str">
        <f>'Raw Data'!A506</f>
        <v>dlr</v>
      </c>
      <c r="C508" t="str">
        <f>IF('Raw Data'!E506="N/A","Unclassified",TRIM(SUBSTITUTE('Raw Data'!E506," and "," &amp; ")))</f>
        <v>Real Estate</v>
      </c>
      <c r="D508" s="17">
        <f>'Raw Data'!N506</f>
        <v>540</v>
      </c>
      <c r="E508" s="17">
        <f>'Raw Data'!O506</f>
        <v>317</v>
      </c>
      <c r="F508" s="17">
        <f>'Raw Data'!P506</f>
        <v>300</v>
      </c>
      <c r="G508" s="17">
        <f>'Raw Data'!Q506</f>
        <v>1157</v>
      </c>
      <c r="H508" s="18">
        <f>INDEX('Industry Stats'!$F$2:$F$49,MATCH($C508,'Industry Stats'!$A$2:$A$49,0))</f>
        <v>995.94444444444446</v>
      </c>
      <c r="I508" s="19">
        <f t="shared" si="77"/>
        <v>161.05555555555554</v>
      </c>
      <c r="J508" s="20">
        <f t="shared" si="78"/>
        <v>0.16171138506163885</v>
      </c>
      <c r="K508" s="18">
        <f>INDEX('Industry Stats'!$C$2:$C$49,MATCH($C508,'Industry Stats'!$A$2:$A$49,0))</f>
        <v>431.38888888888891</v>
      </c>
      <c r="L508" s="19">
        <f t="shared" si="79"/>
        <v>108.61111111111109</v>
      </c>
      <c r="M508" s="18">
        <f>INDEX('Industry Stats'!$D$2:$D$49,MATCH($C508,'Industry Stats'!$A$2:$A$49,0))</f>
        <v>290.91666666666669</v>
      </c>
      <c r="N508" s="19">
        <f t="shared" si="80"/>
        <v>26.083333333333314</v>
      </c>
      <c r="O508" s="18">
        <f>INDEX('Industry Stats'!$E$2:$E$49,MATCH($C508,'Industry Stats'!$A$2:$A$49,0))</f>
        <v>273.63888888888891</v>
      </c>
      <c r="P508" s="19">
        <f t="shared" si="81"/>
        <v>26.361111111111086</v>
      </c>
      <c r="R508">
        <f t="shared" si="82"/>
        <v>1157.0009491999999</v>
      </c>
      <c r="S508">
        <f t="shared" si="83"/>
        <v>540.00094920000004</v>
      </c>
      <c r="T508">
        <f t="shared" si="84"/>
        <v>317.00094919999998</v>
      </c>
      <c r="U508">
        <f t="shared" si="85"/>
        <v>300.00094919999998</v>
      </c>
      <c r="V508">
        <f t="shared" si="86"/>
        <v>161.05650475555555</v>
      </c>
      <c r="W508">
        <f t="shared" si="87"/>
        <v>-161.05460635555553</v>
      </c>
    </row>
    <row r="509" spans="1:23" ht="15" customHeight="1" x14ac:dyDescent="0.35">
      <c r="A509" t="str">
        <f>'Raw Data'!B507</f>
        <v>Danaher Corp</v>
      </c>
      <c r="B509" t="str">
        <f>'Raw Data'!A507</f>
        <v>dhr</v>
      </c>
      <c r="C509" t="str">
        <f>IF('Raw Data'!E507="N/A","Unclassified",TRIM(SUBSTITUTE('Raw Data'!E507," and "," &amp; ")))</f>
        <v>Life Sciences Tools &amp; Services</v>
      </c>
      <c r="D509" s="17">
        <f>'Raw Data'!N507</f>
        <v>530</v>
      </c>
      <c r="E509" s="17">
        <f>'Raw Data'!O507</f>
        <v>344</v>
      </c>
      <c r="F509" s="17">
        <f>'Raw Data'!P507</f>
        <v>385</v>
      </c>
      <c r="G509" s="17">
        <f>'Raw Data'!Q507</f>
        <v>1259</v>
      </c>
      <c r="H509" s="18">
        <f>INDEX('Industry Stats'!$F$2:$F$49,MATCH($C509,'Industry Stats'!$A$2:$A$49,0))</f>
        <v>993.125</v>
      </c>
      <c r="I509" s="19">
        <f t="shared" si="77"/>
        <v>265.875</v>
      </c>
      <c r="J509" s="20">
        <f t="shared" si="78"/>
        <v>0.26771554436752676</v>
      </c>
      <c r="K509" s="18">
        <f>INDEX('Industry Stats'!$C$2:$C$49,MATCH($C509,'Industry Stats'!$A$2:$A$49,0))</f>
        <v>421.375</v>
      </c>
      <c r="L509" s="19">
        <f t="shared" si="79"/>
        <v>108.625</v>
      </c>
      <c r="M509" s="18">
        <f>INDEX('Industry Stats'!$D$2:$D$49,MATCH($C509,'Industry Stats'!$A$2:$A$49,0))</f>
        <v>294.5</v>
      </c>
      <c r="N509" s="19">
        <f t="shared" si="80"/>
        <v>49.5</v>
      </c>
      <c r="O509" s="18">
        <f>INDEX('Industry Stats'!$E$2:$E$49,MATCH($C509,'Industry Stats'!$A$2:$A$49,0))</f>
        <v>277.25</v>
      </c>
      <c r="P509" s="19">
        <f t="shared" si="81"/>
        <v>107.75</v>
      </c>
      <c r="R509">
        <f t="shared" si="82"/>
        <v>1259.0009491000001</v>
      </c>
      <c r="S509">
        <f t="shared" si="83"/>
        <v>530.00094909999996</v>
      </c>
      <c r="T509">
        <f t="shared" si="84"/>
        <v>344.00094910000001</v>
      </c>
      <c r="U509">
        <f t="shared" si="85"/>
        <v>385.00094910000001</v>
      </c>
      <c r="V509">
        <f t="shared" si="86"/>
        <v>265.87594910000001</v>
      </c>
      <c r="W509">
        <f t="shared" si="87"/>
        <v>-265.87405089999999</v>
      </c>
    </row>
    <row r="510" spans="1:23" ht="15" customHeight="1" x14ac:dyDescent="0.35">
      <c r="A510" t="str">
        <f>'Raw Data'!B508</f>
        <v>Equifax Inc</v>
      </c>
      <c r="B510" t="str">
        <f>'Raw Data'!A508</f>
        <v>efx</v>
      </c>
      <c r="C510" t="str">
        <f>IF('Raw Data'!E508="N/A","Unclassified",TRIM(SUBSTITUTE('Raw Data'!E508," and "," &amp; ")))</f>
        <v>Professional Services</v>
      </c>
      <c r="D510" s="17">
        <f>'Raw Data'!N508</f>
        <v>390</v>
      </c>
      <c r="E510" s="17">
        <f>'Raw Data'!O508</f>
        <v>300</v>
      </c>
      <c r="F510" s="17">
        <f>'Raw Data'!P508</f>
        <v>305</v>
      </c>
      <c r="G510" s="17">
        <f>'Raw Data'!Q508</f>
        <v>995</v>
      </c>
      <c r="H510" s="18">
        <f>INDEX('Industry Stats'!$F$2:$F$49,MATCH($C510,'Industry Stats'!$A$2:$A$49,0))</f>
        <v>1047.8571428571429</v>
      </c>
      <c r="I510" s="19">
        <f t="shared" si="77"/>
        <v>-52.85714285714289</v>
      </c>
      <c r="J510" s="20">
        <f t="shared" si="78"/>
        <v>-5.0443081117927772E-2</v>
      </c>
      <c r="K510" s="18">
        <f>INDEX('Industry Stats'!$C$2:$C$49,MATCH($C510,'Industry Stats'!$A$2:$A$49,0))</f>
        <v>435</v>
      </c>
      <c r="L510" s="19">
        <f t="shared" si="79"/>
        <v>-45</v>
      </c>
      <c r="M510" s="18">
        <f>INDEX('Industry Stats'!$D$2:$D$49,MATCH($C510,'Industry Stats'!$A$2:$A$49,0))</f>
        <v>312.42857142857144</v>
      </c>
      <c r="N510" s="19">
        <f t="shared" si="80"/>
        <v>-12.428571428571445</v>
      </c>
      <c r="O510" s="18">
        <f>INDEX('Industry Stats'!$E$2:$E$49,MATCH($C510,'Industry Stats'!$A$2:$A$49,0))</f>
        <v>300.42857142857144</v>
      </c>
      <c r="P510" s="19">
        <f t="shared" si="81"/>
        <v>4.5714285714285552</v>
      </c>
      <c r="R510">
        <f t="shared" si="82"/>
        <v>995.00094899999999</v>
      </c>
      <c r="S510">
        <f t="shared" si="83"/>
        <v>390.00094899999999</v>
      </c>
      <c r="T510">
        <f t="shared" si="84"/>
        <v>300.00094899999999</v>
      </c>
      <c r="U510">
        <f t="shared" si="85"/>
        <v>305.00094899999999</v>
      </c>
      <c r="V510">
        <f t="shared" si="86"/>
        <v>-52.856193857142891</v>
      </c>
      <c r="W510">
        <f t="shared" si="87"/>
        <v>52.858091857142888</v>
      </c>
    </row>
    <row r="511" spans="1:23" ht="15" customHeight="1" x14ac:dyDescent="0.35">
      <c r="A511" t="str">
        <f>'Raw Data'!B509</f>
        <v>Estee Lauder Companies Inc</v>
      </c>
      <c r="B511" t="str">
        <f>'Raw Data'!A509</f>
        <v>el</v>
      </c>
      <c r="C511" t="str">
        <f>IF('Raw Data'!E509="N/A","Unclassified",TRIM(SUBSTITUTE('Raw Data'!E509," and "," &amp; ")))</f>
        <v>Consumer products</v>
      </c>
      <c r="D511" s="17">
        <f>'Raw Data'!N509</f>
        <v>500</v>
      </c>
      <c r="E511" s="17">
        <f>'Raw Data'!O509</f>
        <v>300</v>
      </c>
      <c r="F511" s="17">
        <f>'Raw Data'!P509</f>
        <v>300</v>
      </c>
      <c r="G511" s="17">
        <f>'Raw Data'!Q509</f>
        <v>1100</v>
      </c>
      <c r="H511" s="18">
        <f>INDEX('Industry Stats'!$F$2:$F$49,MATCH($C511,'Industry Stats'!$A$2:$A$49,0))</f>
        <v>945.55</v>
      </c>
      <c r="I511" s="19">
        <f t="shared" si="77"/>
        <v>154.45000000000005</v>
      </c>
      <c r="J511" s="20">
        <f t="shared" si="78"/>
        <v>0.16334408545291107</v>
      </c>
      <c r="K511" s="18">
        <f>INDEX('Industry Stats'!$C$2:$C$49,MATCH($C511,'Industry Stats'!$A$2:$A$49,0))</f>
        <v>384.9</v>
      </c>
      <c r="L511" s="19">
        <f t="shared" si="79"/>
        <v>115.10000000000002</v>
      </c>
      <c r="M511" s="18">
        <f>INDEX('Industry Stats'!$D$2:$D$49,MATCH($C511,'Industry Stats'!$A$2:$A$49,0))</f>
        <v>285.7</v>
      </c>
      <c r="N511" s="19">
        <f t="shared" si="80"/>
        <v>14.300000000000011</v>
      </c>
      <c r="O511" s="18">
        <f>INDEX('Industry Stats'!$E$2:$E$49,MATCH($C511,'Industry Stats'!$A$2:$A$49,0))</f>
        <v>274.95</v>
      </c>
      <c r="P511" s="19">
        <f t="shared" si="81"/>
        <v>25.050000000000011</v>
      </c>
      <c r="R511">
        <f t="shared" si="82"/>
        <v>1100.0009488999999</v>
      </c>
      <c r="S511">
        <f t="shared" si="83"/>
        <v>500.00094890000003</v>
      </c>
      <c r="T511">
        <f t="shared" si="84"/>
        <v>300.00094890000003</v>
      </c>
      <c r="U511">
        <f t="shared" si="85"/>
        <v>300.00094890000003</v>
      </c>
      <c r="V511">
        <f t="shared" si="86"/>
        <v>154.45094890000004</v>
      </c>
      <c r="W511">
        <f t="shared" si="87"/>
        <v>-154.44905110000005</v>
      </c>
    </row>
    <row r="512" spans="1:23" ht="15" customHeight="1" x14ac:dyDescent="0.35">
      <c r="A512" t="str">
        <f>'Raw Data'!B510</f>
        <v>Eastman Chemical Co</v>
      </c>
      <c r="B512" t="str">
        <f>'Raw Data'!A510</f>
        <v>emn</v>
      </c>
      <c r="C512" t="str">
        <f>IF('Raw Data'!E510="N/A","Unclassified",TRIM(SUBSTITUTE('Raw Data'!E510," and "," &amp; ")))</f>
        <v>Chemicals</v>
      </c>
      <c r="D512" s="17">
        <f>'Raw Data'!N510</f>
        <v>583</v>
      </c>
      <c r="E512" s="17">
        <f>'Raw Data'!O510</f>
        <v>365</v>
      </c>
      <c r="F512" s="17">
        <f>'Raw Data'!P510</f>
        <v>310</v>
      </c>
      <c r="G512" s="17">
        <f>'Raw Data'!Q510</f>
        <v>1258</v>
      </c>
      <c r="H512" s="18">
        <f>INDEX('Industry Stats'!$F$2:$F$49,MATCH($C512,'Industry Stats'!$A$2:$A$49,0))</f>
        <v>1058.8947368421052</v>
      </c>
      <c r="I512" s="19">
        <f t="shared" si="77"/>
        <v>199.1052631578948</v>
      </c>
      <c r="J512" s="20">
        <f t="shared" si="78"/>
        <v>0.18803121427506345</v>
      </c>
      <c r="K512" s="18">
        <f>INDEX('Industry Stats'!$C$2:$C$49,MATCH($C512,'Industry Stats'!$A$2:$A$49,0))</f>
        <v>463.73684210526318</v>
      </c>
      <c r="L512" s="19">
        <f t="shared" si="79"/>
        <v>119.26315789473682</v>
      </c>
      <c r="M512" s="18">
        <f>INDEX('Industry Stats'!$D$2:$D$49,MATCH($C512,'Industry Stats'!$A$2:$A$49,0))</f>
        <v>304.36842105263156</v>
      </c>
      <c r="N512" s="19">
        <f t="shared" si="80"/>
        <v>60.631578947368439</v>
      </c>
      <c r="O512" s="18">
        <f>INDEX('Industry Stats'!$E$2:$E$49,MATCH($C512,'Industry Stats'!$A$2:$A$49,0))</f>
        <v>290.78947368421052</v>
      </c>
      <c r="P512" s="19">
        <f t="shared" si="81"/>
        <v>19.21052631578948</v>
      </c>
      <c r="R512">
        <f t="shared" si="82"/>
        <v>1258.0009488000001</v>
      </c>
      <c r="S512">
        <f t="shared" si="83"/>
        <v>583.00094879999995</v>
      </c>
      <c r="T512">
        <f t="shared" si="84"/>
        <v>365.0009488</v>
      </c>
      <c r="U512">
        <f t="shared" si="85"/>
        <v>310.0009488</v>
      </c>
      <c r="V512">
        <f t="shared" si="86"/>
        <v>199.1062119578948</v>
      </c>
      <c r="W512">
        <f t="shared" si="87"/>
        <v>-199.10431435789479</v>
      </c>
    </row>
    <row r="513" spans="1:23" ht="15" customHeight="1" x14ac:dyDescent="0.35">
      <c r="A513" t="str">
        <f>'Raw Data'!B511</f>
        <v>Emerson Electric Co</v>
      </c>
      <c r="B513" t="str">
        <f>'Raw Data'!A511</f>
        <v>emr</v>
      </c>
      <c r="C513" t="str">
        <f>IF('Raw Data'!E511="N/A","Unclassified",TRIM(SUBSTITUTE('Raw Data'!E511," and "," &amp; ")))</f>
        <v>Electrical Equipment</v>
      </c>
      <c r="D513" s="17">
        <f>'Raw Data'!N511</f>
        <v>605</v>
      </c>
      <c r="E513" s="17">
        <f>'Raw Data'!O511</f>
        <v>323</v>
      </c>
      <c r="F513" s="17">
        <f>'Raw Data'!P511</f>
        <v>315</v>
      </c>
      <c r="G513" s="17">
        <f>'Raw Data'!Q511</f>
        <v>1243</v>
      </c>
      <c r="H513" s="18">
        <f>INDEX('Industry Stats'!$F$2:$F$49,MATCH($C513,'Industry Stats'!$A$2:$A$49,0))</f>
        <v>933</v>
      </c>
      <c r="I513" s="19">
        <f t="shared" si="77"/>
        <v>310</v>
      </c>
      <c r="J513" s="20">
        <f t="shared" si="78"/>
        <v>0.33226152197213288</v>
      </c>
      <c r="K513" s="18">
        <f>INDEX('Industry Stats'!$C$2:$C$49,MATCH($C513,'Industry Stats'!$A$2:$A$49,0))</f>
        <v>381.7037037037037</v>
      </c>
      <c r="L513" s="19">
        <f t="shared" si="79"/>
        <v>223.2962962962963</v>
      </c>
      <c r="M513" s="18">
        <f>INDEX('Industry Stats'!$D$2:$D$49,MATCH($C513,'Industry Stats'!$A$2:$A$49,0))</f>
        <v>272.11111111111109</v>
      </c>
      <c r="N513" s="19">
        <f t="shared" si="80"/>
        <v>50.888888888888914</v>
      </c>
      <c r="O513" s="18">
        <f>INDEX('Industry Stats'!$E$2:$E$49,MATCH($C513,'Industry Stats'!$A$2:$A$49,0))</f>
        <v>279.18518518518516</v>
      </c>
      <c r="P513" s="19">
        <f t="shared" si="81"/>
        <v>35.814814814814838</v>
      </c>
      <c r="R513">
        <f t="shared" si="82"/>
        <v>1243.0009487</v>
      </c>
      <c r="S513">
        <f t="shared" si="83"/>
        <v>605.00094869999998</v>
      </c>
      <c r="T513">
        <f t="shared" si="84"/>
        <v>323.00094869999998</v>
      </c>
      <c r="U513">
        <f t="shared" si="85"/>
        <v>315.00094869999998</v>
      </c>
      <c r="V513">
        <f t="shared" si="86"/>
        <v>310.00094869999998</v>
      </c>
      <c r="W513">
        <f t="shared" si="87"/>
        <v>-309.99905130000002</v>
      </c>
    </row>
    <row r="514" spans="1:23" ht="15" customHeight="1" x14ac:dyDescent="0.35">
      <c r="A514" t="str">
        <f>'Raw Data'!B512</f>
        <v>EOG Resources Inc</v>
      </c>
      <c r="B514" t="str">
        <f>'Raw Data'!A512</f>
        <v>eog</v>
      </c>
      <c r="C514" t="str">
        <f>IF('Raw Data'!E512="N/A","Unclassified",TRIM(SUBSTITUTE('Raw Data'!E512," and "," &amp; ")))</f>
        <v>Energy</v>
      </c>
      <c r="D514" s="17">
        <f>'Raw Data'!N512</f>
        <v>550</v>
      </c>
      <c r="E514" s="17">
        <f>'Raw Data'!O512</f>
        <v>252</v>
      </c>
      <c r="F514" s="17">
        <f>'Raw Data'!P512</f>
        <v>240</v>
      </c>
      <c r="G514" s="17">
        <f>'Raw Data'!Q512</f>
        <v>1042</v>
      </c>
      <c r="H514" s="18">
        <f>INDEX('Industry Stats'!$F$2:$F$49,MATCH($C514,'Industry Stats'!$A$2:$A$49,0))</f>
        <v>1117.7619047619048</v>
      </c>
      <c r="I514" s="19">
        <f t="shared" si="77"/>
        <v>-75.761904761904816</v>
      </c>
      <c r="J514" s="20">
        <f t="shared" si="78"/>
        <v>-6.7780002556128358E-2</v>
      </c>
      <c r="K514" s="18">
        <f>INDEX('Industry Stats'!$C$2:$C$49,MATCH($C514,'Industry Stats'!$A$2:$A$49,0))</f>
        <v>515.09523809523807</v>
      </c>
      <c r="L514" s="19">
        <f t="shared" si="79"/>
        <v>34.904761904761926</v>
      </c>
      <c r="M514" s="18">
        <f>INDEX('Industry Stats'!$D$2:$D$49,MATCH($C514,'Industry Stats'!$A$2:$A$49,0))</f>
        <v>308.95238095238096</v>
      </c>
      <c r="N514" s="19">
        <f t="shared" si="80"/>
        <v>-56.952380952380963</v>
      </c>
      <c r="O514" s="18">
        <f>INDEX('Industry Stats'!$E$2:$E$49,MATCH($C514,'Industry Stats'!$A$2:$A$49,0))</f>
        <v>293.71428571428572</v>
      </c>
      <c r="P514" s="19">
        <f t="shared" si="81"/>
        <v>-53.714285714285722</v>
      </c>
      <c r="R514">
        <f t="shared" si="82"/>
        <v>1042.0009485999999</v>
      </c>
      <c r="S514">
        <f t="shared" si="83"/>
        <v>550.00094860000002</v>
      </c>
      <c r="T514">
        <f t="shared" si="84"/>
        <v>252.00094859999999</v>
      </c>
      <c r="U514">
        <f t="shared" si="85"/>
        <v>240.00094859999999</v>
      </c>
      <c r="V514">
        <f t="shared" si="86"/>
        <v>-75.760956161904815</v>
      </c>
      <c r="W514">
        <f t="shared" si="87"/>
        <v>75.762853361904817</v>
      </c>
    </row>
    <row r="515" spans="1:23" ht="15" customHeight="1" x14ac:dyDescent="0.35">
      <c r="A515" t="str">
        <f>'Raw Data'!B513</f>
        <v>Equity Residential</v>
      </c>
      <c r="B515" t="str">
        <f>'Raw Data'!A513</f>
        <v>eqr</v>
      </c>
      <c r="C515" t="str">
        <f>IF('Raw Data'!E513="N/A","Unclassified",TRIM(SUBSTITUTE('Raw Data'!E513," and "," &amp; ")))</f>
        <v>Real Estate</v>
      </c>
      <c r="D515" s="17">
        <f>'Raw Data'!N513</f>
        <v>235</v>
      </c>
      <c r="E515" s="17">
        <f>'Raw Data'!O513</f>
        <v>208</v>
      </c>
      <c r="F515" s="17">
        <f>'Raw Data'!P513</f>
        <v>210</v>
      </c>
      <c r="G515" s="17">
        <f>'Raw Data'!Q513</f>
        <v>653</v>
      </c>
      <c r="H515" s="18">
        <f>INDEX('Industry Stats'!$F$2:$F$49,MATCH($C515,'Industry Stats'!$A$2:$A$49,0))</f>
        <v>995.94444444444446</v>
      </c>
      <c r="I515" s="19">
        <f t="shared" si="77"/>
        <v>-342.94444444444446</v>
      </c>
      <c r="J515" s="20">
        <f t="shared" si="78"/>
        <v>-0.34434093824956769</v>
      </c>
      <c r="K515" s="18">
        <f>INDEX('Industry Stats'!$C$2:$C$49,MATCH($C515,'Industry Stats'!$A$2:$A$49,0))</f>
        <v>431.38888888888891</v>
      </c>
      <c r="L515" s="19">
        <f t="shared" si="79"/>
        <v>-196.38888888888891</v>
      </c>
      <c r="M515" s="18">
        <f>INDEX('Industry Stats'!$D$2:$D$49,MATCH($C515,'Industry Stats'!$A$2:$A$49,0))</f>
        <v>290.91666666666669</v>
      </c>
      <c r="N515" s="19">
        <f t="shared" si="80"/>
        <v>-82.916666666666686</v>
      </c>
      <c r="O515" s="18">
        <f>INDEX('Industry Stats'!$E$2:$E$49,MATCH($C515,'Industry Stats'!$A$2:$A$49,0))</f>
        <v>273.63888888888891</v>
      </c>
      <c r="P515" s="19">
        <f t="shared" si="81"/>
        <v>-63.638888888888914</v>
      </c>
      <c r="R515">
        <f t="shared" si="82"/>
        <v>653.00094850000005</v>
      </c>
      <c r="S515">
        <f t="shared" si="83"/>
        <v>235.00094849999999</v>
      </c>
      <c r="T515">
        <f t="shared" si="84"/>
        <v>208.00094849999999</v>
      </c>
      <c r="U515">
        <f t="shared" si="85"/>
        <v>210.00094849999999</v>
      </c>
      <c r="V515">
        <f t="shared" si="86"/>
        <v>-342.94349594444446</v>
      </c>
      <c r="W515">
        <f t="shared" si="87"/>
        <v>342.94539294444445</v>
      </c>
    </row>
    <row r="516" spans="1:23" ht="15" customHeight="1" x14ac:dyDescent="0.35">
      <c r="A516" t="str">
        <f>'Raw Data'!B514</f>
        <v>Eversource Energy</v>
      </c>
      <c r="B516" t="str">
        <f>'Raw Data'!A514</f>
        <v>es</v>
      </c>
      <c r="C516" t="str">
        <f>IF('Raw Data'!E514="N/A","Unclassified",TRIM(SUBSTITUTE('Raw Data'!E514," and "," &amp; ")))</f>
        <v>Utilities</v>
      </c>
      <c r="D516" s="17">
        <f>'Raw Data'!N514</f>
        <v>576</v>
      </c>
      <c r="E516" s="17">
        <f>'Raw Data'!O514</f>
        <v>409</v>
      </c>
      <c r="F516" s="17">
        <f>'Raw Data'!P514</f>
        <v>310</v>
      </c>
      <c r="G516" s="17">
        <f>'Raw Data'!Q514</f>
        <v>1295</v>
      </c>
      <c r="H516" s="18">
        <f>INDEX('Industry Stats'!$F$2:$F$49,MATCH($C516,'Industry Stats'!$A$2:$A$49,0))</f>
        <v>1190.6333333333334</v>
      </c>
      <c r="I516" s="19">
        <f t="shared" ref="I516:I579" si="88">G516-H516</f>
        <v>104.36666666666656</v>
      </c>
      <c r="J516" s="20">
        <f t="shared" ref="J516:J579" si="89">I516/H516</f>
        <v>8.7656429351325532E-2</v>
      </c>
      <c r="K516" s="18">
        <f>INDEX('Industry Stats'!$C$2:$C$49,MATCH($C516,'Industry Stats'!$A$2:$A$49,0))</f>
        <v>550.9666666666667</v>
      </c>
      <c r="L516" s="19">
        <f t="shared" ref="L516:L579" si="90">D516-K516</f>
        <v>25.033333333333303</v>
      </c>
      <c r="M516" s="18">
        <f>INDEX('Industry Stats'!$D$2:$D$49,MATCH($C516,'Industry Stats'!$A$2:$A$49,0))</f>
        <v>357.4</v>
      </c>
      <c r="N516" s="19">
        <f t="shared" ref="N516:N579" si="91">E516-M516</f>
        <v>51.600000000000023</v>
      </c>
      <c r="O516" s="18">
        <f>INDEX('Industry Stats'!$E$2:$E$49,MATCH($C516,'Industry Stats'!$A$2:$A$49,0))</f>
        <v>282.26666666666665</v>
      </c>
      <c r="P516" s="19">
        <f t="shared" ref="P516:P579" si="92">F516-O516</f>
        <v>27.733333333333348</v>
      </c>
      <c r="R516">
        <f t="shared" ref="R516:R579" si="93">G516+(10000-ROW())/10000000</f>
        <v>1295.0009484</v>
      </c>
      <c r="S516">
        <f t="shared" ref="S516:S579" si="94">D516+(10000-ROW())/10000000</f>
        <v>576.00094839999997</v>
      </c>
      <c r="T516">
        <f t="shared" ref="T516:T579" si="95">E516+(10000-ROW())/10000000</f>
        <v>409.00094840000003</v>
      </c>
      <c r="U516">
        <f t="shared" ref="U516:U579" si="96">F516+(10000-ROW())/10000000</f>
        <v>310.00094840000003</v>
      </c>
      <c r="V516">
        <f t="shared" ref="V516:V579" si="97">I516+(10000-ROW())/10000000</f>
        <v>104.36761506666656</v>
      </c>
      <c r="W516">
        <f t="shared" ref="W516:W579" si="98">-I516+(10000-ROW())/10000000</f>
        <v>-104.36571826666656</v>
      </c>
    </row>
    <row r="517" spans="1:23" ht="15" customHeight="1" x14ac:dyDescent="0.35">
      <c r="A517" t="str">
        <f>'Raw Data'!B515</f>
        <v>Essex Property Trust Inc</v>
      </c>
      <c r="B517" t="str">
        <f>'Raw Data'!A515</f>
        <v>ess</v>
      </c>
      <c r="C517" t="str">
        <f>IF('Raw Data'!E515="N/A","Unclassified",TRIM(SUBSTITUTE('Raw Data'!E515," and "," &amp; ")))</f>
        <v>Real Estate</v>
      </c>
      <c r="D517" s="17">
        <f>'Raw Data'!N515</f>
        <v>377</v>
      </c>
      <c r="E517" s="17">
        <f>'Raw Data'!O515</f>
        <v>304</v>
      </c>
      <c r="F517" s="17">
        <f>'Raw Data'!P515</f>
        <v>210</v>
      </c>
      <c r="G517" s="17">
        <f>'Raw Data'!Q515</f>
        <v>891</v>
      </c>
      <c r="H517" s="18">
        <f>INDEX('Industry Stats'!$F$2:$F$49,MATCH($C517,'Industry Stats'!$A$2:$A$49,0))</f>
        <v>995.94444444444446</v>
      </c>
      <c r="I517" s="19">
        <f t="shared" si="88"/>
        <v>-104.94444444444446</v>
      </c>
      <c r="J517" s="20">
        <f t="shared" si="89"/>
        <v>-0.10537178557483128</v>
      </c>
      <c r="K517" s="18">
        <f>INDEX('Industry Stats'!$C$2:$C$49,MATCH($C517,'Industry Stats'!$A$2:$A$49,0))</f>
        <v>431.38888888888891</v>
      </c>
      <c r="L517" s="19">
        <f t="shared" si="90"/>
        <v>-54.388888888888914</v>
      </c>
      <c r="M517" s="18">
        <f>INDEX('Industry Stats'!$D$2:$D$49,MATCH($C517,'Industry Stats'!$A$2:$A$49,0))</f>
        <v>290.91666666666669</v>
      </c>
      <c r="N517" s="19">
        <f t="shared" si="91"/>
        <v>13.083333333333314</v>
      </c>
      <c r="O517" s="18">
        <f>INDEX('Industry Stats'!$E$2:$E$49,MATCH($C517,'Industry Stats'!$A$2:$A$49,0))</f>
        <v>273.63888888888891</v>
      </c>
      <c r="P517" s="19">
        <f t="shared" si="92"/>
        <v>-63.638888888888914</v>
      </c>
      <c r="R517">
        <f t="shared" si="93"/>
        <v>891.0009483</v>
      </c>
      <c r="S517">
        <f t="shared" si="94"/>
        <v>377.0009483</v>
      </c>
      <c r="T517">
        <f t="shared" si="95"/>
        <v>304.0009483</v>
      </c>
      <c r="U517">
        <f t="shared" si="96"/>
        <v>210.0009483</v>
      </c>
      <c r="V517">
        <f t="shared" si="97"/>
        <v>-104.94349614444445</v>
      </c>
      <c r="W517">
        <f t="shared" si="98"/>
        <v>104.94539274444446</v>
      </c>
    </row>
    <row r="518" spans="1:23" ht="15" customHeight="1" x14ac:dyDescent="0.35">
      <c r="A518" t="str">
        <f>'Raw Data'!B516</f>
        <v>Fifth Third Bancorp</v>
      </c>
      <c r="B518" t="str">
        <f>'Raw Data'!A516</f>
        <v>fitb</v>
      </c>
      <c r="C518" t="str">
        <f>IF('Raw Data'!E516="N/A","Unclassified",TRIM(SUBSTITUTE('Raw Data'!E516," and "," &amp; ")))</f>
        <v>Banking</v>
      </c>
      <c r="D518" s="17">
        <f>'Raw Data'!N516</f>
        <v>313</v>
      </c>
      <c r="E518" s="17">
        <f>'Raw Data'!O516</f>
        <v>300</v>
      </c>
      <c r="F518" s="17">
        <f>'Raw Data'!P516</f>
        <v>215</v>
      </c>
      <c r="G518" s="17">
        <f>'Raw Data'!Q516</f>
        <v>828</v>
      </c>
      <c r="H518" s="18">
        <f>INDEX('Industry Stats'!$F$2:$F$49,MATCH($C518,'Industry Stats'!$A$2:$A$49,0))</f>
        <v>898.31034482758616</v>
      </c>
      <c r="I518" s="19">
        <f t="shared" si="88"/>
        <v>-70.310344827586164</v>
      </c>
      <c r="J518" s="20">
        <f t="shared" si="89"/>
        <v>-7.8269548193927257E-2</v>
      </c>
      <c r="K518" s="18">
        <f>INDEX('Industry Stats'!$C$2:$C$49,MATCH($C518,'Industry Stats'!$A$2:$A$49,0))</f>
        <v>341.48275862068965</v>
      </c>
      <c r="L518" s="19">
        <f t="shared" si="90"/>
        <v>-28.482758620689651</v>
      </c>
      <c r="M518" s="18">
        <f>INDEX('Industry Stats'!$D$2:$D$49,MATCH($C518,'Industry Stats'!$A$2:$A$49,0))</f>
        <v>292.34482758620692</v>
      </c>
      <c r="N518" s="19">
        <f t="shared" si="91"/>
        <v>7.6551724137930819</v>
      </c>
      <c r="O518" s="18">
        <f>INDEX('Industry Stats'!$E$2:$E$49,MATCH($C518,'Industry Stats'!$A$2:$A$49,0))</f>
        <v>264.48275862068965</v>
      </c>
      <c r="P518" s="19">
        <f t="shared" si="92"/>
        <v>-49.482758620689651</v>
      </c>
      <c r="R518">
        <f t="shared" si="93"/>
        <v>828.00094820000004</v>
      </c>
      <c r="S518">
        <f t="shared" si="94"/>
        <v>313.00094819999998</v>
      </c>
      <c r="T518">
        <f t="shared" si="95"/>
        <v>300.00094819999998</v>
      </c>
      <c r="U518">
        <f t="shared" si="96"/>
        <v>215.00094820000001</v>
      </c>
      <c r="V518">
        <f t="shared" si="97"/>
        <v>-70.309396627586167</v>
      </c>
      <c r="W518">
        <f t="shared" si="98"/>
        <v>70.31129302758616</v>
      </c>
    </row>
    <row r="519" spans="1:23" ht="15" customHeight="1" x14ac:dyDescent="0.35">
      <c r="A519" t="str">
        <f>'Raw Data'!B517</f>
        <v>Entergy Corp</v>
      </c>
      <c r="B519" t="str">
        <f>'Raw Data'!A517</f>
        <v>etr</v>
      </c>
      <c r="C519" t="str">
        <f>IF('Raw Data'!E517="N/A","Unclassified",TRIM(SUBSTITUTE('Raw Data'!E517," and "," &amp; ")))</f>
        <v>Utilities</v>
      </c>
      <c r="D519" s="17">
        <f>'Raw Data'!N517</f>
        <v>653</v>
      </c>
      <c r="E519" s="17">
        <f>'Raw Data'!O517</f>
        <v>380</v>
      </c>
      <c r="F519" s="17">
        <f>'Raw Data'!P517</f>
        <v>310</v>
      </c>
      <c r="G519" s="17">
        <f>'Raw Data'!Q517</f>
        <v>1343</v>
      </c>
      <c r="H519" s="18">
        <f>INDEX('Industry Stats'!$F$2:$F$49,MATCH($C519,'Industry Stats'!$A$2:$A$49,0))</f>
        <v>1190.6333333333334</v>
      </c>
      <c r="I519" s="19">
        <f t="shared" si="88"/>
        <v>152.36666666666656</v>
      </c>
      <c r="J519" s="20">
        <f t="shared" si="89"/>
        <v>0.12797110781376847</v>
      </c>
      <c r="K519" s="18">
        <f>INDEX('Industry Stats'!$C$2:$C$49,MATCH($C519,'Industry Stats'!$A$2:$A$49,0))</f>
        <v>550.9666666666667</v>
      </c>
      <c r="L519" s="19">
        <f t="shared" si="90"/>
        <v>102.0333333333333</v>
      </c>
      <c r="M519" s="18">
        <f>INDEX('Industry Stats'!$D$2:$D$49,MATCH($C519,'Industry Stats'!$A$2:$A$49,0))</f>
        <v>357.4</v>
      </c>
      <c r="N519" s="19">
        <f t="shared" si="91"/>
        <v>22.600000000000023</v>
      </c>
      <c r="O519" s="18">
        <f>INDEX('Industry Stats'!$E$2:$E$49,MATCH($C519,'Industry Stats'!$A$2:$A$49,0))</f>
        <v>282.26666666666665</v>
      </c>
      <c r="P519" s="19">
        <f t="shared" si="92"/>
        <v>27.733333333333348</v>
      </c>
      <c r="R519">
        <f t="shared" si="93"/>
        <v>1343.0009481</v>
      </c>
      <c r="S519">
        <f t="shared" si="94"/>
        <v>653.00094809999996</v>
      </c>
      <c r="T519">
        <f t="shared" si="95"/>
        <v>380.00094810000002</v>
      </c>
      <c r="U519">
        <f t="shared" si="96"/>
        <v>310.00094810000002</v>
      </c>
      <c r="V519">
        <f t="shared" si="97"/>
        <v>152.36761476666655</v>
      </c>
      <c r="W519">
        <f t="shared" si="98"/>
        <v>-152.36571856666657</v>
      </c>
    </row>
    <row r="520" spans="1:23" ht="15" customHeight="1" x14ac:dyDescent="0.35">
      <c r="A520" t="str">
        <f>'Raw Data'!B518</f>
        <v>Extra Space Storage Inc</v>
      </c>
      <c r="B520" t="str">
        <f>'Raw Data'!A518</f>
        <v>exr</v>
      </c>
      <c r="C520" t="str">
        <f>IF('Raw Data'!E518="N/A","Unclassified",TRIM(SUBSTITUTE('Raw Data'!E518," and "," &amp; ")))</f>
        <v>Real Estate</v>
      </c>
      <c r="D520" s="17">
        <f>'Raw Data'!N518</f>
        <v>572</v>
      </c>
      <c r="E520" s="17">
        <f>'Raw Data'!O518</f>
        <v>289</v>
      </c>
      <c r="F520" s="17">
        <f>'Raw Data'!P518</f>
        <v>225</v>
      </c>
      <c r="G520" s="17">
        <f>'Raw Data'!Q518</f>
        <v>1086</v>
      </c>
      <c r="H520" s="18">
        <f>INDEX('Industry Stats'!$F$2:$F$49,MATCH($C520,'Industry Stats'!$A$2:$A$49,0))</f>
        <v>995.94444444444446</v>
      </c>
      <c r="I520" s="19">
        <f t="shared" si="88"/>
        <v>90.055555555555543</v>
      </c>
      <c r="J520" s="20">
        <f t="shared" si="89"/>
        <v>9.0422268087242699E-2</v>
      </c>
      <c r="K520" s="18">
        <f>INDEX('Industry Stats'!$C$2:$C$49,MATCH($C520,'Industry Stats'!$A$2:$A$49,0))</f>
        <v>431.38888888888891</v>
      </c>
      <c r="L520" s="19">
        <f t="shared" si="90"/>
        <v>140.61111111111109</v>
      </c>
      <c r="M520" s="18">
        <f>INDEX('Industry Stats'!$D$2:$D$49,MATCH($C520,'Industry Stats'!$A$2:$A$49,0))</f>
        <v>290.91666666666669</v>
      </c>
      <c r="N520" s="19">
        <f t="shared" si="91"/>
        <v>-1.9166666666666856</v>
      </c>
      <c r="O520" s="18">
        <f>INDEX('Industry Stats'!$E$2:$E$49,MATCH($C520,'Industry Stats'!$A$2:$A$49,0))</f>
        <v>273.63888888888891</v>
      </c>
      <c r="P520" s="19">
        <f t="shared" si="92"/>
        <v>-48.638888888888914</v>
      </c>
      <c r="R520">
        <f t="shared" si="93"/>
        <v>1086.0009480000001</v>
      </c>
      <c r="S520">
        <f t="shared" si="94"/>
        <v>572.00094799999999</v>
      </c>
      <c r="T520">
        <f t="shared" si="95"/>
        <v>289.00094799999999</v>
      </c>
      <c r="U520">
        <f t="shared" si="96"/>
        <v>225.00094799999999</v>
      </c>
      <c r="V520">
        <f t="shared" si="97"/>
        <v>90.056503555555537</v>
      </c>
      <c r="W520">
        <f t="shared" si="98"/>
        <v>-90.054607555555549</v>
      </c>
    </row>
    <row r="521" spans="1:23" ht="15" customHeight="1" x14ac:dyDescent="0.35">
      <c r="A521" t="str">
        <f>'Raw Data'!B519</f>
        <v>Edwards Lifesciences Corp</v>
      </c>
      <c r="B521" t="str">
        <f>'Raw Data'!A519</f>
        <v>ew</v>
      </c>
      <c r="C521" t="str">
        <f>IF('Raw Data'!E519="N/A","Unclassified",TRIM(SUBSTITUTE('Raw Data'!E519," and "," &amp; ")))</f>
        <v>Health Care</v>
      </c>
      <c r="D521" s="17">
        <f>'Raw Data'!N519</f>
        <v>290</v>
      </c>
      <c r="E521" s="17">
        <f>'Raw Data'!O519</f>
        <v>333</v>
      </c>
      <c r="F521" s="17">
        <f>'Raw Data'!P519</f>
        <v>305</v>
      </c>
      <c r="G521" s="17">
        <f>'Raw Data'!Q519</f>
        <v>928</v>
      </c>
      <c r="H521" s="18">
        <f>INDEX('Industry Stats'!$F$2:$F$49,MATCH($C521,'Industry Stats'!$A$2:$A$49,0))</f>
        <v>938.76470588235293</v>
      </c>
      <c r="I521" s="19">
        <f t="shared" si="88"/>
        <v>-10.764705882352928</v>
      </c>
      <c r="J521" s="20">
        <f t="shared" si="89"/>
        <v>-1.1466883889968029E-2</v>
      </c>
      <c r="K521" s="18">
        <f>INDEX('Industry Stats'!$C$2:$C$49,MATCH($C521,'Industry Stats'!$A$2:$A$49,0))</f>
        <v>374.52941176470586</v>
      </c>
      <c r="L521" s="19">
        <f t="shared" si="90"/>
        <v>-84.529411764705856</v>
      </c>
      <c r="M521" s="18">
        <f>INDEX('Industry Stats'!$D$2:$D$49,MATCH($C521,'Industry Stats'!$A$2:$A$49,0))</f>
        <v>287.43137254901961</v>
      </c>
      <c r="N521" s="19">
        <f t="shared" si="91"/>
        <v>45.568627450980387</v>
      </c>
      <c r="O521" s="18">
        <f>INDEX('Industry Stats'!$E$2:$E$49,MATCH($C521,'Industry Stats'!$A$2:$A$49,0))</f>
        <v>276.80392156862746</v>
      </c>
      <c r="P521" s="19">
        <f t="shared" si="92"/>
        <v>28.196078431372541</v>
      </c>
      <c r="R521">
        <f t="shared" si="93"/>
        <v>928.00094790000003</v>
      </c>
      <c r="S521">
        <f t="shared" si="94"/>
        <v>290.00094790000003</v>
      </c>
      <c r="T521">
        <f t="shared" si="95"/>
        <v>333.00094790000003</v>
      </c>
      <c r="U521">
        <f t="shared" si="96"/>
        <v>305.00094790000003</v>
      </c>
      <c r="V521">
        <f t="shared" si="97"/>
        <v>-10.763757982352928</v>
      </c>
      <c r="W521">
        <f t="shared" si="98"/>
        <v>10.765653782352928</v>
      </c>
    </row>
    <row r="522" spans="1:23" ht="15" customHeight="1" x14ac:dyDescent="0.35">
      <c r="A522" t="str">
        <f>'Raw Data'!B520</f>
        <v>Fox Corp</v>
      </c>
      <c r="B522" t="str">
        <f>'Raw Data'!A520</f>
        <v>foxa</v>
      </c>
      <c r="C522" t="str">
        <f>IF('Raw Data'!E520="N/A","Unclassified",TRIM(SUBSTITUTE('Raw Data'!E520," and "," &amp; ")))</f>
        <v>Media</v>
      </c>
      <c r="D522" s="17">
        <f>'Raw Data'!N520</f>
        <v>295</v>
      </c>
      <c r="E522" s="17">
        <f>'Raw Data'!O520</f>
        <v>330</v>
      </c>
      <c r="F522" s="17">
        <f>'Raw Data'!P520</f>
        <v>315</v>
      </c>
      <c r="G522" s="17">
        <f>'Raw Data'!Q520</f>
        <v>940</v>
      </c>
      <c r="H522" s="18">
        <f>INDEX('Industry Stats'!$F$2:$F$49,MATCH($C522,'Industry Stats'!$A$2:$A$49,0))</f>
        <v>935.26086956521738</v>
      </c>
      <c r="I522" s="19">
        <f t="shared" si="88"/>
        <v>4.7391304347826235</v>
      </c>
      <c r="J522" s="20">
        <f t="shared" si="89"/>
        <v>5.0671749337548389E-3</v>
      </c>
      <c r="K522" s="18">
        <f>INDEX('Industry Stats'!$C$2:$C$49,MATCH($C522,'Industry Stats'!$A$2:$A$49,0))</f>
        <v>346.91304347826087</v>
      </c>
      <c r="L522" s="19">
        <f t="shared" si="90"/>
        <v>-51.913043478260875</v>
      </c>
      <c r="M522" s="18">
        <f>INDEX('Industry Stats'!$D$2:$D$49,MATCH($C522,'Industry Stats'!$A$2:$A$49,0))</f>
        <v>313</v>
      </c>
      <c r="N522" s="19">
        <f t="shared" si="91"/>
        <v>17</v>
      </c>
      <c r="O522" s="18">
        <f>INDEX('Industry Stats'!$E$2:$E$49,MATCH($C522,'Industry Stats'!$A$2:$A$49,0))</f>
        <v>275.3478260869565</v>
      </c>
      <c r="P522" s="19">
        <f t="shared" si="92"/>
        <v>39.652173913043498</v>
      </c>
      <c r="R522">
        <f t="shared" si="93"/>
        <v>940.00094779999995</v>
      </c>
      <c r="S522">
        <f t="shared" si="94"/>
        <v>295.00094780000001</v>
      </c>
      <c r="T522">
        <f t="shared" si="95"/>
        <v>330.00094780000001</v>
      </c>
      <c r="U522">
        <f t="shared" si="96"/>
        <v>315.00094780000001</v>
      </c>
      <c r="V522">
        <f t="shared" si="97"/>
        <v>4.7400782347826231</v>
      </c>
      <c r="W522">
        <f t="shared" si="98"/>
        <v>-4.7381826347826239</v>
      </c>
    </row>
    <row r="523" spans="1:23" ht="15" customHeight="1" x14ac:dyDescent="0.35">
      <c r="A523" t="str">
        <f>'Raw Data'!B521</f>
        <v>Freeport-McMoRan Inc</v>
      </c>
      <c r="B523" t="str">
        <f>'Raw Data'!A521</f>
        <v>fcx</v>
      </c>
      <c r="C523" t="str">
        <f>IF('Raw Data'!E521="N/A","Unclassified",TRIM(SUBSTITUTE('Raw Data'!E521," and "," &amp; ")))</f>
        <v>Metals &amp; Mining</v>
      </c>
      <c r="D523" s="17">
        <f>'Raw Data'!N521</f>
        <v>608</v>
      </c>
      <c r="E523" s="17">
        <f>'Raw Data'!O521</f>
        <v>313</v>
      </c>
      <c r="F523" s="17">
        <f>'Raw Data'!P521</f>
        <v>305</v>
      </c>
      <c r="G523" s="17">
        <f>'Raw Data'!Q521</f>
        <v>1226</v>
      </c>
      <c r="H523" s="18">
        <f>INDEX('Industry Stats'!$F$2:$F$49,MATCH($C523,'Industry Stats'!$A$2:$A$49,0))</f>
        <v>987</v>
      </c>
      <c r="I523" s="19">
        <f t="shared" si="88"/>
        <v>239</v>
      </c>
      <c r="J523" s="20">
        <f t="shared" si="89"/>
        <v>0.24214792299898683</v>
      </c>
      <c r="K523" s="18">
        <f>INDEX('Industry Stats'!$C$2:$C$49,MATCH($C523,'Industry Stats'!$A$2:$A$49,0))</f>
        <v>427.3</v>
      </c>
      <c r="L523" s="19">
        <f t="shared" si="90"/>
        <v>180.7</v>
      </c>
      <c r="M523" s="18">
        <f>INDEX('Industry Stats'!$D$2:$D$49,MATCH($C523,'Industry Stats'!$A$2:$A$49,0))</f>
        <v>289.2</v>
      </c>
      <c r="N523" s="19">
        <f t="shared" si="91"/>
        <v>23.800000000000011</v>
      </c>
      <c r="O523" s="18">
        <f>INDEX('Industry Stats'!$E$2:$E$49,MATCH($C523,'Industry Stats'!$A$2:$A$49,0))</f>
        <v>270.5</v>
      </c>
      <c r="P523" s="19">
        <f t="shared" si="92"/>
        <v>34.5</v>
      </c>
      <c r="R523">
        <f t="shared" si="93"/>
        <v>1226.0009477000001</v>
      </c>
      <c r="S523">
        <f t="shared" si="94"/>
        <v>608.00094769999998</v>
      </c>
      <c r="T523">
        <f t="shared" si="95"/>
        <v>313.00094769999998</v>
      </c>
      <c r="U523">
        <f t="shared" si="96"/>
        <v>305.00094769999998</v>
      </c>
      <c r="V523">
        <f t="shared" si="97"/>
        <v>239.00094770000001</v>
      </c>
      <c r="W523">
        <f t="shared" si="98"/>
        <v>-238.99905229999999</v>
      </c>
    </row>
    <row r="524" spans="1:23" ht="15" customHeight="1" x14ac:dyDescent="0.35">
      <c r="A524" t="str">
        <f>'Raw Data'!B522</f>
        <v>FirstEnergy Corp</v>
      </c>
      <c r="B524" t="str">
        <f>'Raw Data'!A522</f>
        <v>fe</v>
      </c>
      <c r="C524" t="str">
        <f>IF('Raw Data'!E522="N/A","Unclassified",TRIM(SUBSTITUTE('Raw Data'!E522," and "," &amp; ")))</f>
        <v>Utilities</v>
      </c>
      <c r="D524" s="17">
        <f>'Raw Data'!N522</f>
        <v>510</v>
      </c>
      <c r="E524" s="17">
        <f>'Raw Data'!O522</f>
        <v>304</v>
      </c>
      <c r="F524" s="17">
        <f>'Raw Data'!P522</f>
        <v>300</v>
      </c>
      <c r="G524" s="17">
        <f>'Raw Data'!Q522</f>
        <v>1114</v>
      </c>
      <c r="H524" s="18">
        <f>INDEX('Industry Stats'!$F$2:$F$49,MATCH($C524,'Industry Stats'!$A$2:$A$49,0))</f>
        <v>1190.6333333333334</v>
      </c>
      <c r="I524" s="19">
        <f t="shared" si="88"/>
        <v>-76.633333333333439</v>
      </c>
      <c r="J524" s="20">
        <f t="shared" si="89"/>
        <v>-6.4363504017469778E-2</v>
      </c>
      <c r="K524" s="18">
        <f>INDEX('Industry Stats'!$C$2:$C$49,MATCH($C524,'Industry Stats'!$A$2:$A$49,0))</f>
        <v>550.9666666666667</v>
      </c>
      <c r="L524" s="19">
        <f t="shared" si="90"/>
        <v>-40.966666666666697</v>
      </c>
      <c r="M524" s="18">
        <f>INDEX('Industry Stats'!$D$2:$D$49,MATCH($C524,'Industry Stats'!$A$2:$A$49,0))</f>
        <v>357.4</v>
      </c>
      <c r="N524" s="19">
        <f t="shared" si="91"/>
        <v>-53.399999999999977</v>
      </c>
      <c r="O524" s="18">
        <f>INDEX('Industry Stats'!$E$2:$E$49,MATCH($C524,'Industry Stats'!$A$2:$A$49,0))</f>
        <v>282.26666666666665</v>
      </c>
      <c r="P524" s="19">
        <f t="shared" si="92"/>
        <v>17.733333333333348</v>
      </c>
      <c r="R524">
        <f t="shared" si="93"/>
        <v>1114.0009476</v>
      </c>
      <c r="S524">
        <f t="shared" si="94"/>
        <v>510.00094760000002</v>
      </c>
      <c r="T524">
        <f t="shared" si="95"/>
        <v>304.00094760000002</v>
      </c>
      <c r="U524">
        <f t="shared" si="96"/>
        <v>300.00094760000002</v>
      </c>
      <c r="V524">
        <f t="shared" si="97"/>
        <v>-76.632385733333436</v>
      </c>
      <c r="W524">
        <f t="shared" si="98"/>
        <v>76.634280933333443</v>
      </c>
    </row>
    <row r="525" spans="1:23" ht="15" customHeight="1" x14ac:dyDescent="0.35">
      <c r="A525" t="str">
        <f>'Raw Data'!B523</f>
        <v>Fleetcor Technologies Inc</v>
      </c>
      <c r="B525" t="str">
        <f>'Raw Data'!A523</f>
        <v>flt</v>
      </c>
      <c r="C525" t="str">
        <f>IF('Raw Data'!E523="N/A","Unclassified",TRIM(SUBSTITUTE('Raw Data'!E523," and "," &amp; ")))</f>
        <v>Technology</v>
      </c>
      <c r="D525" s="17">
        <f>'Raw Data'!N523</f>
        <v>410</v>
      </c>
      <c r="E525" s="17">
        <f>'Raw Data'!O523</f>
        <v>302</v>
      </c>
      <c r="F525" s="17">
        <f>'Raw Data'!P523</f>
        <v>300</v>
      </c>
      <c r="G525" s="17">
        <f>'Raw Data'!Q523</f>
        <v>1012</v>
      </c>
      <c r="H525" s="18">
        <f>INDEX('Industry Stats'!$F$2:$F$49,MATCH($C525,'Industry Stats'!$A$2:$A$49,0))</f>
        <v>1031.3174603174602</v>
      </c>
      <c r="I525" s="19">
        <f t="shared" si="88"/>
        <v>-19.317460317460245</v>
      </c>
      <c r="J525" s="20">
        <f t="shared" si="89"/>
        <v>-1.8730857433087521E-2</v>
      </c>
      <c r="K525" s="18">
        <f>INDEX('Industry Stats'!$C$2:$C$49,MATCH($C525,'Industry Stats'!$A$2:$A$49,0))</f>
        <v>438.11111111111109</v>
      </c>
      <c r="L525" s="19">
        <f t="shared" si="90"/>
        <v>-28.111111111111086</v>
      </c>
      <c r="M525" s="18">
        <f>INDEX('Industry Stats'!$D$2:$D$49,MATCH($C525,'Industry Stats'!$A$2:$A$49,0))</f>
        <v>307.90476190476193</v>
      </c>
      <c r="N525" s="19">
        <f t="shared" si="91"/>
        <v>-5.9047619047619264</v>
      </c>
      <c r="O525" s="18">
        <f>INDEX('Industry Stats'!$E$2:$E$49,MATCH($C525,'Industry Stats'!$A$2:$A$49,0))</f>
        <v>285.30158730158729</v>
      </c>
      <c r="P525" s="19">
        <f t="shared" si="92"/>
        <v>14.69841269841271</v>
      </c>
      <c r="R525">
        <f t="shared" si="93"/>
        <v>1012.0009475000001</v>
      </c>
      <c r="S525">
        <f t="shared" si="94"/>
        <v>410.0009475</v>
      </c>
      <c r="T525">
        <f t="shared" si="95"/>
        <v>302.0009475</v>
      </c>
      <c r="U525">
        <f t="shared" si="96"/>
        <v>300.0009475</v>
      </c>
      <c r="V525">
        <f t="shared" si="97"/>
        <v>-19.316512817460247</v>
      </c>
      <c r="W525">
        <f t="shared" si="98"/>
        <v>19.318407817460244</v>
      </c>
    </row>
    <row r="526" spans="1:23" ht="15" customHeight="1" x14ac:dyDescent="0.35">
      <c r="A526" t="str">
        <f>'Raw Data'!B524</f>
        <v>Fidelity National Information Services Inc</v>
      </c>
      <c r="B526" t="str">
        <f>'Raw Data'!A524</f>
        <v>fis</v>
      </c>
      <c r="C526" t="str">
        <f>IF('Raw Data'!E524="N/A","Unclassified",TRIM(SUBSTITUTE('Raw Data'!E524," and "," &amp; ")))</f>
        <v>Technology</v>
      </c>
      <c r="D526" s="17">
        <f>'Raw Data'!N524</f>
        <v>530</v>
      </c>
      <c r="E526" s="17">
        <f>'Raw Data'!O524</f>
        <v>298</v>
      </c>
      <c r="F526" s="17">
        <f>'Raw Data'!P524</f>
        <v>310</v>
      </c>
      <c r="G526" s="17">
        <f>'Raw Data'!Q524</f>
        <v>1138</v>
      </c>
      <c r="H526" s="18">
        <f>INDEX('Industry Stats'!$F$2:$F$49,MATCH($C526,'Industry Stats'!$A$2:$A$49,0))</f>
        <v>1031.3174603174602</v>
      </c>
      <c r="I526" s="19">
        <f t="shared" si="88"/>
        <v>106.68253968253975</v>
      </c>
      <c r="J526" s="20">
        <f t="shared" si="89"/>
        <v>0.1034429686177336</v>
      </c>
      <c r="K526" s="18">
        <f>INDEX('Industry Stats'!$C$2:$C$49,MATCH($C526,'Industry Stats'!$A$2:$A$49,0))</f>
        <v>438.11111111111109</v>
      </c>
      <c r="L526" s="19">
        <f t="shared" si="90"/>
        <v>91.888888888888914</v>
      </c>
      <c r="M526" s="18">
        <f>INDEX('Industry Stats'!$D$2:$D$49,MATCH($C526,'Industry Stats'!$A$2:$A$49,0))</f>
        <v>307.90476190476193</v>
      </c>
      <c r="N526" s="19">
        <f t="shared" si="91"/>
        <v>-9.9047619047619264</v>
      </c>
      <c r="O526" s="18">
        <f>INDEX('Industry Stats'!$E$2:$E$49,MATCH($C526,'Industry Stats'!$A$2:$A$49,0))</f>
        <v>285.30158730158729</v>
      </c>
      <c r="P526" s="19">
        <f t="shared" si="92"/>
        <v>24.69841269841271</v>
      </c>
      <c r="R526">
        <f t="shared" si="93"/>
        <v>1138.0009474000001</v>
      </c>
      <c r="S526">
        <f t="shared" si="94"/>
        <v>530.00094739999997</v>
      </c>
      <c r="T526">
        <f t="shared" si="95"/>
        <v>298.00094739999997</v>
      </c>
      <c r="U526">
        <f t="shared" si="96"/>
        <v>310.00094739999997</v>
      </c>
      <c r="V526">
        <f t="shared" si="97"/>
        <v>106.68348708253976</v>
      </c>
      <c r="W526">
        <f t="shared" si="98"/>
        <v>-106.68159228253975</v>
      </c>
    </row>
    <row r="527" spans="1:23" ht="15" customHeight="1" x14ac:dyDescent="0.35">
      <c r="A527" t="str">
        <f>'Raw Data'!B525</f>
        <v>First Republic Bank</v>
      </c>
      <c r="B527" t="str">
        <f>'Raw Data'!A525</f>
        <v>frc</v>
      </c>
      <c r="C527" t="str">
        <f>IF('Raw Data'!E525="N/A","Unclassified",TRIM(SUBSTITUTE('Raw Data'!E525," and "," &amp; ")))</f>
        <v>Banking</v>
      </c>
      <c r="D527" s="17">
        <f>'Raw Data'!N525</f>
        <v>370</v>
      </c>
      <c r="E527" s="17">
        <f>'Raw Data'!O525</f>
        <v>331</v>
      </c>
      <c r="F527" s="17">
        <f>'Raw Data'!P525</f>
        <v>288</v>
      </c>
      <c r="G527" s="17">
        <f>'Raw Data'!Q525</f>
        <v>989</v>
      </c>
      <c r="H527" s="18">
        <f>INDEX('Industry Stats'!$F$2:$F$49,MATCH($C527,'Industry Stats'!$A$2:$A$49,0))</f>
        <v>898.31034482758616</v>
      </c>
      <c r="I527" s="19">
        <f t="shared" si="88"/>
        <v>90.689655172413836</v>
      </c>
      <c r="J527" s="20">
        <f t="shared" si="89"/>
        <v>0.10095581743503133</v>
      </c>
      <c r="K527" s="18">
        <f>INDEX('Industry Stats'!$C$2:$C$49,MATCH($C527,'Industry Stats'!$A$2:$A$49,0))</f>
        <v>341.48275862068965</v>
      </c>
      <c r="L527" s="19">
        <f t="shared" si="90"/>
        <v>28.517241379310349</v>
      </c>
      <c r="M527" s="18">
        <f>INDEX('Industry Stats'!$D$2:$D$49,MATCH($C527,'Industry Stats'!$A$2:$A$49,0))</f>
        <v>292.34482758620692</v>
      </c>
      <c r="N527" s="19">
        <f t="shared" si="91"/>
        <v>38.655172413793082</v>
      </c>
      <c r="O527" s="18">
        <f>INDEX('Industry Stats'!$E$2:$E$49,MATCH($C527,'Industry Stats'!$A$2:$A$49,0))</f>
        <v>264.48275862068965</v>
      </c>
      <c r="P527" s="19">
        <f t="shared" si="92"/>
        <v>23.517241379310349</v>
      </c>
      <c r="R527">
        <f t="shared" si="93"/>
        <v>989.00094730000001</v>
      </c>
      <c r="S527">
        <f t="shared" si="94"/>
        <v>370.00094730000001</v>
      </c>
      <c r="T527">
        <f t="shared" si="95"/>
        <v>331.00094730000001</v>
      </c>
      <c r="U527">
        <f t="shared" si="96"/>
        <v>288.00094730000001</v>
      </c>
      <c r="V527">
        <f t="shared" si="97"/>
        <v>90.690602472413843</v>
      </c>
      <c r="W527">
        <f t="shared" si="98"/>
        <v>-90.688707872413829</v>
      </c>
    </row>
    <row r="528" spans="1:23" ht="15" customHeight="1" x14ac:dyDescent="0.35">
      <c r="A528" t="str">
        <f>'Raw Data'!B526</f>
        <v>FMC Corp</v>
      </c>
      <c r="B528" t="str">
        <f>'Raw Data'!A526</f>
        <v>fmc</v>
      </c>
      <c r="C528" t="str">
        <f>IF('Raw Data'!E526="N/A","Unclassified",TRIM(SUBSTITUTE('Raw Data'!E526," and "," &amp; ")))</f>
        <v>Chemicals</v>
      </c>
      <c r="D528" s="17">
        <f>'Raw Data'!N526</f>
        <v>510</v>
      </c>
      <c r="E528" s="17">
        <f>'Raw Data'!O526</f>
        <v>307</v>
      </c>
      <c r="F528" s="17">
        <f>'Raw Data'!P526</f>
        <v>315</v>
      </c>
      <c r="G528" s="17">
        <f>'Raw Data'!Q526</f>
        <v>1132</v>
      </c>
      <c r="H528" s="18">
        <f>INDEX('Industry Stats'!$F$2:$F$49,MATCH($C528,'Industry Stats'!$A$2:$A$49,0))</f>
        <v>1058.8947368421052</v>
      </c>
      <c r="I528" s="19">
        <f t="shared" si="88"/>
        <v>73.105263157894797</v>
      </c>
      <c r="J528" s="20">
        <f t="shared" si="89"/>
        <v>6.9039216660867903E-2</v>
      </c>
      <c r="K528" s="18">
        <f>INDEX('Industry Stats'!$C$2:$C$49,MATCH($C528,'Industry Stats'!$A$2:$A$49,0))</f>
        <v>463.73684210526318</v>
      </c>
      <c r="L528" s="19">
        <f t="shared" si="90"/>
        <v>46.263157894736821</v>
      </c>
      <c r="M528" s="18">
        <f>INDEX('Industry Stats'!$D$2:$D$49,MATCH($C528,'Industry Stats'!$A$2:$A$49,0))</f>
        <v>304.36842105263156</v>
      </c>
      <c r="N528" s="19">
        <f t="shared" si="91"/>
        <v>2.631578947368439</v>
      </c>
      <c r="O528" s="18">
        <f>INDEX('Industry Stats'!$E$2:$E$49,MATCH($C528,'Industry Stats'!$A$2:$A$49,0))</f>
        <v>290.78947368421052</v>
      </c>
      <c r="P528" s="19">
        <f t="shared" si="92"/>
        <v>24.21052631578948</v>
      </c>
      <c r="R528">
        <f t="shared" si="93"/>
        <v>1132.0009471999999</v>
      </c>
      <c r="S528">
        <f t="shared" si="94"/>
        <v>510.00094719999998</v>
      </c>
      <c r="T528">
        <f t="shared" si="95"/>
        <v>307.00094719999998</v>
      </c>
      <c r="U528">
        <f t="shared" si="96"/>
        <v>315.00094719999998</v>
      </c>
      <c r="V528">
        <f t="shared" si="97"/>
        <v>73.106210357894795</v>
      </c>
      <c r="W528">
        <f t="shared" si="98"/>
        <v>-73.104315957894798</v>
      </c>
    </row>
    <row r="529" spans="1:23" ht="15" customHeight="1" x14ac:dyDescent="0.35">
      <c r="A529" t="str">
        <f>'Raw Data'!B527</f>
        <v>Federal Realty Investment Trust</v>
      </c>
      <c r="B529" t="str">
        <f>'Raw Data'!A527</f>
        <v>frt</v>
      </c>
      <c r="C529" t="str">
        <f>IF('Raw Data'!E527="N/A","Unclassified",TRIM(SUBSTITUTE('Raw Data'!E527," and "," &amp; ")))</f>
        <v>Real Estate</v>
      </c>
      <c r="D529" s="17">
        <f>'Raw Data'!N527</f>
        <v>525</v>
      </c>
      <c r="E529" s="17">
        <f>'Raw Data'!O527</f>
        <v>302</v>
      </c>
      <c r="F529" s="17">
        <f>'Raw Data'!P527</f>
        <v>300</v>
      </c>
      <c r="G529" s="17">
        <f>'Raw Data'!Q527</f>
        <v>1127</v>
      </c>
      <c r="H529" s="18">
        <f>INDEX('Industry Stats'!$F$2:$F$49,MATCH($C529,'Industry Stats'!$A$2:$A$49,0))</f>
        <v>995.94444444444446</v>
      </c>
      <c r="I529" s="19">
        <f t="shared" si="88"/>
        <v>131.05555555555554</v>
      </c>
      <c r="J529" s="20">
        <f t="shared" si="89"/>
        <v>0.13158922295978132</v>
      </c>
      <c r="K529" s="18">
        <f>INDEX('Industry Stats'!$C$2:$C$49,MATCH($C529,'Industry Stats'!$A$2:$A$49,0))</f>
        <v>431.38888888888891</v>
      </c>
      <c r="L529" s="19">
        <f t="shared" si="90"/>
        <v>93.611111111111086</v>
      </c>
      <c r="M529" s="18">
        <f>INDEX('Industry Stats'!$D$2:$D$49,MATCH($C529,'Industry Stats'!$A$2:$A$49,0))</f>
        <v>290.91666666666669</v>
      </c>
      <c r="N529" s="19">
        <f t="shared" si="91"/>
        <v>11.083333333333314</v>
      </c>
      <c r="O529" s="18">
        <f>INDEX('Industry Stats'!$E$2:$E$49,MATCH($C529,'Industry Stats'!$A$2:$A$49,0))</f>
        <v>273.63888888888891</v>
      </c>
      <c r="P529" s="19">
        <f t="shared" si="92"/>
        <v>26.361111111111086</v>
      </c>
      <c r="R529">
        <f t="shared" si="93"/>
        <v>1127.0009471000001</v>
      </c>
      <c r="S529">
        <f t="shared" si="94"/>
        <v>525.00094709999996</v>
      </c>
      <c r="T529">
        <f t="shared" si="95"/>
        <v>302.00094710000002</v>
      </c>
      <c r="U529">
        <f t="shared" si="96"/>
        <v>300.00094710000002</v>
      </c>
      <c r="V529">
        <f t="shared" si="97"/>
        <v>131.05650265555553</v>
      </c>
      <c r="W529">
        <f t="shared" si="98"/>
        <v>-131.05460845555555</v>
      </c>
    </row>
    <row r="530" spans="1:23" ht="15" customHeight="1" x14ac:dyDescent="0.35">
      <c r="A530" t="str">
        <f>'Raw Data'!B528</f>
        <v>Fortive Corp</v>
      </c>
      <c r="B530" t="str">
        <f>'Raw Data'!A528</f>
        <v>ftv</v>
      </c>
      <c r="C530" t="str">
        <f>IF('Raw Data'!E528="N/A","Unclassified",TRIM(SUBSTITUTE('Raw Data'!E528," and "," &amp; ")))</f>
        <v>Machinery</v>
      </c>
      <c r="D530" s="17">
        <f>'Raw Data'!N528</f>
        <v>540</v>
      </c>
      <c r="E530" s="17">
        <f>'Raw Data'!O528</f>
        <v>326</v>
      </c>
      <c r="F530" s="17">
        <f>'Raw Data'!P528</f>
        <v>305</v>
      </c>
      <c r="G530" s="17">
        <f>'Raw Data'!Q528</f>
        <v>1171</v>
      </c>
      <c r="H530" s="18">
        <f>INDEX('Industry Stats'!$F$2:$F$49,MATCH($C530,'Industry Stats'!$A$2:$A$49,0))</f>
        <v>1048.047619047619</v>
      </c>
      <c r="I530" s="19">
        <f t="shared" si="88"/>
        <v>122.95238095238096</v>
      </c>
      <c r="J530" s="20">
        <f t="shared" si="89"/>
        <v>0.11731564360034533</v>
      </c>
      <c r="K530" s="18">
        <f>INDEX('Industry Stats'!$C$2:$C$49,MATCH($C530,'Industry Stats'!$A$2:$A$49,0))</f>
        <v>459.57142857142856</v>
      </c>
      <c r="L530" s="19">
        <f t="shared" si="90"/>
        <v>80.428571428571445</v>
      </c>
      <c r="M530" s="18">
        <f>INDEX('Industry Stats'!$D$2:$D$49,MATCH($C530,'Industry Stats'!$A$2:$A$49,0))</f>
        <v>313.66666666666669</v>
      </c>
      <c r="N530" s="19">
        <f t="shared" si="91"/>
        <v>12.333333333333314</v>
      </c>
      <c r="O530" s="18">
        <f>INDEX('Industry Stats'!$E$2:$E$49,MATCH($C530,'Industry Stats'!$A$2:$A$49,0))</f>
        <v>274.8095238095238</v>
      </c>
      <c r="P530" s="19">
        <f t="shared" si="92"/>
        <v>30.190476190476204</v>
      </c>
      <c r="R530">
        <f t="shared" si="93"/>
        <v>1171.000947</v>
      </c>
      <c r="S530">
        <f t="shared" si="94"/>
        <v>540.000947</v>
      </c>
      <c r="T530">
        <f t="shared" si="95"/>
        <v>326.000947</v>
      </c>
      <c r="U530">
        <f t="shared" si="96"/>
        <v>305.000947</v>
      </c>
      <c r="V530">
        <f t="shared" si="97"/>
        <v>122.95332795238096</v>
      </c>
      <c r="W530">
        <f t="shared" si="98"/>
        <v>-122.95143395238097</v>
      </c>
    </row>
    <row r="531" spans="1:23" ht="15" customHeight="1" x14ac:dyDescent="0.35">
      <c r="A531" t="str">
        <f>'Raw Data'!B529</f>
        <v>Gap Inc</v>
      </c>
      <c r="B531" t="str">
        <f>'Raw Data'!A529</f>
        <v>gps</v>
      </c>
      <c r="C531" t="str">
        <f>IF('Raw Data'!E529="N/A","Unclassified",TRIM(SUBSTITUTE('Raw Data'!E529," and "," &amp; ")))</f>
        <v>Retail</v>
      </c>
      <c r="D531" s="17">
        <f>'Raw Data'!N529</f>
        <v>515</v>
      </c>
      <c r="E531" s="17">
        <f>'Raw Data'!O529</f>
        <v>349</v>
      </c>
      <c r="F531" s="17">
        <f>'Raw Data'!P529</f>
        <v>300</v>
      </c>
      <c r="G531" s="17">
        <f>'Raw Data'!Q529</f>
        <v>1164</v>
      </c>
      <c r="H531" s="18">
        <f>INDEX('Industry Stats'!$F$2:$F$49,MATCH($C531,'Industry Stats'!$A$2:$A$49,0))</f>
        <v>918.57692307692309</v>
      </c>
      <c r="I531" s="19">
        <f t="shared" si="88"/>
        <v>245.42307692307691</v>
      </c>
      <c r="J531" s="20">
        <f t="shared" si="89"/>
        <v>0.26717749026504206</v>
      </c>
      <c r="K531" s="18">
        <f>INDEX('Industry Stats'!$C$2:$C$49,MATCH($C531,'Industry Stats'!$A$2:$A$49,0))</f>
        <v>380.30769230769232</v>
      </c>
      <c r="L531" s="19">
        <f t="shared" si="90"/>
        <v>134.69230769230768</v>
      </c>
      <c r="M531" s="18">
        <f>INDEX('Industry Stats'!$D$2:$D$49,MATCH($C531,'Industry Stats'!$A$2:$A$49,0))</f>
        <v>274.96153846153845</v>
      </c>
      <c r="N531" s="19">
        <f t="shared" si="91"/>
        <v>74.038461538461547</v>
      </c>
      <c r="O531" s="18">
        <f>INDEX('Industry Stats'!$E$2:$E$49,MATCH($C531,'Industry Stats'!$A$2:$A$49,0))</f>
        <v>263.30769230769232</v>
      </c>
      <c r="P531" s="19">
        <f t="shared" si="92"/>
        <v>36.692307692307679</v>
      </c>
      <c r="R531">
        <f t="shared" si="93"/>
        <v>1164.0009468999999</v>
      </c>
      <c r="S531">
        <f t="shared" si="94"/>
        <v>515.00094690000003</v>
      </c>
      <c r="T531">
        <f t="shared" si="95"/>
        <v>349.00094689999997</v>
      </c>
      <c r="U531">
        <f t="shared" si="96"/>
        <v>300.00094689999997</v>
      </c>
      <c r="V531">
        <f t="shared" si="97"/>
        <v>245.42402382307691</v>
      </c>
      <c r="W531">
        <f t="shared" si="98"/>
        <v>-245.4221300230769</v>
      </c>
    </row>
    <row r="532" spans="1:23" ht="15" customHeight="1" x14ac:dyDescent="0.35">
      <c r="A532" t="str">
        <f>'Raw Data'!B530</f>
        <v>Garmin Ltd</v>
      </c>
      <c r="B532" t="str">
        <f>'Raw Data'!A530</f>
        <v>grmn</v>
      </c>
      <c r="C532" t="str">
        <f>IF('Raw Data'!E530="N/A","Unclassified",TRIM(SUBSTITUTE('Raw Data'!E530," and "," &amp; ")))</f>
        <v>Consumer products</v>
      </c>
      <c r="D532" s="17">
        <f>'Raw Data'!N530</f>
        <v>205</v>
      </c>
      <c r="E532" s="17">
        <f>'Raw Data'!O530</f>
        <v>242</v>
      </c>
      <c r="F532" s="17">
        <f>'Raw Data'!P530</f>
        <v>200</v>
      </c>
      <c r="G532" s="17">
        <f>'Raw Data'!Q530</f>
        <v>647</v>
      </c>
      <c r="H532" s="18">
        <f>INDEX('Industry Stats'!$F$2:$F$49,MATCH($C532,'Industry Stats'!$A$2:$A$49,0))</f>
        <v>945.55</v>
      </c>
      <c r="I532" s="19">
        <f t="shared" si="88"/>
        <v>-298.54999999999995</v>
      </c>
      <c r="J532" s="20">
        <f t="shared" si="89"/>
        <v>-0.31574216064724231</v>
      </c>
      <c r="K532" s="18">
        <f>INDEX('Industry Stats'!$C$2:$C$49,MATCH($C532,'Industry Stats'!$A$2:$A$49,0))</f>
        <v>384.9</v>
      </c>
      <c r="L532" s="19">
        <f t="shared" si="90"/>
        <v>-179.89999999999998</v>
      </c>
      <c r="M532" s="18">
        <f>INDEX('Industry Stats'!$D$2:$D$49,MATCH($C532,'Industry Stats'!$A$2:$A$49,0))</f>
        <v>285.7</v>
      </c>
      <c r="N532" s="19">
        <f t="shared" si="91"/>
        <v>-43.699999999999989</v>
      </c>
      <c r="O532" s="18">
        <f>INDEX('Industry Stats'!$E$2:$E$49,MATCH($C532,'Industry Stats'!$A$2:$A$49,0))</f>
        <v>274.95</v>
      </c>
      <c r="P532" s="19">
        <f t="shared" si="92"/>
        <v>-74.949999999999989</v>
      </c>
      <c r="R532">
        <f t="shared" si="93"/>
        <v>647.00094679999995</v>
      </c>
      <c r="S532">
        <f t="shared" si="94"/>
        <v>205.00094680000001</v>
      </c>
      <c r="T532">
        <f t="shared" si="95"/>
        <v>242.00094680000001</v>
      </c>
      <c r="U532">
        <f t="shared" si="96"/>
        <v>200.00094680000001</v>
      </c>
      <c r="V532">
        <f t="shared" si="97"/>
        <v>-298.54905319999995</v>
      </c>
      <c r="W532">
        <f t="shared" si="98"/>
        <v>298.55094679999996</v>
      </c>
    </row>
    <row r="533" spans="1:23" ht="15" customHeight="1" x14ac:dyDescent="0.35">
      <c r="A533" t="str">
        <f>'Raw Data'!B531</f>
        <v>Gartner Inc</v>
      </c>
      <c r="B533" t="str">
        <f>'Raw Data'!A531</f>
        <v>it</v>
      </c>
      <c r="C533" t="str">
        <f>IF('Raw Data'!E531="N/A","Unclassified",TRIM(SUBSTITUTE('Raw Data'!E531," and "," &amp; ")))</f>
        <v>Technology</v>
      </c>
      <c r="D533" s="17">
        <f>'Raw Data'!N531</f>
        <v>500</v>
      </c>
      <c r="E533" s="17">
        <f>'Raw Data'!O531</f>
        <v>316</v>
      </c>
      <c r="F533" s="17">
        <f>'Raw Data'!P531</f>
        <v>315</v>
      </c>
      <c r="G533" s="17">
        <f>'Raw Data'!Q531</f>
        <v>1131</v>
      </c>
      <c r="H533" s="18">
        <f>INDEX('Industry Stats'!$F$2:$F$49,MATCH($C533,'Industry Stats'!$A$2:$A$49,0))</f>
        <v>1031.3174603174602</v>
      </c>
      <c r="I533" s="19">
        <f t="shared" si="88"/>
        <v>99.682539682539755</v>
      </c>
      <c r="J533" s="20">
        <f t="shared" si="89"/>
        <v>9.6655533837132421E-2</v>
      </c>
      <c r="K533" s="18">
        <f>INDEX('Industry Stats'!$C$2:$C$49,MATCH($C533,'Industry Stats'!$A$2:$A$49,0))</f>
        <v>438.11111111111109</v>
      </c>
      <c r="L533" s="19">
        <f t="shared" si="90"/>
        <v>61.888888888888914</v>
      </c>
      <c r="M533" s="18">
        <f>INDEX('Industry Stats'!$D$2:$D$49,MATCH($C533,'Industry Stats'!$A$2:$A$49,0))</f>
        <v>307.90476190476193</v>
      </c>
      <c r="N533" s="19">
        <f t="shared" si="91"/>
        <v>8.0952380952380736</v>
      </c>
      <c r="O533" s="18">
        <f>INDEX('Industry Stats'!$E$2:$E$49,MATCH($C533,'Industry Stats'!$A$2:$A$49,0))</f>
        <v>285.30158730158729</v>
      </c>
      <c r="P533" s="19">
        <f t="shared" si="92"/>
        <v>29.69841269841271</v>
      </c>
      <c r="R533">
        <f t="shared" si="93"/>
        <v>1131.0009467</v>
      </c>
      <c r="S533">
        <f t="shared" si="94"/>
        <v>500.00094669999999</v>
      </c>
      <c r="T533">
        <f t="shared" si="95"/>
        <v>316.00094669999999</v>
      </c>
      <c r="U533">
        <f t="shared" si="96"/>
        <v>315.00094669999999</v>
      </c>
      <c r="V533">
        <f t="shared" si="97"/>
        <v>99.683486382539755</v>
      </c>
      <c r="W533">
        <f t="shared" si="98"/>
        <v>-99.681592982539755</v>
      </c>
    </row>
    <row r="534" spans="1:23" ht="15" customHeight="1" x14ac:dyDescent="0.35">
      <c r="A534" t="str">
        <f>'Raw Data'!B532</f>
        <v>Eli Lilly and Co</v>
      </c>
      <c r="B534" t="str">
        <f>'Raw Data'!A532</f>
        <v>lly</v>
      </c>
      <c r="C534" t="str">
        <f>IF('Raw Data'!E532="N/A","Unclassified",TRIM(SUBSTITUTE('Raw Data'!E532," and "," &amp; ")))</f>
        <v>Pharmaceuticals</v>
      </c>
      <c r="D534" s="17">
        <f>'Raw Data'!N532</f>
        <v>510</v>
      </c>
      <c r="E534" s="17">
        <f>'Raw Data'!O532</f>
        <v>360</v>
      </c>
      <c r="F534" s="17">
        <f>'Raw Data'!P532</f>
        <v>310</v>
      </c>
      <c r="G534" s="17">
        <f>'Raw Data'!Q532</f>
        <v>1180</v>
      </c>
      <c r="H534" s="18">
        <f>INDEX('Industry Stats'!$F$2:$F$49,MATCH($C534,'Industry Stats'!$A$2:$A$49,0))</f>
        <v>903.66666666666663</v>
      </c>
      <c r="I534" s="19">
        <f t="shared" si="88"/>
        <v>276.33333333333337</v>
      </c>
      <c r="J534" s="20">
        <f t="shared" si="89"/>
        <v>0.30579122095167838</v>
      </c>
      <c r="K534" s="18">
        <f>INDEX('Industry Stats'!$C$2:$C$49,MATCH($C534,'Industry Stats'!$A$2:$A$49,0))</f>
        <v>360.04761904761904</v>
      </c>
      <c r="L534" s="19">
        <f t="shared" si="90"/>
        <v>149.95238095238096</v>
      </c>
      <c r="M534" s="18">
        <f>INDEX('Industry Stats'!$D$2:$D$49,MATCH($C534,'Industry Stats'!$A$2:$A$49,0))</f>
        <v>269.66666666666669</v>
      </c>
      <c r="N534" s="19">
        <f t="shared" si="91"/>
        <v>90.333333333333314</v>
      </c>
      <c r="O534" s="18">
        <f>INDEX('Industry Stats'!$E$2:$E$49,MATCH($C534,'Industry Stats'!$A$2:$A$49,0))</f>
        <v>273.95238095238096</v>
      </c>
      <c r="P534" s="19">
        <f t="shared" si="92"/>
        <v>36.047619047619037</v>
      </c>
      <c r="R534">
        <f t="shared" si="93"/>
        <v>1180.0009465999999</v>
      </c>
      <c r="S534">
        <f t="shared" si="94"/>
        <v>510.00094660000002</v>
      </c>
      <c r="T534">
        <f t="shared" si="95"/>
        <v>360.00094660000002</v>
      </c>
      <c r="U534">
        <f t="shared" si="96"/>
        <v>310.00094660000002</v>
      </c>
      <c r="V534">
        <f t="shared" si="97"/>
        <v>276.33427993333339</v>
      </c>
      <c r="W534">
        <f t="shared" si="98"/>
        <v>-276.33238673333335</v>
      </c>
    </row>
    <row r="535" spans="1:23" ht="15" customHeight="1" x14ac:dyDescent="0.35">
      <c r="A535" t="str">
        <f>'Raw Data'!B533</f>
        <v>Everest Re Group Ltd</v>
      </c>
      <c r="B535" t="str">
        <f>'Raw Data'!A533</f>
        <v>re</v>
      </c>
      <c r="C535" t="str">
        <f>IF('Raw Data'!E533="N/A","Unclassified",TRIM(SUBSTITUTE('Raw Data'!E533," and "," &amp; ")))</f>
        <v>Insurance</v>
      </c>
      <c r="D535" s="17">
        <f>'Raw Data'!N533</f>
        <v>505</v>
      </c>
      <c r="E535" s="17">
        <f>'Raw Data'!O533</f>
        <v>276</v>
      </c>
      <c r="F535" s="17">
        <f>'Raw Data'!P533</f>
        <v>305</v>
      </c>
      <c r="G535" s="17">
        <f>'Raw Data'!Q533</f>
        <v>1086</v>
      </c>
      <c r="H535" s="18">
        <f>INDEX('Industry Stats'!$F$2:$F$49,MATCH($C535,'Industry Stats'!$A$2:$A$49,0))</f>
        <v>1012.3703703703703</v>
      </c>
      <c r="I535" s="19">
        <f t="shared" si="88"/>
        <v>73.629629629629676</v>
      </c>
      <c r="J535" s="20">
        <f t="shared" si="89"/>
        <v>7.2729933416258191E-2</v>
      </c>
      <c r="K535" s="18">
        <f>INDEX('Industry Stats'!$C$2:$C$49,MATCH($C535,'Industry Stats'!$A$2:$A$49,0))</f>
        <v>425.25925925925924</v>
      </c>
      <c r="L535" s="19">
        <f t="shared" si="90"/>
        <v>79.740740740740762</v>
      </c>
      <c r="M535" s="18">
        <f>INDEX('Industry Stats'!$D$2:$D$49,MATCH($C535,'Industry Stats'!$A$2:$A$49,0))</f>
        <v>295.66666666666669</v>
      </c>
      <c r="N535" s="19">
        <f t="shared" si="91"/>
        <v>-19.666666666666686</v>
      </c>
      <c r="O535" s="18">
        <f>INDEX('Industry Stats'!$E$2:$E$49,MATCH($C535,'Industry Stats'!$A$2:$A$49,0))</f>
        <v>291.44444444444446</v>
      </c>
      <c r="P535" s="19">
        <f t="shared" si="92"/>
        <v>13.555555555555543</v>
      </c>
      <c r="R535">
        <f t="shared" si="93"/>
        <v>1086.0009465000001</v>
      </c>
      <c r="S535">
        <f t="shared" si="94"/>
        <v>505.0009465</v>
      </c>
      <c r="T535">
        <f t="shared" si="95"/>
        <v>276.0009465</v>
      </c>
      <c r="U535">
        <f t="shared" si="96"/>
        <v>305.0009465</v>
      </c>
      <c r="V535">
        <f t="shared" si="97"/>
        <v>73.630576129629674</v>
      </c>
      <c r="W535">
        <f t="shared" si="98"/>
        <v>-73.628683129629678</v>
      </c>
    </row>
    <row r="536" spans="1:23" ht="15" customHeight="1" x14ac:dyDescent="0.35">
      <c r="A536" t="str">
        <f>'Raw Data'!B534</f>
        <v>Evergy Inc</v>
      </c>
      <c r="B536" t="str">
        <f>'Raw Data'!A534</f>
        <v>evrg</v>
      </c>
      <c r="C536" t="str">
        <f>IF('Raw Data'!E534="N/A","Unclassified",TRIM(SUBSTITUTE('Raw Data'!E534," and "," &amp; ")))</f>
        <v>Utilities</v>
      </c>
      <c r="D536" s="17">
        <f>'Raw Data'!N534</f>
        <v>555</v>
      </c>
      <c r="E536" s="17">
        <f>'Raw Data'!O534</f>
        <v>310</v>
      </c>
      <c r="F536" s="17">
        <f>'Raw Data'!P534</f>
        <v>300</v>
      </c>
      <c r="G536" s="17">
        <f>'Raw Data'!Q534</f>
        <v>1165</v>
      </c>
      <c r="H536" s="18">
        <f>INDEX('Industry Stats'!$F$2:$F$49,MATCH($C536,'Industry Stats'!$A$2:$A$49,0))</f>
        <v>1190.6333333333334</v>
      </c>
      <c r="I536" s="19">
        <f t="shared" si="88"/>
        <v>-25.633333333333439</v>
      </c>
      <c r="J536" s="20">
        <f t="shared" si="89"/>
        <v>-2.1529158151124137E-2</v>
      </c>
      <c r="K536" s="18">
        <f>INDEX('Industry Stats'!$C$2:$C$49,MATCH($C536,'Industry Stats'!$A$2:$A$49,0))</f>
        <v>550.9666666666667</v>
      </c>
      <c r="L536" s="19">
        <f t="shared" si="90"/>
        <v>4.033333333333303</v>
      </c>
      <c r="M536" s="18">
        <f>INDEX('Industry Stats'!$D$2:$D$49,MATCH($C536,'Industry Stats'!$A$2:$A$49,0))</f>
        <v>357.4</v>
      </c>
      <c r="N536" s="19">
        <f t="shared" si="91"/>
        <v>-47.399999999999977</v>
      </c>
      <c r="O536" s="18">
        <f>INDEX('Industry Stats'!$E$2:$E$49,MATCH($C536,'Industry Stats'!$A$2:$A$49,0))</f>
        <v>282.26666666666665</v>
      </c>
      <c r="P536" s="19">
        <f t="shared" si="92"/>
        <v>17.733333333333348</v>
      </c>
      <c r="R536">
        <f t="shared" si="93"/>
        <v>1165.0009464</v>
      </c>
      <c r="S536">
        <f t="shared" si="94"/>
        <v>555.00094639999998</v>
      </c>
      <c r="T536">
        <f t="shared" si="95"/>
        <v>310.00094639999998</v>
      </c>
      <c r="U536">
        <f t="shared" si="96"/>
        <v>300.00094639999998</v>
      </c>
      <c r="V536">
        <f t="shared" si="97"/>
        <v>-25.632386933333439</v>
      </c>
      <c r="W536">
        <f t="shared" si="98"/>
        <v>25.63427973333344</v>
      </c>
    </row>
    <row r="537" spans="1:23" ht="15" customHeight="1" x14ac:dyDescent="0.35">
      <c r="A537" t="str">
        <f>'Raw Data'!B535</f>
        <v>Fortune Brands Home &amp; Security Inc</v>
      </c>
      <c r="B537" t="str">
        <f>'Raw Data'!A535</f>
        <v>fbhs</v>
      </c>
      <c r="C537" t="str">
        <f>IF('Raw Data'!E535="N/A","Unclassified",TRIM(SUBSTITUTE('Raw Data'!E535," and "," &amp; ")))</f>
        <v>Building</v>
      </c>
      <c r="D537" s="17">
        <f>'Raw Data'!N535</f>
        <v>510</v>
      </c>
      <c r="E537" s="17">
        <f>'Raw Data'!O535</f>
        <v>302</v>
      </c>
      <c r="F537" s="17">
        <f>'Raw Data'!P535</f>
        <v>300</v>
      </c>
      <c r="G537" s="17">
        <f>'Raw Data'!Q535</f>
        <v>1112</v>
      </c>
      <c r="H537" s="18">
        <f>INDEX('Industry Stats'!$F$2:$F$49,MATCH($C537,'Industry Stats'!$A$2:$A$49,0))</f>
        <v>1074.2</v>
      </c>
      <c r="I537" s="19">
        <f t="shared" si="88"/>
        <v>37.799999999999955</v>
      </c>
      <c r="J537" s="20">
        <f t="shared" si="89"/>
        <v>3.5188977843976871E-2</v>
      </c>
      <c r="K537" s="18">
        <f>INDEX('Industry Stats'!$C$2:$C$49,MATCH($C537,'Industry Stats'!$A$2:$A$49,0))</f>
        <v>476.7</v>
      </c>
      <c r="L537" s="19">
        <f t="shared" si="90"/>
        <v>33.300000000000011</v>
      </c>
      <c r="M537" s="18">
        <f>INDEX('Industry Stats'!$D$2:$D$49,MATCH($C537,'Industry Stats'!$A$2:$A$49,0))</f>
        <v>305.10000000000002</v>
      </c>
      <c r="N537" s="19">
        <f t="shared" si="91"/>
        <v>-3.1000000000000227</v>
      </c>
      <c r="O537" s="18">
        <f>INDEX('Industry Stats'!$E$2:$E$49,MATCH($C537,'Industry Stats'!$A$2:$A$49,0))</f>
        <v>292.39999999999998</v>
      </c>
      <c r="P537" s="19">
        <f t="shared" si="92"/>
        <v>7.6000000000000227</v>
      </c>
      <c r="R537">
        <f t="shared" si="93"/>
        <v>1112.0009462999999</v>
      </c>
      <c r="S537">
        <f t="shared" si="94"/>
        <v>510.00094630000001</v>
      </c>
      <c r="T537">
        <f t="shared" si="95"/>
        <v>302.00094630000001</v>
      </c>
      <c r="U537">
        <f t="shared" si="96"/>
        <v>300.00094630000001</v>
      </c>
      <c r="V537">
        <f t="shared" si="97"/>
        <v>37.800946299999957</v>
      </c>
      <c r="W537">
        <f t="shared" si="98"/>
        <v>-37.799053699999952</v>
      </c>
    </row>
    <row r="538" spans="1:23" ht="15" customHeight="1" x14ac:dyDescent="0.35">
      <c r="A538" t="str">
        <f>'Raw Data'!B536</f>
        <v>Gilead Sciences Inc</v>
      </c>
      <c r="B538" t="str">
        <f>'Raw Data'!A536</f>
        <v>gild</v>
      </c>
      <c r="C538" t="str">
        <f>IF('Raw Data'!E536="N/A","Unclassified",TRIM(SUBSTITUTE('Raw Data'!E536," and "," &amp; ")))</f>
        <v>Biotechnology</v>
      </c>
      <c r="D538" s="17">
        <f>'Raw Data'!N536</f>
        <v>500</v>
      </c>
      <c r="E538" s="17">
        <f>'Raw Data'!O536</f>
        <v>303</v>
      </c>
      <c r="F538" s="17">
        <f>'Raw Data'!P536</f>
        <v>300</v>
      </c>
      <c r="G538" s="17">
        <f>'Raw Data'!Q536</f>
        <v>1103</v>
      </c>
      <c r="H538" s="18">
        <f>INDEX('Industry Stats'!$F$2:$F$49,MATCH($C538,'Industry Stats'!$A$2:$A$49,0))</f>
        <v>866.91071428571433</v>
      </c>
      <c r="I538" s="19">
        <f t="shared" si="88"/>
        <v>236.08928571428567</v>
      </c>
      <c r="J538" s="20">
        <f t="shared" si="89"/>
        <v>0.27233402681937086</v>
      </c>
      <c r="K538" s="18">
        <f>INDEX('Industry Stats'!$C$2:$C$49,MATCH($C538,'Industry Stats'!$A$2:$A$49,0))</f>
        <v>306.53571428571428</v>
      </c>
      <c r="L538" s="19">
        <f t="shared" si="90"/>
        <v>193.46428571428572</v>
      </c>
      <c r="M538" s="18">
        <f>INDEX('Industry Stats'!$D$2:$D$49,MATCH($C538,'Industry Stats'!$A$2:$A$49,0))</f>
        <v>268.85714285714283</v>
      </c>
      <c r="N538" s="19">
        <f t="shared" si="91"/>
        <v>34.142857142857167</v>
      </c>
      <c r="O538" s="18">
        <f>INDEX('Industry Stats'!$E$2:$E$49,MATCH($C538,'Industry Stats'!$A$2:$A$49,0))</f>
        <v>291.51785714285717</v>
      </c>
      <c r="P538" s="19">
        <f t="shared" si="92"/>
        <v>8.4821428571428328</v>
      </c>
      <c r="R538">
        <f t="shared" si="93"/>
        <v>1103.0009462</v>
      </c>
      <c r="S538">
        <f t="shared" si="94"/>
        <v>500.00094619999999</v>
      </c>
      <c r="T538">
        <f t="shared" si="95"/>
        <v>303.00094619999999</v>
      </c>
      <c r="U538">
        <f t="shared" si="96"/>
        <v>300.00094619999999</v>
      </c>
      <c r="V538">
        <f t="shared" si="97"/>
        <v>236.09023191428565</v>
      </c>
      <c r="W538">
        <f t="shared" si="98"/>
        <v>-236.08833951428568</v>
      </c>
    </row>
    <row r="539" spans="1:23" ht="15" customHeight="1" x14ac:dyDescent="0.35">
      <c r="A539" t="str">
        <f>'Raw Data'!B537</f>
        <v>Hologic Inc</v>
      </c>
      <c r="B539" t="str">
        <f>'Raw Data'!A537</f>
        <v>holx</v>
      </c>
      <c r="C539" t="str">
        <f>IF('Raw Data'!E537="N/A","Unclassified",TRIM(SUBSTITUTE('Raw Data'!E537," and "," &amp; ")))</f>
        <v>Health Care</v>
      </c>
      <c r="D539" s="17">
        <f>'Raw Data'!N537</f>
        <v>515</v>
      </c>
      <c r="E539" s="17">
        <f>'Raw Data'!O537</f>
        <v>324</v>
      </c>
      <c r="F539" s="17">
        <f>'Raw Data'!P537</f>
        <v>315</v>
      </c>
      <c r="G539" s="17">
        <f>'Raw Data'!Q537</f>
        <v>1154</v>
      </c>
      <c r="H539" s="18">
        <f>INDEX('Industry Stats'!$F$2:$F$49,MATCH($C539,'Industry Stats'!$A$2:$A$49,0))</f>
        <v>938.76470588235293</v>
      </c>
      <c r="I539" s="19">
        <f t="shared" si="88"/>
        <v>215.23529411764707</v>
      </c>
      <c r="J539" s="20">
        <f t="shared" si="89"/>
        <v>0.22927501723165614</v>
      </c>
      <c r="K539" s="18">
        <f>INDEX('Industry Stats'!$C$2:$C$49,MATCH($C539,'Industry Stats'!$A$2:$A$49,0))</f>
        <v>374.52941176470586</v>
      </c>
      <c r="L539" s="19">
        <f t="shared" si="90"/>
        <v>140.47058823529414</v>
      </c>
      <c r="M539" s="18">
        <f>INDEX('Industry Stats'!$D$2:$D$49,MATCH($C539,'Industry Stats'!$A$2:$A$49,0))</f>
        <v>287.43137254901961</v>
      </c>
      <c r="N539" s="19">
        <f t="shared" si="91"/>
        <v>36.568627450980387</v>
      </c>
      <c r="O539" s="18">
        <f>INDEX('Industry Stats'!$E$2:$E$49,MATCH($C539,'Industry Stats'!$A$2:$A$49,0))</f>
        <v>276.80392156862746</v>
      </c>
      <c r="P539" s="19">
        <f t="shared" si="92"/>
        <v>38.196078431372541</v>
      </c>
      <c r="R539">
        <f t="shared" si="93"/>
        <v>1154.0009461</v>
      </c>
      <c r="S539">
        <f t="shared" si="94"/>
        <v>515.00094609999996</v>
      </c>
      <c r="T539">
        <f t="shared" si="95"/>
        <v>324.00094610000002</v>
      </c>
      <c r="U539">
        <f t="shared" si="96"/>
        <v>315.00094610000002</v>
      </c>
      <c r="V539">
        <f t="shared" si="97"/>
        <v>215.23624021764707</v>
      </c>
      <c r="W539">
        <f t="shared" si="98"/>
        <v>-215.23434801764708</v>
      </c>
    </row>
    <row r="540" spans="1:23" ht="15" customHeight="1" x14ac:dyDescent="0.35">
      <c r="A540" t="str">
        <f>'Raw Data'!B538</f>
        <v>Henry Schein Inc</v>
      </c>
      <c r="B540" t="str">
        <f>'Raw Data'!A538</f>
        <v>hsic</v>
      </c>
      <c r="C540" t="str">
        <f>IF('Raw Data'!E538="N/A","Unclassified",TRIM(SUBSTITUTE('Raw Data'!E538," and "," &amp; ")))</f>
        <v>Health Care</v>
      </c>
      <c r="D540" s="17">
        <f>'Raw Data'!N538</f>
        <v>210</v>
      </c>
      <c r="E540" s="17">
        <f>'Raw Data'!O538</f>
        <v>205</v>
      </c>
      <c r="F540" s="17">
        <f>'Raw Data'!P538</f>
        <v>200</v>
      </c>
      <c r="G540" s="17">
        <f>'Raw Data'!Q538</f>
        <v>615</v>
      </c>
      <c r="H540" s="18">
        <f>INDEX('Industry Stats'!$F$2:$F$49,MATCH($C540,'Industry Stats'!$A$2:$A$49,0))</f>
        <v>938.76470588235293</v>
      </c>
      <c r="I540" s="19">
        <f t="shared" si="88"/>
        <v>-323.76470588235293</v>
      </c>
      <c r="J540" s="20">
        <f t="shared" si="89"/>
        <v>-0.34488376464690768</v>
      </c>
      <c r="K540" s="18">
        <f>INDEX('Industry Stats'!$C$2:$C$49,MATCH($C540,'Industry Stats'!$A$2:$A$49,0))</f>
        <v>374.52941176470586</v>
      </c>
      <c r="L540" s="19">
        <f t="shared" si="90"/>
        <v>-164.52941176470586</v>
      </c>
      <c r="M540" s="18">
        <f>INDEX('Industry Stats'!$D$2:$D$49,MATCH($C540,'Industry Stats'!$A$2:$A$49,0))</f>
        <v>287.43137254901961</v>
      </c>
      <c r="N540" s="19">
        <f t="shared" si="91"/>
        <v>-82.431372549019613</v>
      </c>
      <c r="O540" s="18">
        <f>INDEX('Industry Stats'!$E$2:$E$49,MATCH($C540,'Industry Stats'!$A$2:$A$49,0))</f>
        <v>276.80392156862746</v>
      </c>
      <c r="P540" s="19">
        <f t="shared" si="92"/>
        <v>-76.803921568627459</v>
      </c>
      <c r="R540">
        <f t="shared" si="93"/>
        <v>615.000946</v>
      </c>
      <c r="S540">
        <f t="shared" si="94"/>
        <v>210.000946</v>
      </c>
      <c r="T540">
        <f t="shared" si="95"/>
        <v>205.000946</v>
      </c>
      <c r="U540">
        <f t="shared" si="96"/>
        <v>200.000946</v>
      </c>
      <c r="V540">
        <f t="shared" si="97"/>
        <v>-323.76375988235293</v>
      </c>
      <c r="W540">
        <f t="shared" si="98"/>
        <v>323.76565188235293</v>
      </c>
    </row>
    <row r="541" spans="1:23" ht="15" customHeight="1" x14ac:dyDescent="0.35">
      <c r="A541" t="str">
        <f>'Raw Data'!B539</f>
        <v>Honeywell International Inc</v>
      </c>
      <c r="B541" t="str">
        <f>'Raw Data'!A539</f>
        <v>hon</v>
      </c>
      <c r="C541" t="str">
        <f>IF('Raw Data'!E539="N/A","Unclassified",TRIM(SUBSTITUTE('Raw Data'!E539," and "," &amp; ")))</f>
        <v>Industrial Conglomerates</v>
      </c>
      <c r="D541" s="17">
        <f>'Raw Data'!N539</f>
        <v>545</v>
      </c>
      <c r="E541" s="17">
        <f>'Raw Data'!O539</f>
        <v>344</v>
      </c>
      <c r="F541" s="17">
        <f>'Raw Data'!P539</f>
        <v>308</v>
      </c>
      <c r="G541" s="17">
        <f>'Raw Data'!Q539</f>
        <v>1197</v>
      </c>
      <c r="H541" s="18">
        <f>INDEX('Industry Stats'!$F$2:$F$49,MATCH($C541,'Industry Stats'!$A$2:$A$49,0))</f>
        <v>1157</v>
      </c>
      <c r="I541" s="19">
        <f t="shared" si="88"/>
        <v>40</v>
      </c>
      <c r="J541" s="20">
        <f t="shared" si="89"/>
        <v>3.4572169403630081E-2</v>
      </c>
      <c r="K541" s="18">
        <f>INDEX('Industry Stats'!$C$2:$C$49,MATCH($C541,'Industry Stats'!$A$2:$A$49,0))</f>
        <v>534.66666666666663</v>
      </c>
      <c r="L541" s="19">
        <f t="shared" si="90"/>
        <v>10.333333333333371</v>
      </c>
      <c r="M541" s="18">
        <f>INDEX('Industry Stats'!$D$2:$D$49,MATCH($C541,'Industry Stats'!$A$2:$A$49,0))</f>
        <v>318</v>
      </c>
      <c r="N541" s="19">
        <f t="shared" si="91"/>
        <v>26</v>
      </c>
      <c r="O541" s="18">
        <f>INDEX('Industry Stats'!$E$2:$E$49,MATCH($C541,'Industry Stats'!$A$2:$A$49,0))</f>
        <v>304.33333333333331</v>
      </c>
      <c r="P541" s="19">
        <f t="shared" si="92"/>
        <v>3.6666666666666856</v>
      </c>
      <c r="R541">
        <f t="shared" si="93"/>
        <v>1197.0009459</v>
      </c>
      <c r="S541">
        <f t="shared" si="94"/>
        <v>545.00094590000003</v>
      </c>
      <c r="T541">
        <f t="shared" si="95"/>
        <v>344.00094589999998</v>
      </c>
      <c r="U541">
        <f t="shared" si="96"/>
        <v>308.00094589999998</v>
      </c>
      <c r="V541">
        <f t="shared" si="97"/>
        <v>40.000945899999998</v>
      </c>
      <c r="W541">
        <f t="shared" si="98"/>
        <v>-39.999054100000002</v>
      </c>
    </row>
    <row r="542" spans="1:23" ht="15" customHeight="1" x14ac:dyDescent="0.35">
      <c r="A542" t="str">
        <f>'Raw Data'!B540</f>
        <v>Host Hotels &amp; Resorts Inc</v>
      </c>
      <c r="B542" t="str">
        <f>'Raw Data'!A540</f>
        <v>hst</v>
      </c>
      <c r="C542" t="str">
        <f>IF('Raw Data'!E540="N/A","Unclassified",TRIM(SUBSTITUTE('Raw Data'!E540," and "," &amp; ")))</f>
        <v>Real Estate</v>
      </c>
      <c r="D542" s="17">
        <f>'Raw Data'!N540</f>
        <v>510</v>
      </c>
      <c r="E542" s="17">
        <f>'Raw Data'!O540</f>
        <v>318</v>
      </c>
      <c r="F542" s="17">
        <f>'Raw Data'!P540</f>
        <v>318</v>
      </c>
      <c r="G542" s="17">
        <f>'Raw Data'!Q540</f>
        <v>1146</v>
      </c>
      <c r="H542" s="18">
        <f>INDEX('Industry Stats'!$F$2:$F$49,MATCH($C542,'Industry Stats'!$A$2:$A$49,0))</f>
        <v>995.94444444444446</v>
      </c>
      <c r="I542" s="19">
        <f t="shared" si="88"/>
        <v>150.05555555555554</v>
      </c>
      <c r="J542" s="20">
        <f t="shared" si="89"/>
        <v>0.15066659229095775</v>
      </c>
      <c r="K542" s="18">
        <f>INDEX('Industry Stats'!$C$2:$C$49,MATCH($C542,'Industry Stats'!$A$2:$A$49,0))</f>
        <v>431.38888888888891</v>
      </c>
      <c r="L542" s="19">
        <f t="shared" si="90"/>
        <v>78.611111111111086</v>
      </c>
      <c r="M542" s="18">
        <f>INDEX('Industry Stats'!$D$2:$D$49,MATCH($C542,'Industry Stats'!$A$2:$A$49,0))</f>
        <v>290.91666666666669</v>
      </c>
      <c r="N542" s="19">
        <f t="shared" si="91"/>
        <v>27.083333333333314</v>
      </c>
      <c r="O542" s="18">
        <f>INDEX('Industry Stats'!$E$2:$E$49,MATCH($C542,'Industry Stats'!$A$2:$A$49,0))</f>
        <v>273.63888888888891</v>
      </c>
      <c r="P542" s="19">
        <f t="shared" si="92"/>
        <v>44.361111111111086</v>
      </c>
      <c r="R542">
        <f t="shared" si="93"/>
        <v>1146.0009458</v>
      </c>
      <c r="S542">
        <f t="shared" si="94"/>
        <v>510.00094580000001</v>
      </c>
      <c r="T542">
        <f t="shared" si="95"/>
        <v>318.00094580000001</v>
      </c>
      <c r="U542">
        <f t="shared" si="96"/>
        <v>318.00094580000001</v>
      </c>
      <c r="V542">
        <f t="shared" si="97"/>
        <v>150.05650135555555</v>
      </c>
      <c r="W542">
        <f t="shared" si="98"/>
        <v>-150.05460975555553</v>
      </c>
    </row>
    <row r="543" spans="1:23" ht="15" customHeight="1" x14ac:dyDescent="0.35">
      <c r="A543" t="str">
        <f>'Raw Data'!B541</f>
        <v>General Dynamics Corp</v>
      </c>
      <c r="B543" t="str">
        <f>'Raw Data'!A541</f>
        <v>gd</v>
      </c>
      <c r="C543" t="str">
        <f>IF('Raw Data'!E541="N/A","Unclassified",TRIM(SUBSTITUTE('Raw Data'!E541," and "," &amp; ")))</f>
        <v>Aerospace &amp; Defense</v>
      </c>
      <c r="D543" s="17">
        <f>'Raw Data'!N541</f>
        <v>510</v>
      </c>
      <c r="E543" s="17">
        <f>'Raw Data'!O541</f>
        <v>310</v>
      </c>
      <c r="F543" s="17">
        <f>'Raw Data'!P541</f>
        <v>300</v>
      </c>
      <c r="G543" s="17">
        <f>'Raw Data'!Q541</f>
        <v>1120</v>
      </c>
      <c r="H543" s="18">
        <f>INDEX('Industry Stats'!$F$2:$F$49,MATCH($C543,'Industry Stats'!$A$2:$A$49,0))</f>
        <v>1048.1818181818182</v>
      </c>
      <c r="I543" s="19">
        <f t="shared" si="88"/>
        <v>71.818181818181756</v>
      </c>
      <c r="J543" s="20">
        <f t="shared" si="89"/>
        <v>6.8516912402428382E-2</v>
      </c>
      <c r="K543" s="18">
        <f>INDEX('Industry Stats'!$C$2:$C$49,MATCH($C543,'Industry Stats'!$A$2:$A$49,0))</f>
        <v>461.36363636363637</v>
      </c>
      <c r="L543" s="19">
        <f t="shared" si="90"/>
        <v>48.636363636363626</v>
      </c>
      <c r="M543" s="18">
        <f>INDEX('Industry Stats'!$D$2:$D$49,MATCH($C543,'Industry Stats'!$A$2:$A$49,0))</f>
        <v>296.36363636363637</v>
      </c>
      <c r="N543" s="19">
        <f t="shared" si="91"/>
        <v>13.636363636363626</v>
      </c>
      <c r="O543" s="18">
        <f>INDEX('Industry Stats'!$E$2:$E$49,MATCH($C543,'Industry Stats'!$A$2:$A$49,0))</f>
        <v>290.45454545454544</v>
      </c>
      <c r="P543" s="19">
        <f t="shared" si="92"/>
        <v>9.545454545454561</v>
      </c>
      <c r="R543">
        <f t="shared" si="93"/>
        <v>1120.0009457000001</v>
      </c>
      <c r="S543">
        <f t="shared" si="94"/>
        <v>510.00094569999999</v>
      </c>
      <c r="T543">
        <f t="shared" si="95"/>
        <v>310.00094569999999</v>
      </c>
      <c r="U543">
        <f t="shared" si="96"/>
        <v>300.00094569999999</v>
      </c>
      <c r="V543">
        <f t="shared" si="97"/>
        <v>71.819127518181759</v>
      </c>
      <c r="W543">
        <f t="shared" si="98"/>
        <v>-71.817236118181754</v>
      </c>
    </row>
    <row r="544" spans="1:23" ht="15" customHeight="1" x14ac:dyDescent="0.35">
      <c r="A544" t="str">
        <f>'Raw Data'!B542</f>
        <v>Hasbro Inc</v>
      </c>
      <c r="B544" t="str">
        <f>'Raw Data'!A542</f>
        <v>has</v>
      </c>
      <c r="C544" t="str">
        <f>IF('Raw Data'!E542="N/A","Unclassified",TRIM(SUBSTITUTE('Raw Data'!E542," and "," &amp; ")))</f>
        <v>Leisure Products</v>
      </c>
      <c r="D544" s="17">
        <f>'Raw Data'!N542</f>
        <v>255</v>
      </c>
      <c r="E544" s="17">
        <f>'Raw Data'!O542</f>
        <v>301</v>
      </c>
      <c r="F544" s="17">
        <f>'Raw Data'!P542</f>
        <v>300</v>
      </c>
      <c r="G544" s="17">
        <f>'Raw Data'!Q542</f>
        <v>856</v>
      </c>
      <c r="H544" s="18">
        <f>INDEX('Industry Stats'!$F$2:$F$49,MATCH($C544,'Industry Stats'!$A$2:$A$49,0))</f>
        <v>780</v>
      </c>
      <c r="I544" s="19">
        <f t="shared" si="88"/>
        <v>76</v>
      </c>
      <c r="J544" s="20">
        <f t="shared" si="89"/>
        <v>9.7435897435897437E-2</v>
      </c>
      <c r="K544" s="18">
        <f>INDEX('Industry Stats'!$C$2:$C$49,MATCH($C544,'Industry Stats'!$A$2:$A$49,0))</f>
        <v>252.33333333333334</v>
      </c>
      <c r="L544" s="19">
        <f t="shared" si="90"/>
        <v>2.6666666666666572</v>
      </c>
      <c r="M544" s="18">
        <f>INDEX('Industry Stats'!$D$2:$D$49,MATCH($C544,'Industry Stats'!$A$2:$A$49,0))</f>
        <v>259.33333333333331</v>
      </c>
      <c r="N544" s="19">
        <f t="shared" si="91"/>
        <v>41.666666666666686</v>
      </c>
      <c r="O544" s="18">
        <f>INDEX('Industry Stats'!$E$2:$E$49,MATCH($C544,'Industry Stats'!$A$2:$A$49,0))</f>
        <v>268.33333333333331</v>
      </c>
      <c r="P544" s="19">
        <f t="shared" si="92"/>
        <v>31.666666666666686</v>
      </c>
      <c r="R544">
        <f t="shared" si="93"/>
        <v>856.00094560000002</v>
      </c>
      <c r="S544">
        <f t="shared" si="94"/>
        <v>255.00094559999999</v>
      </c>
      <c r="T544">
        <f t="shared" si="95"/>
        <v>301.00094560000002</v>
      </c>
      <c r="U544">
        <f t="shared" si="96"/>
        <v>300.00094560000002</v>
      </c>
      <c r="V544">
        <f t="shared" si="97"/>
        <v>76.000945599999994</v>
      </c>
      <c r="W544">
        <f t="shared" si="98"/>
        <v>-75.999054400000006</v>
      </c>
    </row>
    <row r="545" spans="1:23" ht="15" customHeight="1" x14ac:dyDescent="0.35">
      <c r="A545" t="str">
        <f>'Raw Data'!B543</f>
        <v>Huntington Bancshares Inc</v>
      </c>
      <c r="B545" t="str">
        <f>'Raw Data'!A543</f>
        <v>hban</v>
      </c>
      <c r="C545" t="str">
        <f>IF('Raw Data'!E543="N/A","Unclassified",TRIM(SUBSTITUTE('Raw Data'!E543," and "," &amp; ")))</f>
        <v>Banking</v>
      </c>
      <c r="D545" s="17">
        <f>'Raw Data'!N543</f>
        <v>308</v>
      </c>
      <c r="E545" s="17">
        <f>'Raw Data'!O543</f>
        <v>300</v>
      </c>
      <c r="F545" s="17">
        <f>'Raw Data'!P543</f>
        <v>300</v>
      </c>
      <c r="G545" s="17">
        <f>'Raw Data'!Q543</f>
        <v>908</v>
      </c>
      <c r="H545" s="18">
        <f>INDEX('Industry Stats'!$F$2:$F$49,MATCH($C545,'Industry Stats'!$A$2:$A$49,0))</f>
        <v>898.31034482758616</v>
      </c>
      <c r="I545" s="19">
        <f t="shared" si="88"/>
        <v>9.6896551724138362</v>
      </c>
      <c r="J545" s="20">
        <f t="shared" si="89"/>
        <v>1.0786534106176394E-2</v>
      </c>
      <c r="K545" s="18">
        <f>INDEX('Industry Stats'!$C$2:$C$49,MATCH($C545,'Industry Stats'!$A$2:$A$49,0))</f>
        <v>341.48275862068965</v>
      </c>
      <c r="L545" s="19">
        <f t="shared" si="90"/>
        <v>-33.482758620689651</v>
      </c>
      <c r="M545" s="18">
        <f>INDEX('Industry Stats'!$D$2:$D$49,MATCH($C545,'Industry Stats'!$A$2:$A$49,0))</f>
        <v>292.34482758620692</v>
      </c>
      <c r="N545" s="19">
        <f t="shared" si="91"/>
        <v>7.6551724137930819</v>
      </c>
      <c r="O545" s="18">
        <f>INDEX('Industry Stats'!$E$2:$E$49,MATCH($C545,'Industry Stats'!$A$2:$A$49,0))</f>
        <v>264.48275862068965</v>
      </c>
      <c r="P545" s="19">
        <f t="shared" si="92"/>
        <v>35.517241379310349</v>
      </c>
      <c r="R545">
        <f t="shared" si="93"/>
        <v>908.00094549999994</v>
      </c>
      <c r="S545">
        <f t="shared" si="94"/>
        <v>308.0009455</v>
      </c>
      <c r="T545">
        <f t="shared" si="95"/>
        <v>300.0009455</v>
      </c>
      <c r="U545">
        <f t="shared" si="96"/>
        <v>300.0009455</v>
      </c>
      <c r="V545">
        <f t="shared" si="97"/>
        <v>9.6906006724138365</v>
      </c>
      <c r="W545">
        <f t="shared" si="98"/>
        <v>-9.688709672413836</v>
      </c>
    </row>
    <row r="546" spans="1:23" ht="15" customHeight="1" x14ac:dyDescent="0.35">
      <c r="A546" t="str">
        <f>'Raw Data'!B544</f>
        <v>Globe Life Inc</v>
      </c>
      <c r="B546" t="str">
        <f>'Raw Data'!A544</f>
        <v>gl</v>
      </c>
      <c r="C546" t="str">
        <f>IF('Raw Data'!E544="N/A","Unclassified",TRIM(SUBSTITUTE('Raw Data'!E544," and "," &amp; ")))</f>
        <v>Insurance</v>
      </c>
      <c r="D546" s="17">
        <f>'Raw Data'!N544</f>
        <v>215</v>
      </c>
      <c r="E546" s="17">
        <f>'Raw Data'!O544</f>
        <v>238</v>
      </c>
      <c r="F546" s="17">
        <f>'Raw Data'!P544</f>
        <v>215</v>
      </c>
      <c r="G546" s="17">
        <f>'Raw Data'!Q544</f>
        <v>668</v>
      </c>
      <c r="H546" s="18">
        <f>INDEX('Industry Stats'!$F$2:$F$49,MATCH($C546,'Industry Stats'!$A$2:$A$49,0))</f>
        <v>1012.3703703703703</v>
      </c>
      <c r="I546" s="19">
        <f t="shared" si="88"/>
        <v>-344.37037037037032</v>
      </c>
      <c r="J546" s="20">
        <f t="shared" si="89"/>
        <v>-0.34016243506255944</v>
      </c>
      <c r="K546" s="18">
        <f>INDEX('Industry Stats'!$C$2:$C$49,MATCH($C546,'Industry Stats'!$A$2:$A$49,0))</f>
        <v>425.25925925925924</v>
      </c>
      <c r="L546" s="19">
        <f t="shared" si="90"/>
        <v>-210.25925925925924</v>
      </c>
      <c r="M546" s="18">
        <f>INDEX('Industry Stats'!$D$2:$D$49,MATCH($C546,'Industry Stats'!$A$2:$A$49,0))</f>
        <v>295.66666666666669</v>
      </c>
      <c r="N546" s="19">
        <f t="shared" si="91"/>
        <v>-57.666666666666686</v>
      </c>
      <c r="O546" s="18">
        <f>INDEX('Industry Stats'!$E$2:$E$49,MATCH($C546,'Industry Stats'!$A$2:$A$49,0))</f>
        <v>291.44444444444446</v>
      </c>
      <c r="P546" s="19">
        <f t="shared" si="92"/>
        <v>-76.444444444444457</v>
      </c>
      <c r="R546">
        <f t="shared" si="93"/>
        <v>668.00094539999998</v>
      </c>
      <c r="S546">
        <f t="shared" si="94"/>
        <v>215.00094540000001</v>
      </c>
      <c r="T546">
        <f t="shared" si="95"/>
        <v>238.00094540000001</v>
      </c>
      <c r="U546">
        <f t="shared" si="96"/>
        <v>215.00094540000001</v>
      </c>
      <c r="V546">
        <f t="shared" si="97"/>
        <v>-344.36942497037035</v>
      </c>
      <c r="W546">
        <f t="shared" si="98"/>
        <v>344.3713157703703</v>
      </c>
    </row>
    <row r="547" spans="1:23" ht="15" customHeight="1" x14ac:dyDescent="0.35">
      <c r="A547" t="str">
        <f>'Raw Data'!B545</f>
        <v>Genuine Parts Co</v>
      </c>
      <c r="B547" t="str">
        <f>'Raw Data'!A545</f>
        <v>gpc</v>
      </c>
      <c r="C547" t="str">
        <f>IF('Raw Data'!E545="N/A","Unclassified",TRIM(SUBSTITUTE('Raw Data'!E545," and "," &amp; ")))</f>
        <v>Distributors</v>
      </c>
      <c r="D547" s="17">
        <f>'Raw Data'!N545</f>
        <v>535</v>
      </c>
      <c r="E547" s="17">
        <f>'Raw Data'!O545</f>
        <v>225</v>
      </c>
      <c r="F547" s="17">
        <f>'Raw Data'!P545</f>
        <v>305</v>
      </c>
      <c r="G547" s="17">
        <f>'Raw Data'!Q545</f>
        <v>1065</v>
      </c>
      <c r="H547" s="18">
        <f>INDEX('Industry Stats'!$F$2:$F$49,MATCH($C547,'Industry Stats'!$A$2:$A$49,0))</f>
        <v>1109.6666666666667</v>
      </c>
      <c r="I547" s="19">
        <f t="shared" si="88"/>
        <v>-44.666666666666742</v>
      </c>
      <c r="J547" s="20">
        <f t="shared" si="89"/>
        <v>-4.0252328026434428E-2</v>
      </c>
      <c r="K547" s="18">
        <f>INDEX('Industry Stats'!$C$2:$C$49,MATCH($C547,'Industry Stats'!$A$2:$A$49,0))</f>
        <v>525</v>
      </c>
      <c r="L547" s="19">
        <f t="shared" si="90"/>
        <v>10</v>
      </c>
      <c r="M547" s="18">
        <f>INDEX('Industry Stats'!$D$2:$D$49,MATCH($C547,'Industry Stats'!$A$2:$A$49,0))</f>
        <v>277</v>
      </c>
      <c r="N547" s="19">
        <f t="shared" si="91"/>
        <v>-52</v>
      </c>
      <c r="O547" s="18">
        <f>INDEX('Industry Stats'!$E$2:$E$49,MATCH($C547,'Industry Stats'!$A$2:$A$49,0))</f>
        <v>307.66666666666669</v>
      </c>
      <c r="P547" s="19">
        <f t="shared" si="92"/>
        <v>-2.6666666666666856</v>
      </c>
      <c r="R547">
        <f t="shared" si="93"/>
        <v>1065.0009453</v>
      </c>
      <c r="S547">
        <f t="shared" si="94"/>
        <v>535.00094530000001</v>
      </c>
      <c r="T547">
        <f t="shared" si="95"/>
        <v>225.00094530000001</v>
      </c>
      <c r="U547">
        <f t="shared" si="96"/>
        <v>305.00094530000001</v>
      </c>
      <c r="V547">
        <f t="shared" si="97"/>
        <v>-44.665721366666745</v>
      </c>
      <c r="W547">
        <f t="shared" si="98"/>
        <v>44.66761196666674</v>
      </c>
    </row>
    <row r="548" spans="1:23" ht="15" customHeight="1" x14ac:dyDescent="0.35">
      <c r="A548" t="str">
        <f>'Raw Data'!B546</f>
        <v>Generac Holdings Inc</v>
      </c>
      <c r="B548" t="str">
        <f>'Raw Data'!A546</f>
        <v>gnrc</v>
      </c>
      <c r="C548" t="str">
        <f>IF('Raw Data'!E546="N/A","Unclassified",TRIM(SUBSTITUTE('Raw Data'!E546," and "," &amp; ")))</f>
        <v>Electrical Equipment</v>
      </c>
      <c r="D548" s="17">
        <f>'Raw Data'!N546</f>
        <v>535</v>
      </c>
      <c r="E548" s="17">
        <f>'Raw Data'!O546</f>
        <v>311</v>
      </c>
      <c r="F548" s="17">
        <f>'Raw Data'!P546</f>
        <v>250</v>
      </c>
      <c r="G548" s="17">
        <f>'Raw Data'!Q546</f>
        <v>1096</v>
      </c>
      <c r="H548" s="18">
        <f>INDEX('Industry Stats'!$F$2:$F$49,MATCH($C548,'Industry Stats'!$A$2:$A$49,0))</f>
        <v>933</v>
      </c>
      <c r="I548" s="19">
        <f t="shared" si="88"/>
        <v>163</v>
      </c>
      <c r="J548" s="20">
        <f t="shared" si="89"/>
        <v>0.17470525187566988</v>
      </c>
      <c r="K548" s="18">
        <f>INDEX('Industry Stats'!$C$2:$C$49,MATCH($C548,'Industry Stats'!$A$2:$A$49,0))</f>
        <v>381.7037037037037</v>
      </c>
      <c r="L548" s="19">
        <f t="shared" si="90"/>
        <v>153.2962962962963</v>
      </c>
      <c r="M548" s="18">
        <f>INDEX('Industry Stats'!$D$2:$D$49,MATCH($C548,'Industry Stats'!$A$2:$A$49,0))</f>
        <v>272.11111111111109</v>
      </c>
      <c r="N548" s="19">
        <f t="shared" si="91"/>
        <v>38.888888888888914</v>
      </c>
      <c r="O548" s="18">
        <f>INDEX('Industry Stats'!$E$2:$E$49,MATCH($C548,'Industry Stats'!$A$2:$A$49,0))</f>
        <v>279.18518518518516</v>
      </c>
      <c r="P548" s="19">
        <f t="shared" si="92"/>
        <v>-29.185185185185162</v>
      </c>
      <c r="R548">
        <f t="shared" si="93"/>
        <v>1096.0009451999999</v>
      </c>
      <c r="S548">
        <f t="shared" si="94"/>
        <v>535.00094520000005</v>
      </c>
      <c r="T548">
        <f t="shared" si="95"/>
        <v>311.00094519999999</v>
      </c>
      <c r="U548">
        <f t="shared" si="96"/>
        <v>250.00094519999999</v>
      </c>
      <c r="V548">
        <f t="shared" si="97"/>
        <v>163.00094519999999</v>
      </c>
      <c r="W548">
        <f t="shared" si="98"/>
        <v>-162.99905480000001</v>
      </c>
    </row>
    <row r="549" spans="1:23" ht="15" customHeight="1" x14ac:dyDescent="0.35">
      <c r="A549" t="str">
        <f>'Raw Data'!B547</f>
        <v>Global Payments Inc</v>
      </c>
      <c r="B549" t="str">
        <f>'Raw Data'!A547</f>
        <v>gpn</v>
      </c>
      <c r="C549" t="str">
        <f>IF('Raw Data'!E547="N/A","Unclassified",TRIM(SUBSTITUTE('Raw Data'!E547," and "," &amp; ")))</f>
        <v>Technology</v>
      </c>
      <c r="D549" s="17">
        <f>'Raw Data'!N547</f>
        <v>310</v>
      </c>
      <c r="E549" s="17">
        <f>'Raw Data'!O547</f>
        <v>343</v>
      </c>
      <c r="F549" s="17">
        <f>'Raw Data'!P547</f>
        <v>265</v>
      </c>
      <c r="G549" s="17">
        <f>'Raw Data'!Q547</f>
        <v>918</v>
      </c>
      <c r="H549" s="18">
        <f>INDEX('Industry Stats'!$F$2:$F$49,MATCH($C549,'Industry Stats'!$A$2:$A$49,0))</f>
        <v>1031.3174603174602</v>
      </c>
      <c r="I549" s="19">
        <f t="shared" si="88"/>
        <v>-113.31746031746025</v>
      </c>
      <c r="J549" s="20">
        <f t="shared" si="89"/>
        <v>-0.10987641020116042</v>
      </c>
      <c r="K549" s="18">
        <f>INDEX('Industry Stats'!$C$2:$C$49,MATCH($C549,'Industry Stats'!$A$2:$A$49,0))</f>
        <v>438.11111111111109</v>
      </c>
      <c r="L549" s="19">
        <f t="shared" si="90"/>
        <v>-128.11111111111109</v>
      </c>
      <c r="M549" s="18">
        <f>INDEX('Industry Stats'!$D$2:$D$49,MATCH($C549,'Industry Stats'!$A$2:$A$49,0))</f>
        <v>307.90476190476193</v>
      </c>
      <c r="N549" s="19">
        <f t="shared" si="91"/>
        <v>35.095238095238074</v>
      </c>
      <c r="O549" s="18">
        <f>INDEX('Industry Stats'!$E$2:$E$49,MATCH($C549,'Industry Stats'!$A$2:$A$49,0))</f>
        <v>285.30158730158729</v>
      </c>
      <c r="P549" s="19">
        <f t="shared" si="92"/>
        <v>-20.30158730158729</v>
      </c>
      <c r="R549">
        <f t="shared" si="93"/>
        <v>918.00094509999997</v>
      </c>
      <c r="S549">
        <f t="shared" si="94"/>
        <v>310.00094510000002</v>
      </c>
      <c r="T549">
        <f t="shared" si="95"/>
        <v>343.00094510000002</v>
      </c>
      <c r="U549">
        <f t="shared" si="96"/>
        <v>265.00094510000002</v>
      </c>
      <c r="V549">
        <f t="shared" si="97"/>
        <v>-113.31651521746025</v>
      </c>
      <c r="W549">
        <f t="shared" si="98"/>
        <v>113.31840541746024</v>
      </c>
    </row>
    <row r="550" spans="1:23" ht="15" customHeight="1" x14ac:dyDescent="0.35">
      <c r="A550" t="str">
        <f>'Raw Data'!B548</f>
        <v>HCA Healthcare Inc</v>
      </c>
      <c r="B550" t="str">
        <f>'Raw Data'!A548</f>
        <v>hca</v>
      </c>
      <c r="C550" t="str">
        <f>IF('Raw Data'!E548="N/A","Unclassified",TRIM(SUBSTITUTE('Raw Data'!E548," and "," &amp; ")))</f>
        <v>Health Care</v>
      </c>
      <c r="D550" s="17">
        <f>'Raw Data'!N548</f>
        <v>520</v>
      </c>
      <c r="E550" s="17">
        <f>'Raw Data'!O548</f>
        <v>348</v>
      </c>
      <c r="F550" s="17">
        <f>'Raw Data'!P548</f>
        <v>305</v>
      </c>
      <c r="G550" s="17">
        <f>'Raw Data'!Q548</f>
        <v>1173</v>
      </c>
      <c r="H550" s="18">
        <f>INDEX('Industry Stats'!$F$2:$F$49,MATCH($C550,'Industry Stats'!$A$2:$A$49,0))</f>
        <v>938.76470588235293</v>
      </c>
      <c r="I550" s="19">
        <f t="shared" si="88"/>
        <v>234.23529411764707</v>
      </c>
      <c r="J550" s="20">
        <f t="shared" si="89"/>
        <v>0.24951438060028824</v>
      </c>
      <c r="K550" s="18">
        <f>INDEX('Industry Stats'!$C$2:$C$49,MATCH($C550,'Industry Stats'!$A$2:$A$49,0))</f>
        <v>374.52941176470586</v>
      </c>
      <c r="L550" s="19">
        <f t="shared" si="90"/>
        <v>145.47058823529414</v>
      </c>
      <c r="M550" s="18">
        <f>INDEX('Industry Stats'!$D$2:$D$49,MATCH($C550,'Industry Stats'!$A$2:$A$49,0))</f>
        <v>287.43137254901961</v>
      </c>
      <c r="N550" s="19">
        <f t="shared" si="91"/>
        <v>60.568627450980387</v>
      </c>
      <c r="O550" s="18">
        <f>INDEX('Industry Stats'!$E$2:$E$49,MATCH($C550,'Industry Stats'!$A$2:$A$49,0))</f>
        <v>276.80392156862746</v>
      </c>
      <c r="P550" s="19">
        <f t="shared" si="92"/>
        <v>28.196078431372541</v>
      </c>
      <c r="R550">
        <f t="shared" si="93"/>
        <v>1173.000945</v>
      </c>
      <c r="S550">
        <f t="shared" si="94"/>
        <v>520.000945</v>
      </c>
      <c r="T550">
        <f t="shared" si="95"/>
        <v>348.000945</v>
      </c>
      <c r="U550">
        <f t="shared" si="96"/>
        <v>305.000945</v>
      </c>
      <c r="V550">
        <f t="shared" si="97"/>
        <v>234.23623911764707</v>
      </c>
      <c r="W550">
        <f t="shared" si="98"/>
        <v>-234.23434911764707</v>
      </c>
    </row>
    <row r="551" spans="1:23" ht="15" customHeight="1" x14ac:dyDescent="0.35">
      <c r="A551" t="str">
        <f>'Raw Data'!B549</f>
        <v>HanesBrands Inc</v>
      </c>
      <c r="B551" t="str">
        <f>'Raw Data'!A549</f>
        <v>hbi</v>
      </c>
      <c r="C551" t="str">
        <f>IF('Raw Data'!E549="N/A","Unclassified",TRIM(SUBSTITUTE('Raw Data'!E549," and "," &amp; ")))</f>
        <v>Textiles Apparel &amp; Luxury Goods</v>
      </c>
      <c r="D551" s="17">
        <f>'Raw Data'!N549</f>
        <v>310</v>
      </c>
      <c r="E551" s="17">
        <f>'Raw Data'!O549</f>
        <v>223</v>
      </c>
      <c r="F551" s="17">
        <f>'Raw Data'!P549</f>
        <v>305</v>
      </c>
      <c r="G551" s="17">
        <f>'Raw Data'!Q549</f>
        <v>838</v>
      </c>
      <c r="H551" s="18">
        <f>INDEX('Industry Stats'!$F$2:$F$49,MATCH($C551,'Industry Stats'!$A$2:$A$49,0))</f>
        <v>944.44444444444446</v>
      </c>
      <c r="I551" s="19">
        <f t="shared" si="88"/>
        <v>-106.44444444444446</v>
      </c>
      <c r="J551" s="20">
        <f t="shared" si="89"/>
        <v>-0.11270588235294118</v>
      </c>
      <c r="K551" s="18">
        <f>INDEX('Industry Stats'!$C$2:$C$49,MATCH($C551,'Industry Stats'!$A$2:$A$49,0))</f>
        <v>382.11111111111109</v>
      </c>
      <c r="L551" s="19">
        <f t="shared" si="90"/>
        <v>-72.111111111111086</v>
      </c>
      <c r="M551" s="18">
        <f>INDEX('Industry Stats'!$D$2:$D$49,MATCH($C551,'Industry Stats'!$A$2:$A$49,0))</f>
        <v>280</v>
      </c>
      <c r="N551" s="19">
        <f t="shared" si="91"/>
        <v>-57</v>
      </c>
      <c r="O551" s="18">
        <f>INDEX('Industry Stats'!$E$2:$E$49,MATCH($C551,'Industry Stats'!$A$2:$A$49,0))</f>
        <v>282.33333333333331</v>
      </c>
      <c r="P551" s="19">
        <f t="shared" si="92"/>
        <v>22.666666666666686</v>
      </c>
      <c r="R551">
        <f t="shared" si="93"/>
        <v>838.00094490000004</v>
      </c>
      <c r="S551">
        <f t="shared" si="94"/>
        <v>310.00094489999998</v>
      </c>
      <c r="T551">
        <f t="shared" si="95"/>
        <v>223.00094490000001</v>
      </c>
      <c r="U551">
        <f t="shared" si="96"/>
        <v>305.00094489999998</v>
      </c>
      <c r="V551">
        <f t="shared" si="97"/>
        <v>-106.44349954444446</v>
      </c>
      <c r="W551">
        <f t="shared" si="98"/>
        <v>106.44538934444445</v>
      </c>
    </row>
    <row r="552" spans="1:23" ht="15" customHeight="1" x14ac:dyDescent="0.35">
      <c r="A552" t="str">
        <f>'Raw Data'!B550</f>
        <v>Huntington Ingalls Industries Inc</v>
      </c>
      <c r="B552" t="str">
        <f>'Raw Data'!A550</f>
        <v>hii</v>
      </c>
      <c r="C552" t="str">
        <f>IF('Raw Data'!E550="N/A","Unclassified",TRIM(SUBSTITUTE('Raw Data'!E550," and "," &amp; ")))</f>
        <v>Aerospace &amp; Defense</v>
      </c>
      <c r="D552" s="17">
        <f>'Raw Data'!N550</f>
        <v>545</v>
      </c>
      <c r="E552" s="17">
        <f>'Raw Data'!O550</f>
        <v>315</v>
      </c>
      <c r="F552" s="17">
        <f>'Raw Data'!P550</f>
        <v>315</v>
      </c>
      <c r="G552" s="17">
        <f>'Raw Data'!Q550</f>
        <v>1175</v>
      </c>
      <c r="H552" s="18">
        <f>INDEX('Industry Stats'!$F$2:$F$49,MATCH($C552,'Industry Stats'!$A$2:$A$49,0))</f>
        <v>1048.1818181818182</v>
      </c>
      <c r="I552" s="19">
        <f t="shared" si="88"/>
        <v>126.81818181818176</v>
      </c>
      <c r="J552" s="20">
        <f t="shared" si="89"/>
        <v>0.12098872506504764</v>
      </c>
      <c r="K552" s="18">
        <f>INDEX('Industry Stats'!$C$2:$C$49,MATCH($C552,'Industry Stats'!$A$2:$A$49,0))</f>
        <v>461.36363636363637</v>
      </c>
      <c r="L552" s="19">
        <f t="shared" si="90"/>
        <v>83.636363636363626</v>
      </c>
      <c r="M552" s="18">
        <f>INDEX('Industry Stats'!$D$2:$D$49,MATCH($C552,'Industry Stats'!$A$2:$A$49,0))</f>
        <v>296.36363636363637</v>
      </c>
      <c r="N552" s="19">
        <f t="shared" si="91"/>
        <v>18.636363636363626</v>
      </c>
      <c r="O552" s="18">
        <f>INDEX('Industry Stats'!$E$2:$E$49,MATCH($C552,'Industry Stats'!$A$2:$A$49,0))</f>
        <v>290.45454545454544</v>
      </c>
      <c r="P552" s="19">
        <f t="shared" si="92"/>
        <v>24.545454545454561</v>
      </c>
      <c r="R552">
        <f t="shared" si="93"/>
        <v>1175.0009448000001</v>
      </c>
      <c r="S552">
        <f t="shared" si="94"/>
        <v>545.00094479999996</v>
      </c>
      <c r="T552">
        <f t="shared" si="95"/>
        <v>315.00094480000001</v>
      </c>
      <c r="U552">
        <f t="shared" si="96"/>
        <v>315.00094480000001</v>
      </c>
      <c r="V552">
        <f t="shared" si="97"/>
        <v>126.81912661818176</v>
      </c>
      <c r="W552">
        <f t="shared" si="98"/>
        <v>-126.81723701818176</v>
      </c>
    </row>
    <row r="553" spans="1:23" ht="15" customHeight="1" x14ac:dyDescent="0.35">
      <c r="A553" t="str">
        <f>'Raw Data'!B551</f>
        <v>Hewlett Packard Enterprise Co</v>
      </c>
      <c r="B553" t="str">
        <f>'Raw Data'!A551</f>
        <v>hpe</v>
      </c>
      <c r="C553" t="str">
        <f>IF('Raw Data'!E551="N/A","Unclassified",TRIM(SUBSTITUTE('Raw Data'!E551," and "," &amp; ")))</f>
        <v>Technology</v>
      </c>
      <c r="D553" s="17">
        <f>'Raw Data'!N551</f>
        <v>230</v>
      </c>
      <c r="E553" s="17">
        <f>'Raw Data'!O551</f>
        <v>359</v>
      </c>
      <c r="F553" s="17">
        <f>'Raw Data'!P551</f>
        <v>230</v>
      </c>
      <c r="G553" s="17">
        <f>'Raw Data'!Q551</f>
        <v>819</v>
      </c>
      <c r="H553" s="18">
        <f>INDEX('Industry Stats'!$F$2:$F$49,MATCH($C553,'Industry Stats'!$A$2:$A$49,0))</f>
        <v>1031.3174603174602</v>
      </c>
      <c r="I553" s="19">
        <f t="shared" si="88"/>
        <v>-212.31746031746025</v>
      </c>
      <c r="J553" s="20">
        <f t="shared" si="89"/>
        <v>-0.20587013066966273</v>
      </c>
      <c r="K553" s="18">
        <f>INDEX('Industry Stats'!$C$2:$C$49,MATCH($C553,'Industry Stats'!$A$2:$A$49,0))</f>
        <v>438.11111111111109</v>
      </c>
      <c r="L553" s="19">
        <f t="shared" si="90"/>
        <v>-208.11111111111109</v>
      </c>
      <c r="M553" s="18">
        <f>INDEX('Industry Stats'!$D$2:$D$49,MATCH($C553,'Industry Stats'!$A$2:$A$49,0))</f>
        <v>307.90476190476193</v>
      </c>
      <c r="N553" s="19">
        <f t="shared" si="91"/>
        <v>51.095238095238074</v>
      </c>
      <c r="O553" s="18">
        <f>INDEX('Industry Stats'!$E$2:$E$49,MATCH($C553,'Industry Stats'!$A$2:$A$49,0))</f>
        <v>285.30158730158729</v>
      </c>
      <c r="P553" s="19">
        <f t="shared" si="92"/>
        <v>-55.30158730158729</v>
      </c>
      <c r="R553">
        <f t="shared" si="93"/>
        <v>819.00094469999999</v>
      </c>
      <c r="S553">
        <f t="shared" si="94"/>
        <v>230.00094469999999</v>
      </c>
      <c r="T553">
        <f t="shared" si="95"/>
        <v>359.00094469999999</v>
      </c>
      <c r="U553">
        <f t="shared" si="96"/>
        <v>230.00094469999999</v>
      </c>
      <c r="V553">
        <f t="shared" si="97"/>
        <v>-212.31651561746025</v>
      </c>
      <c r="W553">
        <f t="shared" si="98"/>
        <v>212.31840501746024</v>
      </c>
    </row>
    <row r="554" spans="1:23" ht="15" customHeight="1" x14ac:dyDescent="0.35">
      <c r="A554" t="str">
        <f>'Raw Data'!B552</f>
        <v>Hess Corp</v>
      </c>
      <c r="B554" t="str">
        <f>'Raw Data'!A552</f>
        <v>hes</v>
      </c>
      <c r="C554" t="str">
        <f>IF('Raw Data'!E552="N/A","Unclassified",TRIM(SUBSTITUTE('Raw Data'!E552," and "," &amp; ")))</f>
        <v>Energy</v>
      </c>
      <c r="D554" s="17">
        <f>'Raw Data'!N552</f>
        <v>535</v>
      </c>
      <c r="E554" s="17">
        <f>'Raw Data'!O552</f>
        <v>300</v>
      </c>
      <c r="F554" s="17">
        <f>'Raw Data'!P552</f>
        <v>305</v>
      </c>
      <c r="G554" s="17">
        <f>'Raw Data'!Q552</f>
        <v>1140</v>
      </c>
      <c r="H554" s="18">
        <f>INDEX('Industry Stats'!$F$2:$F$49,MATCH($C554,'Industry Stats'!$A$2:$A$49,0))</f>
        <v>1117.7619047619048</v>
      </c>
      <c r="I554" s="19">
        <f t="shared" si="88"/>
        <v>22.238095238095184</v>
      </c>
      <c r="J554" s="20">
        <f t="shared" si="89"/>
        <v>1.9895198738976647E-2</v>
      </c>
      <c r="K554" s="18">
        <f>INDEX('Industry Stats'!$C$2:$C$49,MATCH($C554,'Industry Stats'!$A$2:$A$49,0))</f>
        <v>515.09523809523807</v>
      </c>
      <c r="L554" s="19">
        <f t="shared" si="90"/>
        <v>19.904761904761926</v>
      </c>
      <c r="M554" s="18">
        <f>INDEX('Industry Stats'!$D$2:$D$49,MATCH($C554,'Industry Stats'!$A$2:$A$49,0))</f>
        <v>308.95238095238096</v>
      </c>
      <c r="N554" s="19">
        <f t="shared" si="91"/>
        <v>-8.9523809523809632</v>
      </c>
      <c r="O554" s="18">
        <f>INDEX('Industry Stats'!$E$2:$E$49,MATCH($C554,'Industry Stats'!$A$2:$A$49,0))</f>
        <v>293.71428571428572</v>
      </c>
      <c r="P554" s="19">
        <f t="shared" si="92"/>
        <v>11.285714285714278</v>
      </c>
      <c r="R554">
        <f t="shared" si="93"/>
        <v>1140.0009445999999</v>
      </c>
      <c r="S554">
        <f t="shared" si="94"/>
        <v>535.00094460000003</v>
      </c>
      <c r="T554">
        <f t="shared" si="95"/>
        <v>300.00094460000003</v>
      </c>
      <c r="U554">
        <f t="shared" si="96"/>
        <v>305.00094460000003</v>
      </c>
      <c r="V554">
        <f t="shared" si="97"/>
        <v>22.239039838095184</v>
      </c>
      <c r="W554">
        <f t="shared" si="98"/>
        <v>-22.237150638095184</v>
      </c>
    </row>
    <row r="555" spans="1:23" ht="15" customHeight="1" x14ac:dyDescent="0.35">
      <c r="A555" t="str">
        <f>'Raw Data'!B553</f>
        <v>Hilton Worldwide Holdings Inc</v>
      </c>
      <c r="B555" t="str">
        <f>'Raw Data'!A553</f>
        <v>hlt</v>
      </c>
      <c r="C555" t="str">
        <f>IF('Raw Data'!E553="N/A","Unclassified",TRIM(SUBSTITUTE('Raw Data'!E553," and "," &amp; ")))</f>
        <v>Hotels Restaurants &amp; Leisure</v>
      </c>
      <c r="D555" s="17">
        <f>'Raw Data'!N553</f>
        <v>293</v>
      </c>
      <c r="E555" s="17">
        <f>'Raw Data'!O553</f>
        <v>200</v>
      </c>
      <c r="F555" s="17">
        <f>'Raw Data'!P553</f>
        <v>205</v>
      </c>
      <c r="G555" s="17">
        <f>'Raw Data'!Q553</f>
        <v>698</v>
      </c>
      <c r="H555" s="18">
        <f>INDEX('Industry Stats'!$F$2:$F$49,MATCH($C555,'Industry Stats'!$A$2:$A$49,0))</f>
        <v>918.86363636363637</v>
      </c>
      <c r="I555" s="19">
        <f t="shared" si="88"/>
        <v>-220.86363636363637</v>
      </c>
      <c r="J555" s="20">
        <f t="shared" si="89"/>
        <v>-0.24036606480336384</v>
      </c>
      <c r="K555" s="18">
        <f>INDEX('Industry Stats'!$C$2:$C$49,MATCH($C555,'Industry Stats'!$A$2:$A$49,0))</f>
        <v>374.63636363636363</v>
      </c>
      <c r="L555" s="19">
        <f t="shared" si="90"/>
        <v>-81.636363636363626</v>
      </c>
      <c r="M555" s="18">
        <f>INDEX('Industry Stats'!$D$2:$D$49,MATCH($C555,'Industry Stats'!$A$2:$A$49,0))</f>
        <v>283.04545454545456</v>
      </c>
      <c r="N555" s="19">
        <f t="shared" si="91"/>
        <v>-83.045454545454561</v>
      </c>
      <c r="O555" s="18">
        <f>INDEX('Industry Stats'!$E$2:$E$49,MATCH($C555,'Industry Stats'!$A$2:$A$49,0))</f>
        <v>261.18181818181819</v>
      </c>
      <c r="P555" s="19">
        <f t="shared" si="92"/>
        <v>-56.181818181818187</v>
      </c>
      <c r="R555">
        <f t="shared" si="93"/>
        <v>698.00094449999995</v>
      </c>
      <c r="S555">
        <f t="shared" si="94"/>
        <v>293.0009445</v>
      </c>
      <c r="T555">
        <f t="shared" si="95"/>
        <v>200.0009445</v>
      </c>
      <c r="U555">
        <f t="shared" si="96"/>
        <v>205.0009445</v>
      </c>
      <c r="V555">
        <f t="shared" si="97"/>
        <v>-220.86269186363637</v>
      </c>
      <c r="W555">
        <f t="shared" si="98"/>
        <v>220.86458086363638</v>
      </c>
    </row>
    <row r="556" spans="1:23" ht="15" customHeight="1" x14ac:dyDescent="0.35">
      <c r="A556" t="str">
        <f>'Raw Data'!B554</f>
        <v>Hormel Foods Corp</v>
      </c>
      <c r="B556" t="str">
        <f>'Raw Data'!A554</f>
        <v>hrl</v>
      </c>
      <c r="C556" t="str">
        <f>IF('Raw Data'!E554="N/A","Unclassified",TRIM(SUBSTITUTE('Raw Data'!E554," and "," &amp; ")))</f>
        <v>Food Products</v>
      </c>
      <c r="D556" s="17">
        <f>'Raw Data'!N554</f>
        <v>570</v>
      </c>
      <c r="E556" s="17">
        <f>'Raw Data'!O554</f>
        <v>322</v>
      </c>
      <c r="F556" s="17">
        <f>'Raw Data'!P554</f>
        <v>300</v>
      </c>
      <c r="G556" s="17">
        <f>'Raw Data'!Q554</f>
        <v>1192</v>
      </c>
      <c r="H556" s="18">
        <f>INDEX('Industry Stats'!$F$2:$F$49,MATCH($C556,'Industry Stats'!$A$2:$A$49,0))</f>
        <v>1131.0714285714287</v>
      </c>
      <c r="I556" s="19">
        <f t="shared" si="88"/>
        <v>60.928571428571331</v>
      </c>
      <c r="J556" s="20">
        <f t="shared" si="89"/>
        <v>5.3868013893274301E-2</v>
      </c>
      <c r="K556" s="18">
        <f>INDEX('Industry Stats'!$C$2:$C$49,MATCH($C556,'Industry Stats'!$A$2:$A$49,0))</f>
        <v>516.57142857142856</v>
      </c>
      <c r="L556" s="19">
        <f t="shared" si="90"/>
        <v>53.428571428571445</v>
      </c>
      <c r="M556" s="18">
        <f>INDEX('Industry Stats'!$D$2:$D$49,MATCH($C556,'Industry Stats'!$A$2:$A$49,0))</f>
        <v>311.28571428571428</v>
      </c>
      <c r="N556" s="19">
        <f t="shared" si="91"/>
        <v>10.714285714285722</v>
      </c>
      <c r="O556" s="18">
        <f>INDEX('Industry Stats'!$E$2:$E$49,MATCH($C556,'Industry Stats'!$A$2:$A$49,0))</f>
        <v>303.21428571428572</v>
      </c>
      <c r="P556" s="19">
        <f t="shared" si="92"/>
        <v>-3.2142857142857224</v>
      </c>
      <c r="R556">
        <f t="shared" si="93"/>
        <v>1192.0009444</v>
      </c>
      <c r="S556">
        <f t="shared" si="94"/>
        <v>570.00094439999998</v>
      </c>
      <c r="T556">
        <f t="shared" si="95"/>
        <v>322.00094439999998</v>
      </c>
      <c r="U556">
        <f t="shared" si="96"/>
        <v>300.00094439999998</v>
      </c>
      <c r="V556">
        <f t="shared" si="97"/>
        <v>60.929515828571333</v>
      </c>
      <c r="W556">
        <f t="shared" si="98"/>
        <v>-60.92762702857133</v>
      </c>
    </row>
    <row r="557" spans="1:23" ht="15" customHeight="1" x14ac:dyDescent="0.35">
      <c r="A557" t="str">
        <f>'Raw Data'!B555</f>
        <v>HP Inc</v>
      </c>
      <c r="B557" t="str">
        <f>'Raw Data'!A555</f>
        <v>hpq</v>
      </c>
      <c r="C557" t="str">
        <f>IF('Raw Data'!E555="N/A","Unclassified",TRIM(SUBSTITUTE('Raw Data'!E555," and "," &amp; ")))</f>
        <v>Technology</v>
      </c>
      <c r="D557" s="17">
        <f>'Raw Data'!N555</f>
        <v>245</v>
      </c>
      <c r="E557" s="17">
        <f>'Raw Data'!O555</f>
        <v>211</v>
      </c>
      <c r="F557" s="17">
        <f>'Raw Data'!P555</f>
        <v>200</v>
      </c>
      <c r="G557" s="17">
        <f>'Raw Data'!Q555</f>
        <v>656</v>
      </c>
      <c r="H557" s="18">
        <f>INDEX('Industry Stats'!$F$2:$F$49,MATCH($C557,'Industry Stats'!$A$2:$A$49,0))</f>
        <v>1031.3174603174602</v>
      </c>
      <c r="I557" s="19">
        <f t="shared" si="88"/>
        <v>-375.31746031746025</v>
      </c>
      <c r="J557" s="20">
        <f t="shared" si="89"/>
        <v>-0.36392039770366147</v>
      </c>
      <c r="K557" s="18">
        <f>INDEX('Industry Stats'!$C$2:$C$49,MATCH($C557,'Industry Stats'!$A$2:$A$49,0))</f>
        <v>438.11111111111109</v>
      </c>
      <c r="L557" s="19">
        <f t="shared" si="90"/>
        <v>-193.11111111111109</v>
      </c>
      <c r="M557" s="18">
        <f>INDEX('Industry Stats'!$D$2:$D$49,MATCH($C557,'Industry Stats'!$A$2:$A$49,0))</f>
        <v>307.90476190476193</v>
      </c>
      <c r="N557" s="19">
        <f t="shared" si="91"/>
        <v>-96.904761904761926</v>
      </c>
      <c r="O557" s="18">
        <f>INDEX('Industry Stats'!$E$2:$E$49,MATCH($C557,'Industry Stats'!$A$2:$A$49,0))</f>
        <v>285.30158730158729</v>
      </c>
      <c r="P557" s="19">
        <f t="shared" si="92"/>
        <v>-85.30158730158729</v>
      </c>
      <c r="R557">
        <f t="shared" si="93"/>
        <v>656.00094430000001</v>
      </c>
      <c r="S557">
        <f t="shared" si="94"/>
        <v>245.00094429999999</v>
      </c>
      <c r="T557">
        <f t="shared" si="95"/>
        <v>211.00094429999999</v>
      </c>
      <c r="U557">
        <f t="shared" si="96"/>
        <v>200.00094429999999</v>
      </c>
      <c r="V557">
        <f t="shared" si="97"/>
        <v>-375.31651601746023</v>
      </c>
      <c r="W557">
        <f t="shared" si="98"/>
        <v>375.31840461746026</v>
      </c>
    </row>
    <row r="558" spans="1:23" ht="15" customHeight="1" x14ac:dyDescent="0.35">
      <c r="A558" t="str">
        <f>'Raw Data'!B556</f>
        <v>Humana Inc</v>
      </c>
      <c r="B558" t="str">
        <f>'Raw Data'!A556</f>
        <v>hum</v>
      </c>
      <c r="C558" t="str">
        <f>IF('Raw Data'!E556="N/A","Unclassified",TRIM(SUBSTITUTE('Raw Data'!E556," and "," &amp; ")))</f>
        <v>Health Care</v>
      </c>
      <c r="D558" s="17">
        <f>'Raw Data'!N556</f>
        <v>462</v>
      </c>
      <c r="E558" s="17">
        <f>'Raw Data'!O556</f>
        <v>300</v>
      </c>
      <c r="F558" s="17">
        <f>'Raw Data'!P556</f>
        <v>300</v>
      </c>
      <c r="G558" s="17">
        <f>'Raw Data'!Q556</f>
        <v>1062</v>
      </c>
      <c r="H558" s="18">
        <f>INDEX('Industry Stats'!$F$2:$F$49,MATCH($C558,'Industry Stats'!$A$2:$A$49,0))</f>
        <v>938.76470588235293</v>
      </c>
      <c r="I558" s="19">
        <f t="shared" si="88"/>
        <v>123.23529411764707</v>
      </c>
      <c r="J558" s="20">
        <f t="shared" si="89"/>
        <v>0.13127388934143744</v>
      </c>
      <c r="K558" s="18">
        <f>INDEX('Industry Stats'!$C$2:$C$49,MATCH($C558,'Industry Stats'!$A$2:$A$49,0))</f>
        <v>374.52941176470586</v>
      </c>
      <c r="L558" s="19">
        <f t="shared" si="90"/>
        <v>87.470588235294144</v>
      </c>
      <c r="M558" s="18">
        <f>INDEX('Industry Stats'!$D$2:$D$49,MATCH($C558,'Industry Stats'!$A$2:$A$49,0))</f>
        <v>287.43137254901961</v>
      </c>
      <c r="N558" s="19">
        <f t="shared" si="91"/>
        <v>12.568627450980387</v>
      </c>
      <c r="O558" s="18">
        <f>INDEX('Industry Stats'!$E$2:$E$49,MATCH($C558,'Industry Stats'!$A$2:$A$49,0))</f>
        <v>276.80392156862746</v>
      </c>
      <c r="P558" s="19">
        <f t="shared" si="92"/>
        <v>23.196078431372541</v>
      </c>
      <c r="R558">
        <f t="shared" si="93"/>
        <v>1062.0009442</v>
      </c>
      <c r="S558">
        <f t="shared" si="94"/>
        <v>462.00094419999999</v>
      </c>
      <c r="T558">
        <f t="shared" si="95"/>
        <v>300.00094419999999</v>
      </c>
      <c r="U558">
        <f t="shared" si="96"/>
        <v>300.00094419999999</v>
      </c>
      <c r="V558">
        <f t="shared" si="97"/>
        <v>123.23623831764708</v>
      </c>
      <c r="W558">
        <f t="shared" si="98"/>
        <v>-123.23434991764707</v>
      </c>
    </row>
    <row r="559" spans="1:23" ht="15" customHeight="1" x14ac:dyDescent="0.35">
      <c r="A559" t="str">
        <f>'Raw Data'!B557</f>
        <v>Howmet Aerospace Inc</v>
      </c>
      <c r="B559" t="str">
        <f>'Raw Data'!A557</f>
        <v>hwm</v>
      </c>
      <c r="C559" t="str">
        <f>IF('Raw Data'!E557="N/A","Unclassified",TRIM(SUBSTITUTE('Raw Data'!E557," and "," &amp; ")))</f>
        <v>Aerospace &amp; Defense</v>
      </c>
      <c r="D559" s="17">
        <f>'Raw Data'!N557</f>
        <v>525</v>
      </c>
      <c r="E559" s="17">
        <f>'Raw Data'!O557</f>
        <v>315</v>
      </c>
      <c r="F559" s="17">
        <f>'Raw Data'!P557</f>
        <v>320</v>
      </c>
      <c r="G559" s="17">
        <f>'Raw Data'!Q557</f>
        <v>1160</v>
      </c>
      <c r="H559" s="18">
        <f>INDEX('Industry Stats'!$F$2:$F$49,MATCH($C559,'Industry Stats'!$A$2:$A$49,0))</f>
        <v>1048.1818181818182</v>
      </c>
      <c r="I559" s="19">
        <f t="shared" si="88"/>
        <v>111.81818181818176</v>
      </c>
      <c r="J559" s="20">
        <f t="shared" si="89"/>
        <v>0.10667823070251511</v>
      </c>
      <c r="K559" s="18">
        <f>INDEX('Industry Stats'!$C$2:$C$49,MATCH($C559,'Industry Stats'!$A$2:$A$49,0))</f>
        <v>461.36363636363637</v>
      </c>
      <c r="L559" s="19">
        <f t="shared" si="90"/>
        <v>63.636363636363626</v>
      </c>
      <c r="M559" s="18">
        <f>INDEX('Industry Stats'!$D$2:$D$49,MATCH($C559,'Industry Stats'!$A$2:$A$49,0))</f>
        <v>296.36363636363637</v>
      </c>
      <c r="N559" s="19">
        <f t="shared" si="91"/>
        <v>18.636363636363626</v>
      </c>
      <c r="O559" s="18">
        <f>INDEX('Industry Stats'!$E$2:$E$49,MATCH($C559,'Industry Stats'!$A$2:$A$49,0))</f>
        <v>290.45454545454544</v>
      </c>
      <c r="P559" s="19">
        <f t="shared" si="92"/>
        <v>29.545454545454561</v>
      </c>
      <c r="R559">
        <f t="shared" si="93"/>
        <v>1160.0009441</v>
      </c>
      <c r="S559">
        <f t="shared" si="94"/>
        <v>525.00094409999997</v>
      </c>
      <c r="T559">
        <f t="shared" si="95"/>
        <v>315.00094410000003</v>
      </c>
      <c r="U559">
        <f t="shared" si="96"/>
        <v>320.00094410000003</v>
      </c>
      <c r="V559">
        <f t="shared" si="97"/>
        <v>111.81912591818175</v>
      </c>
      <c r="W559">
        <f t="shared" si="98"/>
        <v>-111.81723771818176</v>
      </c>
    </row>
    <row r="560" spans="1:23" ht="15" customHeight="1" x14ac:dyDescent="0.35">
      <c r="A560" t="str">
        <f>'Raw Data'!B558</f>
        <v>Healthpeak Properties Inc</v>
      </c>
      <c r="B560" t="str">
        <f>'Raw Data'!A558</f>
        <v>peak</v>
      </c>
      <c r="C560" t="str">
        <f>IF('Raw Data'!E558="N/A","Unclassified",TRIM(SUBSTITUTE('Raw Data'!E558," and "," &amp; ")))</f>
        <v>Real Estate</v>
      </c>
      <c r="D560" s="17">
        <f>'Raw Data'!N558</f>
        <v>535</v>
      </c>
      <c r="E560" s="17">
        <f>'Raw Data'!O558</f>
        <v>331</v>
      </c>
      <c r="F560" s="17">
        <f>'Raw Data'!P558</f>
        <v>335</v>
      </c>
      <c r="G560" s="17">
        <f>'Raw Data'!Q558</f>
        <v>1201</v>
      </c>
      <c r="H560" s="18">
        <f>INDEX('Industry Stats'!$F$2:$F$49,MATCH($C560,'Industry Stats'!$A$2:$A$49,0))</f>
        <v>995.94444444444446</v>
      </c>
      <c r="I560" s="19">
        <f t="shared" si="88"/>
        <v>205.05555555555554</v>
      </c>
      <c r="J560" s="20">
        <f t="shared" si="89"/>
        <v>0.20589055614436325</v>
      </c>
      <c r="K560" s="18">
        <f>INDEX('Industry Stats'!$C$2:$C$49,MATCH($C560,'Industry Stats'!$A$2:$A$49,0))</f>
        <v>431.38888888888891</v>
      </c>
      <c r="L560" s="19">
        <f t="shared" si="90"/>
        <v>103.61111111111109</v>
      </c>
      <c r="M560" s="18">
        <f>INDEX('Industry Stats'!$D$2:$D$49,MATCH($C560,'Industry Stats'!$A$2:$A$49,0))</f>
        <v>290.91666666666669</v>
      </c>
      <c r="N560" s="19">
        <f t="shared" si="91"/>
        <v>40.083333333333314</v>
      </c>
      <c r="O560" s="18">
        <f>INDEX('Industry Stats'!$E$2:$E$49,MATCH($C560,'Industry Stats'!$A$2:$A$49,0))</f>
        <v>273.63888888888891</v>
      </c>
      <c r="P560" s="19">
        <f t="shared" si="92"/>
        <v>61.361111111111086</v>
      </c>
      <c r="R560">
        <f t="shared" si="93"/>
        <v>1201.0009439999999</v>
      </c>
      <c r="S560">
        <f t="shared" si="94"/>
        <v>535.000944</v>
      </c>
      <c r="T560">
        <f t="shared" si="95"/>
        <v>331.000944</v>
      </c>
      <c r="U560">
        <f t="shared" si="96"/>
        <v>335.000944</v>
      </c>
      <c r="V560">
        <f t="shared" si="97"/>
        <v>205.05649955555555</v>
      </c>
      <c r="W560">
        <f t="shared" si="98"/>
        <v>-205.05461155555554</v>
      </c>
    </row>
    <row r="561" spans="1:23" ht="15" customHeight="1" x14ac:dyDescent="0.35">
      <c r="A561" t="str">
        <f>'Raw Data'!B559</f>
        <v>General Mills Inc</v>
      </c>
      <c r="B561" t="str">
        <f>'Raw Data'!A559</f>
        <v>gis</v>
      </c>
      <c r="C561" t="str">
        <f>IF('Raw Data'!E559="N/A","Unclassified",TRIM(SUBSTITUTE('Raw Data'!E559," and "," &amp; ")))</f>
        <v>Food Products</v>
      </c>
      <c r="D561" s="17">
        <f>'Raw Data'!N559</f>
        <v>585</v>
      </c>
      <c r="E561" s="17">
        <f>'Raw Data'!O559</f>
        <v>326</v>
      </c>
      <c r="F561" s="17">
        <f>'Raw Data'!P559</f>
        <v>365</v>
      </c>
      <c r="G561" s="17">
        <f>'Raw Data'!Q559</f>
        <v>1276</v>
      </c>
      <c r="H561" s="18">
        <f>INDEX('Industry Stats'!$F$2:$F$49,MATCH($C561,'Industry Stats'!$A$2:$A$49,0))</f>
        <v>1131.0714285714287</v>
      </c>
      <c r="I561" s="19">
        <f t="shared" si="88"/>
        <v>144.92857142857133</v>
      </c>
      <c r="J561" s="20">
        <f t="shared" si="89"/>
        <v>0.12813388064414263</v>
      </c>
      <c r="K561" s="18">
        <f>INDEX('Industry Stats'!$C$2:$C$49,MATCH($C561,'Industry Stats'!$A$2:$A$49,0))</f>
        <v>516.57142857142856</v>
      </c>
      <c r="L561" s="19">
        <f t="shared" si="90"/>
        <v>68.428571428571445</v>
      </c>
      <c r="M561" s="18">
        <f>INDEX('Industry Stats'!$D$2:$D$49,MATCH($C561,'Industry Stats'!$A$2:$A$49,0))</f>
        <v>311.28571428571428</v>
      </c>
      <c r="N561" s="19">
        <f t="shared" si="91"/>
        <v>14.714285714285722</v>
      </c>
      <c r="O561" s="18">
        <f>INDEX('Industry Stats'!$E$2:$E$49,MATCH($C561,'Industry Stats'!$A$2:$A$49,0))</f>
        <v>303.21428571428572</v>
      </c>
      <c r="P561" s="19">
        <f t="shared" si="92"/>
        <v>61.785714285714278</v>
      </c>
      <c r="R561">
        <f t="shared" si="93"/>
        <v>1276.0009439</v>
      </c>
      <c r="S561">
        <f t="shared" si="94"/>
        <v>585.00094390000004</v>
      </c>
      <c r="T561">
        <f t="shared" si="95"/>
        <v>326.00094389999998</v>
      </c>
      <c r="U561">
        <f t="shared" si="96"/>
        <v>365.00094389999998</v>
      </c>
      <c r="V561">
        <f t="shared" si="97"/>
        <v>144.92951532857134</v>
      </c>
      <c r="W561">
        <f t="shared" si="98"/>
        <v>-144.92762752857132</v>
      </c>
    </row>
    <row r="562" spans="1:23" ht="15" customHeight="1" x14ac:dyDescent="0.35">
      <c r="A562" t="str">
        <f>'Raw Data'!B560</f>
        <v>General Electric Co</v>
      </c>
      <c r="B562" t="str">
        <f>'Raw Data'!A560</f>
        <v>ge</v>
      </c>
      <c r="C562" t="str">
        <f>IF('Raw Data'!E560="N/A","Unclassified",TRIM(SUBSTITUTE('Raw Data'!E560," and "," &amp; ")))</f>
        <v>Industrial Conglomerates</v>
      </c>
      <c r="D562" s="17">
        <f>'Raw Data'!N560</f>
        <v>533</v>
      </c>
      <c r="E562" s="17">
        <f>'Raw Data'!O560</f>
        <v>300</v>
      </c>
      <c r="F562" s="17">
        <f>'Raw Data'!P560</f>
        <v>300</v>
      </c>
      <c r="G562" s="17">
        <f>'Raw Data'!Q560</f>
        <v>1133</v>
      </c>
      <c r="H562" s="18">
        <f>INDEX('Industry Stats'!$F$2:$F$49,MATCH($C562,'Industry Stats'!$A$2:$A$49,0))</f>
        <v>1157</v>
      </c>
      <c r="I562" s="19">
        <f t="shared" si="88"/>
        <v>-24</v>
      </c>
      <c r="J562" s="20">
        <f t="shared" si="89"/>
        <v>-2.0743301642178046E-2</v>
      </c>
      <c r="K562" s="18">
        <f>INDEX('Industry Stats'!$C$2:$C$49,MATCH($C562,'Industry Stats'!$A$2:$A$49,0))</f>
        <v>534.66666666666663</v>
      </c>
      <c r="L562" s="19">
        <f t="shared" si="90"/>
        <v>-1.6666666666666288</v>
      </c>
      <c r="M562" s="18">
        <f>INDEX('Industry Stats'!$D$2:$D$49,MATCH($C562,'Industry Stats'!$A$2:$A$49,0))</f>
        <v>318</v>
      </c>
      <c r="N562" s="19">
        <f t="shared" si="91"/>
        <v>-18</v>
      </c>
      <c r="O562" s="18">
        <f>INDEX('Industry Stats'!$E$2:$E$49,MATCH($C562,'Industry Stats'!$A$2:$A$49,0))</f>
        <v>304.33333333333331</v>
      </c>
      <c r="P562" s="19">
        <f t="shared" si="92"/>
        <v>-4.3333333333333144</v>
      </c>
      <c r="R562">
        <f t="shared" si="93"/>
        <v>1133.0009438</v>
      </c>
      <c r="S562">
        <f t="shared" si="94"/>
        <v>533.00094379999996</v>
      </c>
      <c r="T562">
        <f t="shared" si="95"/>
        <v>300.00094380000002</v>
      </c>
      <c r="U562">
        <f t="shared" si="96"/>
        <v>300.00094380000002</v>
      </c>
      <c r="V562">
        <f t="shared" si="97"/>
        <v>-23.999056199999998</v>
      </c>
      <c r="W562">
        <f t="shared" si="98"/>
        <v>24.000943800000002</v>
      </c>
    </row>
    <row r="563" spans="1:23" ht="15" customHeight="1" x14ac:dyDescent="0.35">
      <c r="A563" t="str">
        <f>'Raw Data'!B561</f>
        <v>Spotify Technology SA</v>
      </c>
      <c r="B563" t="str">
        <f>'Raw Data'!A561</f>
        <v>spot</v>
      </c>
      <c r="C563" t="str">
        <f>IF('Raw Data'!E561="N/A","Unclassified",TRIM(SUBSTITUTE('Raw Data'!E561," and "," &amp; ")))</f>
        <v>Media</v>
      </c>
      <c r="D563" s="17">
        <f>'Raw Data'!N561</f>
        <v>500</v>
      </c>
      <c r="E563" s="17">
        <f>'Raw Data'!O561</f>
        <v>283</v>
      </c>
      <c r="F563" s="17">
        <f>'Raw Data'!P561</f>
        <v>255</v>
      </c>
      <c r="G563" s="17">
        <f>'Raw Data'!Q561</f>
        <v>1038</v>
      </c>
      <c r="H563" s="18">
        <f>INDEX('Industry Stats'!$F$2:$F$49,MATCH($C563,'Industry Stats'!$A$2:$A$49,0))</f>
        <v>935.26086956521738</v>
      </c>
      <c r="I563" s="19">
        <f t="shared" si="88"/>
        <v>102.73913043478262</v>
      </c>
      <c r="J563" s="20">
        <f t="shared" si="89"/>
        <v>0.10985077402259311</v>
      </c>
      <c r="K563" s="18">
        <f>INDEX('Industry Stats'!$C$2:$C$49,MATCH($C563,'Industry Stats'!$A$2:$A$49,0))</f>
        <v>346.91304347826087</v>
      </c>
      <c r="L563" s="19">
        <f t="shared" si="90"/>
        <v>153.08695652173913</v>
      </c>
      <c r="M563" s="18">
        <f>INDEX('Industry Stats'!$D$2:$D$49,MATCH($C563,'Industry Stats'!$A$2:$A$49,0))</f>
        <v>313</v>
      </c>
      <c r="N563" s="19">
        <f t="shared" si="91"/>
        <v>-30</v>
      </c>
      <c r="O563" s="18">
        <f>INDEX('Industry Stats'!$E$2:$E$49,MATCH($C563,'Industry Stats'!$A$2:$A$49,0))</f>
        <v>275.3478260869565</v>
      </c>
      <c r="P563" s="19">
        <f t="shared" si="92"/>
        <v>-20.347826086956502</v>
      </c>
      <c r="R563">
        <f t="shared" si="93"/>
        <v>1038.0009437000001</v>
      </c>
      <c r="S563">
        <f t="shared" si="94"/>
        <v>500.00094369999999</v>
      </c>
      <c r="T563">
        <f t="shared" si="95"/>
        <v>283.00094369999999</v>
      </c>
      <c r="U563">
        <f t="shared" si="96"/>
        <v>255.00094369999999</v>
      </c>
      <c r="V563">
        <f t="shared" si="97"/>
        <v>102.74007413478262</v>
      </c>
      <c r="W563">
        <f t="shared" si="98"/>
        <v>-102.73818673478263</v>
      </c>
    </row>
    <row r="564" spans="1:23" ht="15" customHeight="1" x14ac:dyDescent="0.35">
      <c r="A564" t="str">
        <f>'Raw Data'!B562</f>
        <v>Triton International Ltd</v>
      </c>
      <c r="B564" t="str">
        <f>'Raw Data'!A562</f>
        <v>trtn</v>
      </c>
      <c r="C564" t="str">
        <f>IF('Raw Data'!E562="N/A","Unclassified",TRIM(SUBSTITUTE('Raw Data'!E562," and "," &amp; ")))</f>
        <v>Trading Companies &amp; Distributors</v>
      </c>
      <c r="D564" s="17">
        <f>'Raw Data'!N562</f>
        <v>477</v>
      </c>
      <c r="E564" s="17">
        <f>'Raw Data'!O562</f>
        <v>306</v>
      </c>
      <c r="F564" s="17">
        <f>'Raw Data'!P562</f>
        <v>300</v>
      </c>
      <c r="G564" s="17">
        <f>'Raw Data'!Q562</f>
        <v>1083</v>
      </c>
      <c r="H564" s="18">
        <f>INDEX('Industry Stats'!$F$2:$F$49,MATCH($C564,'Industry Stats'!$A$2:$A$49,0))</f>
        <v>885.2</v>
      </c>
      <c r="I564" s="19">
        <f t="shared" si="88"/>
        <v>197.79999999999995</v>
      </c>
      <c r="J564" s="20">
        <f t="shared" si="89"/>
        <v>0.22345232715770441</v>
      </c>
      <c r="K564" s="18">
        <f>INDEX('Industry Stats'!$C$2:$C$49,MATCH($C564,'Industry Stats'!$A$2:$A$49,0))</f>
        <v>332.8</v>
      </c>
      <c r="L564" s="19">
        <f t="shared" si="90"/>
        <v>144.19999999999999</v>
      </c>
      <c r="M564" s="18">
        <f>INDEX('Industry Stats'!$D$2:$D$49,MATCH($C564,'Industry Stats'!$A$2:$A$49,0))</f>
        <v>302.39999999999998</v>
      </c>
      <c r="N564" s="19">
        <f t="shared" si="91"/>
        <v>3.6000000000000227</v>
      </c>
      <c r="O564" s="18">
        <f>INDEX('Industry Stats'!$E$2:$E$49,MATCH($C564,'Industry Stats'!$A$2:$A$49,0))</f>
        <v>250</v>
      </c>
      <c r="P564" s="19">
        <f t="shared" si="92"/>
        <v>50</v>
      </c>
      <c r="R564">
        <f t="shared" si="93"/>
        <v>1083.0009436</v>
      </c>
      <c r="S564">
        <f t="shared" si="94"/>
        <v>477.00094360000003</v>
      </c>
      <c r="T564">
        <f t="shared" si="95"/>
        <v>306.00094360000003</v>
      </c>
      <c r="U564">
        <f t="shared" si="96"/>
        <v>300.00094360000003</v>
      </c>
      <c r="V564">
        <f t="shared" si="97"/>
        <v>197.80094359999995</v>
      </c>
      <c r="W564">
        <f t="shared" si="98"/>
        <v>-197.79905639999996</v>
      </c>
    </row>
    <row r="565" spans="1:23" ht="15" customHeight="1" x14ac:dyDescent="0.35">
      <c r="A565" t="str">
        <f>'Raw Data'!B563</f>
        <v>TPG RE Finance Trust Inc</v>
      </c>
      <c r="B565" t="str">
        <f>'Raw Data'!A563</f>
        <v>trtx</v>
      </c>
      <c r="C565" t="str">
        <f>IF('Raw Data'!E563="N/A","Unclassified",TRIM(SUBSTITUTE('Raw Data'!E563," and "," &amp; ")))</f>
        <v>Real Estate</v>
      </c>
      <c r="D565" s="17">
        <f>'Raw Data'!N563</f>
        <v>230</v>
      </c>
      <c r="E565" s="17">
        <f>'Raw Data'!O563</f>
        <v>239</v>
      </c>
      <c r="F565" s="17">
        <f>'Raw Data'!P563</f>
        <v>300</v>
      </c>
      <c r="G565" s="17">
        <f>'Raw Data'!Q563</f>
        <v>769</v>
      </c>
      <c r="H565" s="18">
        <f>INDEX('Industry Stats'!$F$2:$F$49,MATCH($C565,'Industry Stats'!$A$2:$A$49,0))</f>
        <v>995.94444444444446</v>
      </c>
      <c r="I565" s="19">
        <f t="shared" si="88"/>
        <v>-226.94444444444446</v>
      </c>
      <c r="J565" s="20">
        <f t="shared" si="89"/>
        <v>-0.22786857812238523</v>
      </c>
      <c r="K565" s="18">
        <f>INDEX('Industry Stats'!$C$2:$C$49,MATCH($C565,'Industry Stats'!$A$2:$A$49,0))</f>
        <v>431.38888888888891</v>
      </c>
      <c r="L565" s="19">
        <f t="shared" si="90"/>
        <v>-201.38888888888891</v>
      </c>
      <c r="M565" s="18">
        <f>INDEX('Industry Stats'!$D$2:$D$49,MATCH($C565,'Industry Stats'!$A$2:$A$49,0))</f>
        <v>290.91666666666669</v>
      </c>
      <c r="N565" s="19">
        <f t="shared" si="91"/>
        <v>-51.916666666666686</v>
      </c>
      <c r="O565" s="18">
        <f>INDEX('Industry Stats'!$E$2:$E$49,MATCH($C565,'Industry Stats'!$A$2:$A$49,0))</f>
        <v>273.63888888888891</v>
      </c>
      <c r="P565" s="19">
        <f t="shared" si="92"/>
        <v>26.361111111111086</v>
      </c>
      <c r="R565">
        <f t="shared" si="93"/>
        <v>769.00094349999995</v>
      </c>
      <c r="S565">
        <f t="shared" si="94"/>
        <v>230.00094350000001</v>
      </c>
      <c r="T565">
        <f t="shared" si="95"/>
        <v>239.00094350000001</v>
      </c>
      <c r="U565">
        <f t="shared" si="96"/>
        <v>300.00094350000001</v>
      </c>
      <c r="V565">
        <f t="shared" si="97"/>
        <v>-226.94350094444445</v>
      </c>
      <c r="W565">
        <f t="shared" si="98"/>
        <v>226.94538794444446</v>
      </c>
    </row>
    <row r="566" spans="1:23" ht="15" customHeight="1" x14ac:dyDescent="0.35">
      <c r="A566" t="str">
        <f>'Raw Data'!B564</f>
        <v>TransUnion</v>
      </c>
      <c r="B566" t="str">
        <f>'Raw Data'!A564</f>
        <v>tru</v>
      </c>
      <c r="C566" t="str">
        <f>IF('Raw Data'!E564="N/A","Unclassified",TRIM(SUBSTITUTE('Raw Data'!E564," and "," &amp; ")))</f>
        <v>Professional Services</v>
      </c>
      <c r="D566" s="17">
        <f>'Raw Data'!N564</f>
        <v>510</v>
      </c>
      <c r="E566" s="17">
        <f>'Raw Data'!O564</f>
        <v>313</v>
      </c>
      <c r="F566" s="17">
        <f>'Raw Data'!P564</f>
        <v>310</v>
      </c>
      <c r="G566" s="17">
        <f>'Raw Data'!Q564</f>
        <v>1133</v>
      </c>
      <c r="H566" s="18">
        <f>INDEX('Industry Stats'!$F$2:$F$49,MATCH($C566,'Industry Stats'!$A$2:$A$49,0))</f>
        <v>1047.8571428571429</v>
      </c>
      <c r="I566" s="19">
        <f t="shared" si="88"/>
        <v>85.14285714285711</v>
      </c>
      <c r="J566" s="20">
        <f t="shared" si="89"/>
        <v>8.1254260395364653E-2</v>
      </c>
      <c r="K566" s="18">
        <f>INDEX('Industry Stats'!$C$2:$C$49,MATCH($C566,'Industry Stats'!$A$2:$A$49,0))</f>
        <v>435</v>
      </c>
      <c r="L566" s="19">
        <f t="shared" si="90"/>
        <v>75</v>
      </c>
      <c r="M566" s="18">
        <f>INDEX('Industry Stats'!$D$2:$D$49,MATCH($C566,'Industry Stats'!$A$2:$A$49,0))</f>
        <v>312.42857142857144</v>
      </c>
      <c r="N566" s="19">
        <f t="shared" si="91"/>
        <v>0.57142857142855519</v>
      </c>
      <c r="O566" s="18">
        <f>INDEX('Industry Stats'!$E$2:$E$49,MATCH($C566,'Industry Stats'!$A$2:$A$49,0))</f>
        <v>300.42857142857144</v>
      </c>
      <c r="P566" s="19">
        <f t="shared" si="92"/>
        <v>9.5714285714285552</v>
      </c>
      <c r="R566">
        <f t="shared" si="93"/>
        <v>1133.0009434000001</v>
      </c>
      <c r="S566">
        <f t="shared" si="94"/>
        <v>510.00094339999998</v>
      </c>
      <c r="T566">
        <f t="shared" si="95"/>
        <v>313.00094339999998</v>
      </c>
      <c r="U566">
        <f t="shared" si="96"/>
        <v>310.00094339999998</v>
      </c>
      <c r="V566">
        <f t="shared" si="97"/>
        <v>85.143800542857107</v>
      </c>
      <c r="W566">
        <f t="shared" si="98"/>
        <v>-85.141913742857113</v>
      </c>
    </row>
    <row r="567" spans="1:23" ht="15" customHeight="1" x14ac:dyDescent="0.35">
      <c r="A567" t="str">
        <f>'Raw Data'!B565</f>
        <v>Yeti Holdings Inc</v>
      </c>
      <c r="B567" t="str">
        <f>'Raw Data'!A565</f>
        <v>yeti</v>
      </c>
      <c r="C567" t="str">
        <f>IF('Raw Data'!E565="N/A","Unclassified",TRIM(SUBSTITUTE('Raw Data'!E565," and "," &amp; ")))</f>
        <v>Leisure Products</v>
      </c>
      <c r="D567" s="17">
        <f>'Raw Data'!N565</f>
        <v>269</v>
      </c>
      <c r="E567" s="17">
        <f>'Raw Data'!O565</f>
        <v>253</v>
      </c>
      <c r="F567" s="17">
        <f>'Raw Data'!P565</f>
        <v>305</v>
      </c>
      <c r="G567" s="17">
        <f>'Raw Data'!Q565</f>
        <v>827</v>
      </c>
      <c r="H567" s="18">
        <f>INDEX('Industry Stats'!$F$2:$F$49,MATCH($C567,'Industry Stats'!$A$2:$A$49,0))</f>
        <v>780</v>
      </c>
      <c r="I567" s="19">
        <f t="shared" si="88"/>
        <v>47</v>
      </c>
      <c r="J567" s="20">
        <f t="shared" si="89"/>
        <v>6.0256410256410257E-2</v>
      </c>
      <c r="K567" s="18">
        <f>INDEX('Industry Stats'!$C$2:$C$49,MATCH($C567,'Industry Stats'!$A$2:$A$49,0))</f>
        <v>252.33333333333334</v>
      </c>
      <c r="L567" s="19">
        <f t="shared" si="90"/>
        <v>16.666666666666657</v>
      </c>
      <c r="M567" s="18">
        <f>INDEX('Industry Stats'!$D$2:$D$49,MATCH($C567,'Industry Stats'!$A$2:$A$49,0))</f>
        <v>259.33333333333331</v>
      </c>
      <c r="N567" s="19">
        <f t="shared" si="91"/>
        <v>-6.3333333333333144</v>
      </c>
      <c r="O567" s="18">
        <f>INDEX('Industry Stats'!$E$2:$E$49,MATCH($C567,'Industry Stats'!$A$2:$A$49,0))</f>
        <v>268.33333333333331</v>
      </c>
      <c r="P567" s="19">
        <f t="shared" si="92"/>
        <v>36.666666666666686</v>
      </c>
      <c r="R567">
        <f t="shared" si="93"/>
        <v>827.00094330000002</v>
      </c>
      <c r="S567">
        <f t="shared" si="94"/>
        <v>269.00094330000002</v>
      </c>
      <c r="T567">
        <f t="shared" si="95"/>
        <v>253.00094329999999</v>
      </c>
      <c r="U567">
        <f t="shared" si="96"/>
        <v>305.00094330000002</v>
      </c>
      <c r="V567">
        <f t="shared" si="97"/>
        <v>47.000943300000003</v>
      </c>
      <c r="W567">
        <f t="shared" si="98"/>
        <v>-46.999056699999997</v>
      </c>
    </row>
    <row r="568" spans="1:23" ht="15" customHeight="1" x14ac:dyDescent="0.35">
      <c r="A568" t="str">
        <f>'Raw Data'!B566</f>
        <v>Yelp Inc</v>
      </c>
      <c r="B568" t="str">
        <f>'Raw Data'!A566</f>
        <v>yelp</v>
      </c>
      <c r="C568" t="str">
        <f>IF('Raw Data'!E566="N/A","Unclassified",TRIM(SUBSTITUTE('Raw Data'!E566," and "," &amp; ")))</f>
        <v>Media</v>
      </c>
      <c r="D568" s="17">
        <f>'Raw Data'!N566</f>
        <v>245</v>
      </c>
      <c r="E568" s="17">
        <f>'Raw Data'!O566</f>
        <v>515</v>
      </c>
      <c r="F568" s="17">
        <f>'Raw Data'!P566</f>
        <v>213</v>
      </c>
      <c r="G568" s="17">
        <f>'Raw Data'!Q566</f>
        <v>973</v>
      </c>
      <c r="H568" s="18">
        <f>INDEX('Industry Stats'!$F$2:$F$49,MATCH($C568,'Industry Stats'!$A$2:$A$49,0))</f>
        <v>935.26086956521738</v>
      </c>
      <c r="I568" s="19">
        <f t="shared" si="88"/>
        <v>37.739130434782624</v>
      </c>
      <c r="J568" s="20">
        <f t="shared" si="89"/>
        <v>4.035144809632283E-2</v>
      </c>
      <c r="K568" s="18">
        <f>INDEX('Industry Stats'!$C$2:$C$49,MATCH($C568,'Industry Stats'!$A$2:$A$49,0))</f>
        <v>346.91304347826087</v>
      </c>
      <c r="L568" s="19">
        <f t="shared" si="90"/>
        <v>-101.91304347826087</v>
      </c>
      <c r="M568" s="18">
        <f>INDEX('Industry Stats'!$D$2:$D$49,MATCH($C568,'Industry Stats'!$A$2:$A$49,0))</f>
        <v>313</v>
      </c>
      <c r="N568" s="19">
        <f t="shared" si="91"/>
        <v>202</v>
      </c>
      <c r="O568" s="18">
        <f>INDEX('Industry Stats'!$E$2:$E$49,MATCH($C568,'Industry Stats'!$A$2:$A$49,0))</f>
        <v>275.3478260869565</v>
      </c>
      <c r="P568" s="19">
        <f t="shared" si="92"/>
        <v>-62.347826086956502</v>
      </c>
      <c r="R568">
        <f t="shared" si="93"/>
        <v>973.00094320000005</v>
      </c>
      <c r="S568">
        <f t="shared" si="94"/>
        <v>245.00094319999999</v>
      </c>
      <c r="T568">
        <f t="shared" si="95"/>
        <v>515.00094320000005</v>
      </c>
      <c r="U568">
        <f t="shared" si="96"/>
        <v>213.00094319999999</v>
      </c>
      <c r="V568">
        <f t="shared" si="97"/>
        <v>37.740073634782625</v>
      </c>
      <c r="W568">
        <f t="shared" si="98"/>
        <v>-37.738187234782622</v>
      </c>
    </row>
    <row r="569" spans="1:23" ht="15" customHeight="1" x14ac:dyDescent="0.35">
      <c r="A569" t="str">
        <f>'Raw Data'!B567</f>
        <v>Yext Inc</v>
      </c>
      <c r="B569" t="str">
        <f>'Raw Data'!A567</f>
        <v>yext</v>
      </c>
      <c r="C569" t="str">
        <f>IF('Raw Data'!E567="N/A","Unclassified",TRIM(SUBSTITUTE('Raw Data'!E567," and "," &amp; ")))</f>
        <v>Technology</v>
      </c>
      <c r="D569" s="17">
        <f>'Raw Data'!N567</f>
        <v>325</v>
      </c>
      <c r="E569" s="17">
        <f>'Raw Data'!O567</f>
        <v>314</v>
      </c>
      <c r="F569" s="17">
        <f>'Raw Data'!P567</f>
        <v>310</v>
      </c>
      <c r="G569" s="17">
        <f>'Raw Data'!Q567</f>
        <v>949</v>
      </c>
      <c r="H569" s="18">
        <f>INDEX('Industry Stats'!$F$2:$F$49,MATCH($C569,'Industry Stats'!$A$2:$A$49,0))</f>
        <v>1031.3174603174602</v>
      </c>
      <c r="I569" s="19">
        <f t="shared" si="88"/>
        <v>-82.317460317460245</v>
      </c>
      <c r="J569" s="20">
        <f t="shared" si="89"/>
        <v>-7.9817770458498083E-2</v>
      </c>
      <c r="K569" s="18">
        <f>INDEX('Industry Stats'!$C$2:$C$49,MATCH($C569,'Industry Stats'!$A$2:$A$49,0))</f>
        <v>438.11111111111109</v>
      </c>
      <c r="L569" s="19">
        <f t="shared" si="90"/>
        <v>-113.11111111111109</v>
      </c>
      <c r="M569" s="18">
        <f>INDEX('Industry Stats'!$D$2:$D$49,MATCH($C569,'Industry Stats'!$A$2:$A$49,0))</f>
        <v>307.90476190476193</v>
      </c>
      <c r="N569" s="19">
        <f t="shared" si="91"/>
        <v>6.0952380952380736</v>
      </c>
      <c r="O569" s="18">
        <f>INDEX('Industry Stats'!$E$2:$E$49,MATCH($C569,'Industry Stats'!$A$2:$A$49,0))</f>
        <v>285.30158730158729</v>
      </c>
      <c r="P569" s="19">
        <f t="shared" si="92"/>
        <v>24.69841269841271</v>
      </c>
      <c r="R569">
        <f t="shared" si="93"/>
        <v>949.00094309999997</v>
      </c>
      <c r="S569">
        <f t="shared" si="94"/>
        <v>325.00094309999997</v>
      </c>
      <c r="T569">
        <f t="shared" si="95"/>
        <v>314.00094309999997</v>
      </c>
      <c r="U569">
        <f t="shared" si="96"/>
        <v>310.00094309999997</v>
      </c>
      <c r="V569">
        <f t="shared" si="97"/>
        <v>-82.316517217460245</v>
      </c>
      <c r="W569">
        <f t="shared" si="98"/>
        <v>82.318403417460246</v>
      </c>
    </row>
    <row r="570" spans="1:23" ht="15" customHeight="1" x14ac:dyDescent="0.35">
      <c r="A570" t="str">
        <f>'Raw Data'!B568</f>
        <v>Spirit AeroSystems Holdings Inc</v>
      </c>
      <c r="B570" t="str">
        <f>'Raw Data'!A568</f>
        <v>spr</v>
      </c>
      <c r="C570" t="str">
        <f>IF('Raw Data'!E568="N/A","Unclassified",TRIM(SUBSTITUTE('Raw Data'!E568," and "," &amp; ")))</f>
        <v>Aerospace &amp; Defense</v>
      </c>
      <c r="D570" s="17">
        <f>'Raw Data'!N568</f>
        <v>515</v>
      </c>
      <c r="E570" s="17">
        <f>'Raw Data'!O568</f>
        <v>337</v>
      </c>
      <c r="F570" s="17">
        <f>'Raw Data'!P568</f>
        <v>300</v>
      </c>
      <c r="G570" s="17">
        <f>'Raw Data'!Q568</f>
        <v>1152</v>
      </c>
      <c r="H570" s="18">
        <f>INDEX('Industry Stats'!$F$2:$F$49,MATCH($C570,'Industry Stats'!$A$2:$A$49,0))</f>
        <v>1048.1818181818182</v>
      </c>
      <c r="I570" s="19">
        <f t="shared" si="88"/>
        <v>103.81818181818176</v>
      </c>
      <c r="J570" s="20">
        <f t="shared" si="89"/>
        <v>9.9045967042497768E-2</v>
      </c>
      <c r="K570" s="18">
        <f>INDEX('Industry Stats'!$C$2:$C$49,MATCH($C570,'Industry Stats'!$A$2:$A$49,0))</f>
        <v>461.36363636363637</v>
      </c>
      <c r="L570" s="19">
        <f t="shared" si="90"/>
        <v>53.636363636363626</v>
      </c>
      <c r="M570" s="18">
        <f>INDEX('Industry Stats'!$D$2:$D$49,MATCH($C570,'Industry Stats'!$A$2:$A$49,0))</f>
        <v>296.36363636363637</v>
      </c>
      <c r="N570" s="19">
        <f t="shared" si="91"/>
        <v>40.636363636363626</v>
      </c>
      <c r="O570" s="18">
        <f>INDEX('Industry Stats'!$E$2:$E$49,MATCH($C570,'Industry Stats'!$A$2:$A$49,0))</f>
        <v>290.45454545454544</v>
      </c>
      <c r="P570" s="19">
        <f t="shared" si="92"/>
        <v>9.545454545454561</v>
      </c>
      <c r="R570">
        <f t="shared" si="93"/>
        <v>1152.000943</v>
      </c>
      <c r="S570">
        <f t="shared" si="94"/>
        <v>515.00094300000001</v>
      </c>
      <c r="T570">
        <f t="shared" si="95"/>
        <v>337.00094300000001</v>
      </c>
      <c r="U570">
        <f t="shared" si="96"/>
        <v>300.00094300000001</v>
      </c>
      <c r="V570">
        <f t="shared" si="97"/>
        <v>103.81912481818176</v>
      </c>
      <c r="W570">
        <f t="shared" si="98"/>
        <v>-103.81723881818175</v>
      </c>
    </row>
    <row r="571" spans="1:23" ht="15" customHeight="1" x14ac:dyDescent="0.35">
      <c r="A571" t="str">
        <f>'Raw Data'!B569</f>
        <v>Yatsen Holding Ltd</v>
      </c>
      <c r="B571" t="str">
        <f>'Raw Data'!A569</f>
        <v>ysg</v>
      </c>
      <c r="C571" t="str">
        <f>IF('Raw Data'!E569="N/A","Unclassified",TRIM(SUBSTITUTE('Raw Data'!E569," and "," &amp; ")))</f>
        <v>Consumer products</v>
      </c>
      <c r="D571" s="17">
        <f>'Raw Data'!N569</f>
        <v>355</v>
      </c>
      <c r="E571" s="17">
        <f>'Raw Data'!O569</f>
        <v>217</v>
      </c>
      <c r="F571" s="17">
        <f>'Raw Data'!P569</f>
        <v>325</v>
      </c>
      <c r="G571" s="17">
        <f>'Raw Data'!Q569</f>
        <v>897</v>
      </c>
      <c r="H571" s="18">
        <f>INDEX('Industry Stats'!$F$2:$F$49,MATCH($C571,'Industry Stats'!$A$2:$A$49,0))</f>
        <v>945.55</v>
      </c>
      <c r="I571" s="19">
        <f t="shared" si="88"/>
        <v>-48.549999999999955</v>
      </c>
      <c r="J571" s="20">
        <f t="shared" si="89"/>
        <v>-5.1345777589762526E-2</v>
      </c>
      <c r="K571" s="18">
        <f>INDEX('Industry Stats'!$C$2:$C$49,MATCH($C571,'Industry Stats'!$A$2:$A$49,0))</f>
        <v>384.9</v>
      </c>
      <c r="L571" s="19">
        <f t="shared" si="90"/>
        <v>-29.899999999999977</v>
      </c>
      <c r="M571" s="18">
        <f>INDEX('Industry Stats'!$D$2:$D$49,MATCH($C571,'Industry Stats'!$A$2:$A$49,0))</f>
        <v>285.7</v>
      </c>
      <c r="N571" s="19">
        <f t="shared" si="91"/>
        <v>-68.699999999999989</v>
      </c>
      <c r="O571" s="18">
        <f>INDEX('Industry Stats'!$E$2:$E$49,MATCH($C571,'Industry Stats'!$A$2:$A$49,0))</f>
        <v>274.95</v>
      </c>
      <c r="P571" s="19">
        <f t="shared" si="92"/>
        <v>50.050000000000011</v>
      </c>
      <c r="R571">
        <f t="shared" si="93"/>
        <v>897.00094290000004</v>
      </c>
      <c r="S571">
        <f t="shared" si="94"/>
        <v>355.00094289999998</v>
      </c>
      <c r="T571">
        <f t="shared" si="95"/>
        <v>217.00094290000001</v>
      </c>
      <c r="U571">
        <f t="shared" si="96"/>
        <v>325.00094289999998</v>
      </c>
      <c r="V571">
        <f t="shared" si="97"/>
        <v>-48.549057099999956</v>
      </c>
      <c r="W571">
        <f t="shared" si="98"/>
        <v>48.550942899999953</v>
      </c>
    </row>
    <row r="572" spans="1:23" ht="15" customHeight="1" x14ac:dyDescent="0.35">
      <c r="A572" t="str">
        <f>'Raw Data'!B570</f>
        <v>Yiren Digital Ltd</v>
      </c>
      <c r="B572" t="str">
        <f>'Raw Data'!A570</f>
        <v>yrd</v>
      </c>
      <c r="C572" t="str">
        <f>IF('Raw Data'!E570="N/A","Unclassified",TRIM(SUBSTITUTE('Raw Data'!E570," and "," &amp; ")))</f>
        <v>Financial Services</v>
      </c>
      <c r="D572" s="17">
        <f>'Raw Data'!N570</f>
        <v>200</v>
      </c>
      <c r="E572" s="17">
        <f>'Raw Data'!O570</f>
        <v>205</v>
      </c>
      <c r="F572" s="17">
        <f>'Raw Data'!P570</f>
        <v>205</v>
      </c>
      <c r="G572" s="17">
        <f>'Raw Data'!Q570</f>
        <v>610</v>
      </c>
      <c r="H572" s="18">
        <f>INDEX('Industry Stats'!$F$2:$F$49,MATCH($C572,'Industry Stats'!$A$2:$A$49,0))</f>
        <v>909.33333333333337</v>
      </c>
      <c r="I572" s="19">
        <f t="shared" si="88"/>
        <v>-299.33333333333337</v>
      </c>
      <c r="J572" s="20">
        <f t="shared" si="89"/>
        <v>-0.32917888563049857</v>
      </c>
      <c r="K572" s="18">
        <f>INDEX('Industry Stats'!$C$2:$C$49,MATCH($C572,'Industry Stats'!$A$2:$A$49,0))</f>
        <v>367.63636363636363</v>
      </c>
      <c r="L572" s="19">
        <f t="shared" si="90"/>
        <v>-167.63636363636363</v>
      </c>
      <c r="M572" s="18">
        <f>INDEX('Industry Stats'!$D$2:$D$49,MATCH($C572,'Industry Stats'!$A$2:$A$49,0))</f>
        <v>276.45454545454544</v>
      </c>
      <c r="N572" s="19">
        <f t="shared" si="91"/>
        <v>-71.454545454545439</v>
      </c>
      <c r="O572" s="18">
        <f>INDEX('Industry Stats'!$E$2:$E$49,MATCH($C572,'Industry Stats'!$A$2:$A$49,0))</f>
        <v>265.24242424242425</v>
      </c>
      <c r="P572" s="19">
        <f t="shared" si="92"/>
        <v>-60.242424242424249</v>
      </c>
      <c r="R572">
        <f t="shared" si="93"/>
        <v>610.00094279999996</v>
      </c>
      <c r="S572">
        <f t="shared" si="94"/>
        <v>200.00094279999999</v>
      </c>
      <c r="T572">
        <f t="shared" si="95"/>
        <v>205.00094279999999</v>
      </c>
      <c r="U572">
        <f t="shared" si="96"/>
        <v>205.00094279999999</v>
      </c>
      <c r="V572">
        <f t="shared" si="97"/>
        <v>-299.33239053333335</v>
      </c>
      <c r="W572">
        <f t="shared" si="98"/>
        <v>299.33427613333339</v>
      </c>
    </row>
    <row r="573" spans="1:23" ht="15" customHeight="1" x14ac:dyDescent="0.35">
      <c r="A573" t="str">
        <f>'Raw Data'!B571</f>
        <v>Yum China Holdings Inc</v>
      </c>
      <c r="B573" t="str">
        <f>'Raw Data'!A571</f>
        <v>yumc</v>
      </c>
      <c r="C573" t="str">
        <f>IF('Raw Data'!E571="N/A","Unclassified",TRIM(SUBSTITUTE('Raw Data'!E571," and "," &amp; ")))</f>
        <v>Hotels Restaurants &amp; Leisure</v>
      </c>
      <c r="D573" s="17">
        <f>'Raw Data'!N571</f>
        <v>205</v>
      </c>
      <c r="E573" s="17">
        <f>'Raw Data'!O571</f>
        <v>217</v>
      </c>
      <c r="F573" s="17">
        <f>'Raw Data'!P571</f>
        <v>220</v>
      </c>
      <c r="G573" s="17">
        <f>'Raw Data'!Q571</f>
        <v>642</v>
      </c>
      <c r="H573" s="18">
        <f>INDEX('Industry Stats'!$F$2:$F$49,MATCH($C573,'Industry Stats'!$A$2:$A$49,0))</f>
        <v>918.86363636363637</v>
      </c>
      <c r="I573" s="19">
        <f t="shared" si="88"/>
        <v>-276.86363636363637</v>
      </c>
      <c r="J573" s="20">
        <f t="shared" si="89"/>
        <v>-0.30131090774177594</v>
      </c>
      <c r="K573" s="18">
        <f>INDEX('Industry Stats'!$C$2:$C$49,MATCH($C573,'Industry Stats'!$A$2:$A$49,0))</f>
        <v>374.63636363636363</v>
      </c>
      <c r="L573" s="19">
        <f t="shared" si="90"/>
        <v>-169.63636363636363</v>
      </c>
      <c r="M573" s="18">
        <f>INDEX('Industry Stats'!$D$2:$D$49,MATCH($C573,'Industry Stats'!$A$2:$A$49,0))</f>
        <v>283.04545454545456</v>
      </c>
      <c r="N573" s="19">
        <f t="shared" si="91"/>
        <v>-66.045454545454561</v>
      </c>
      <c r="O573" s="18">
        <f>INDEX('Industry Stats'!$E$2:$E$49,MATCH($C573,'Industry Stats'!$A$2:$A$49,0))</f>
        <v>261.18181818181819</v>
      </c>
      <c r="P573" s="19">
        <f t="shared" si="92"/>
        <v>-41.181818181818187</v>
      </c>
      <c r="R573">
        <f t="shared" si="93"/>
        <v>642.0009427</v>
      </c>
      <c r="S573">
        <f t="shared" si="94"/>
        <v>205.0009427</v>
      </c>
      <c r="T573">
        <f t="shared" si="95"/>
        <v>217.0009427</v>
      </c>
      <c r="U573">
        <f t="shared" si="96"/>
        <v>220.0009427</v>
      </c>
      <c r="V573">
        <f t="shared" si="97"/>
        <v>-276.86269366363638</v>
      </c>
      <c r="W573">
        <f t="shared" si="98"/>
        <v>276.86457906363637</v>
      </c>
    </row>
    <row r="574" spans="1:23" ht="15" customHeight="1" x14ac:dyDescent="0.35">
      <c r="A574" t="str">
        <f>'Raw Data'!B572</f>
        <v>Tronox Holdings PLC</v>
      </c>
      <c r="B574" t="str">
        <f>'Raw Data'!A572</f>
        <v>trox</v>
      </c>
      <c r="C574" t="str">
        <f>IF('Raw Data'!E572="N/A","Unclassified",TRIM(SUBSTITUTE('Raw Data'!E572," and "," &amp; ")))</f>
        <v>Chemicals</v>
      </c>
      <c r="D574" s="17">
        <f>'Raw Data'!N572</f>
        <v>503</v>
      </c>
      <c r="E574" s="17">
        <f>'Raw Data'!O572</f>
        <v>320</v>
      </c>
      <c r="F574" s="17">
        <f>'Raw Data'!P572</f>
        <v>300</v>
      </c>
      <c r="G574" s="17">
        <f>'Raw Data'!Q572</f>
        <v>1123</v>
      </c>
      <c r="H574" s="18">
        <f>INDEX('Industry Stats'!$F$2:$F$49,MATCH($C574,'Industry Stats'!$A$2:$A$49,0))</f>
        <v>1058.8947368421052</v>
      </c>
      <c r="I574" s="19">
        <f t="shared" si="88"/>
        <v>64.105263157894797</v>
      </c>
      <c r="J574" s="20">
        <f t="shared" si="89"/>
        <v>6.0539788259853927E-2</v>
      </c>
      <c r="K574" s="18">
        <f>INDEX('Industry Stats'!$C$2:$C$49,MATCH($C574,'Industry Stats'!$A$2:$A$49,0))</f>
        <v>463.73684210526318</v>
      </c>
      <c r="L574" s="19">
        <f t="shared" si="90"/>
        <v>39.263157894736821</v>
      </c>
      <c r="M574" s="18">
        <f>INDEX('Industry Stats'!$D$2:$D$49,MATCH($C574,'Industry Stats'!$A$2:$A$49,0))</f>
        <v>304.36842105263156</v>
      </c>
      <c r="N574" s="19">
        <f t="shared" si="91"/>
        <v>15.631578947368439</v>
      </c>
      <c r="O574" s="18">
        <f>INDEX('Industry Stats'!$E$2:$E$49,MATCH($C574,'Industry Stats'!$A$2:$A$49,0))</f>
        <v>290.78947368421052</v>
      </c>
      <c r="P574" s="19">
        <f t="shared" si="92"/>
        <v>9.2105263157894797</v>
      </c>
      <c r="R574">
        <f t="shared" si="93"/>
        <v>1123.0009425999999</v>
      </c>
      <c r="S574">
        <f t="shared" si="94"/>
        <v>503.00094259999997</v>
      </c>
      <c r="T574">
        <f t="shared" si="95"/>
        <v>320.00094259999997</v>
      </c>
      <c r="U574">
        <f t="shared" si="96"/>
        <v>300.00094259999997</v>
      </c>
      <c r="V574">
        <f t="shared" si="97"/>
        <v>64.106205757894799</v>
      </c>
      <c r="W574">
        <f t="shared" si="98"/>
        <v>-64.104320557894795</v>
      </c>
    </row>
    <row r="575" spans="1:23" ht="15" customHeight="1" x14ac:dyDescent="0.35">
      <c r="A575" t="str">
        <f>'Raw Data'!B573</f>
        <v>Zepp Health Corp</v>
      </c>
      <c r="B575" t="str">
        <f>'Raw Data'!A573</f>
        <v>zepp</v>
      </c>
      <c r="C575" t="str">
        <f>IF('Raw Data'!E573="N/A","Unclassified",TRIM(SUBSTITUTE('Raw Data'!E573," and "," &amp; ")))</f>
        <v>Electrical Equipment</v>
      </c>
      <c r="D575" s="17">
        <f>'Raw Data'!N573</f>
        <v>202</v>
      </c>
      <c r="E575" s="17">
        <f>'Raw Data'!O573</f>
        <v>210</v>
      </c>
      <c r="F575" s="17">
        <f>'Raw Data'!P573</f>
        <v>295</v>
      </c>
      <c r="G575" s="17">
        <f>'Raw Data'!Q573</f>
        <v>707</v>
      </c>
      <c r="H575" s="18">
        <f>INDEX('Industry Stats'!$F$2:$F$49,MATCH($C575,'Industry Stats'!$A$2:$A$49,0))</f>
        <v>933</v>
      </c>
      <c r="I575" s="19">
        <f t="shared" si="88"/>
        <v>-226</v>
      </c>
      <c r="J575" s="20">
        <f t="shared" si="89"/>
        <v>-0.2422293676312969</v>
      </c>
      <c r="K575" s="18">
        <f>INDEX('Industry Stats'!$C$2:$C$49,MATCH($C575,'Industry Stats'!$A$2:$A$49,0))</f>
        <v>381.7037037037037</v>
      </c>
      <c r="L575" s="19">
        <f t="shared" si="90"/>
        <v>-179.7037037037037</v>
      </c>
      <c r="M575" s="18">
        <f>INDEX('Industry Stats'!$D$2:$D$49,MATCH($C575,'Industry Stats'!$A$2:$A$49,0))</f>
        <v>272.11111111111109</v>
      </c>
      <c r="N575" s="19">
        <f t="shared" si="91"/>
        <v>-62.111111111111086</v>
      </c>
      <c r="O575" s="18">
        <f>INDEX('Industry Stats'!$E$2:$E$49,MATCH($C575,'Industry Stats'!$A$2:$A$49,0))</f>
        <v>279.18518518518516</v>
      </c>
      <c r="P575" s="19">
        <f t="shared" si="92"/>
        <v>15.814814814814838</v>
      </c>
      <c r="R575">
        <f t="shared" si="93"/>
        <v>707.00094249999995</v>
      </c>
      <c r="S575">
        <f t="shared" si="94"/>
        <v>202.00094250000001</v>
      </c>
      <c r="T575">
        <f t="shared" si="95"/>
        <v>210.00094250000001</v>
      </c>
      <c r="U575">
        <f t="shared" si="96"/>
        <v>295.00094250000001</v>
      </c>
      <c r="V575">
        <f t="shared" si="97"/>
        <v>-225.99905749999999</v>
      </c>
      <c r="W575">
        <f t="shared" si="98"/>
        <v>226.00094250000001</v>
      </c>
    </row>
    <row r="576" spans="1:23" ht="15" customHeight="1" x14ac:dyDescent="0.35">
      <c r="A576" t="str">
        <f>'Raw Data'!B574</f>
        <v>Lightning eMotors Inc</v>
      </c>
      <c r="B576" t="str">
        <f>'Raw Data'!A574</f>
        <v>zev</v>
      </c>
      <c r="C576" t="str">
        <f>IF('Raw Data'!E574="N/A","Unclassified",TRIM(SUBSTITUTE('Raw Data'!E574," and "," &amp; ")))</f>
        <v>Machinery</v>
      </c>
      <c r="D576" s="17">
        <f>'Raw Data'!N574</f>
        <v>535</v>
      </c>
      <c r="E576" s="17">
        <f>'Raw Data'!O574</f>
        <v>391</v>
      </c>
      <c r="F576" s="17">
        <f>'Raw Data'!P574</f>
        <v>240</v>
      </c>
      <c r="G576" s="17">
        <f>'Raw Data'!Q574</f>
        <v>1166</v>
      </c>
      <c r="H576" s="18">
        <f>INDEX('Industry Stats'!$F$2:$F$49,MATCH($C576,'Industry Stats'!$A$2:$A$49,0))</f>
        <v>1048.047619047619</v>
      </c>
      <c r="I576" s="19">
        <f t="shared" si="88"/>
        <v>117.95238095238096</v>
      </c>
      <c r="J576" s="20">
        <f t="shared" si="89"/>
        <v>0.11254486800854197</v>
      </c>
      <c r="K576" s="18">
        <f>INDEX('Industry Stats'!$C$2:$C$49,MATCH($C576,'Industry Stats'!$A$2:$A$49,0))</f>
        <v>459.57142857142856</v>
      </c>
      <c r="L576" s="19">
        <f t="shared" si="90"/>
        <v>75.428571428571445</v>
      </c>
      <c r="M576" s="18">
        <f>INDEX('Industry Stats'!$D$2:$D$49,MATCH($C576,'Industry Stats'!$A$2:$A$49,0))</f>
        <v>313.66666666666669</v>
      </c>
      <c r="N576" s="19">
        <f t="shared" si="91"/>
        <v>77.333333333333314</v>
      </c>
      <c r="O576" s="18">
        <f>INDEX('Industry Stats'!$E$2:$E$49,MATCH($C576,'Industry Stats'!$A$2:$A$49,0))</f>
        <v>274.8095238095238</v>
      </c>
      <c r="P576" s="19">
        <f t="shared" si="92"/>
        <v>-34.809523809523796</v>
      </c>
      <c r="R576">
        <f t="shared" si="93"/>
        <v>1166.0009424</v>
      </c>
      <c r="S576">
        <f t="shared" si="94"/>
        <v>535.00094239999999</v>
      </c>
      <c r="T576">
        <f t="shared" si="95"/>
        <v>391.00094239999999</v>
      </c>
      <c r="U576">
        <f t="shared" si="96"/>
        <v>240.00094240000001</v>
      </c>
      <c r="V576">
        <f t="shared" si="97"/>
        <v>117.95332335238096</v>
      </c>
      <c r="W576">
        <f t="shared" si="98"/>
        <v>-117.95143855238096</v>
      </c>
    </row>
    <row r="577" spans="1:23" ht="15" customHeight="1" x14ac:dyDescent="0.35">
      <c r="A577" t="str">
        <f>'Raw Data'!B575</f>
        <v>Zuora Inc</v>
      </c>
      <c r="B577" t="str">
        <f>'Raw Data'!A575</f>
        <v>zuo</v>
      </c>
      <c r="C577" t="str">
        <f>IF('Raw Data'!E575="N/A","Unclassified",TRIM(SUBSTITUTE('Raw Data'!E575," and "," &amp; ")))</f>
        <v>Technology</v>
      </c>
      <c r="D577" s="17">
        <f>'Raw Data'!N575</f>
        <v>240</v>
      </c>
      <c r="E577" s="17">
        <f>'Raw Data'!O575</f>
        <v>234</v>
      </c>
      <c r="F577" s="17">
        <f>'Raw Data'!P575</f>
        <v>200</v>
      </c>
      <c r="G577" s="17">
        <f>'Raw Data'!Q575</f>
        <v>674</v>
      </c>
      <c r="H577" s="18">
        <f>INDEX('Industry Stats'!$F$2:$F$49,MATCH($C577,'Industry Stats'!$A$2:$A$49,0))</f>
        <v>1031.3174603174602</v>
      </c>
      <c r="I577" s="19">
        <f t="shared" si="88"/>
        <v>-357.31746031746025</v>
      </c>
      <c r="J577" s="20">
        <f t="shared" si="89"/>
        <v>-0.34646699398211561</v>
      </c>
      <c r="K577" s="18">
        <f>INDEX('Industry Stats'!$C$2:$C$49,MATCH($C577,'Industry Stats'!$A$2:$A$49,0))</f>
        <v>438.11111111111109</v>
      </c>
      <c r="L577" s="19">
        <f t="shared" si="90"/>
        <v>-198.11111111111109</v>
      </c>
      <c r="M577" s="18">
        <f>INDEX('Industry Stats'!$D$2:$D$49,MATCH($C577,'Industry Stats'!$A$2:$A$49,0))</f>
        <v>307.90476190476193</v>
      </c>
      <c r="N577" s="19">
        <f t="shared" si="91"/>
        <v>-73.904761904761926</v>
      </c>
      <c r="O577" s="18">
        <f>INDEX('Industry Stats'!$E$2:$E$49,MATCH($C577,'Industry Stats'!$A$2:$A$49,0))</f>
        <v>285.30158730158729</v>
      </c>
      <c r="P577" s="19">
        <f t="shared" si="92"/>
        <v>-85.30158730158729</v>
      </c>
      <c r="R577">
        <f t="shared" si="93"/>
        <v>674.00094230000002</v>
      </c>
      <c r="S577">
        <f t="shared" si="94"/>
        <v>240.00094229999999</v>
      </c>
      <c r="T577">
        <f t="shared" si="95"/>
        <v>234.00094229999999</v>
      </c>
      <c r="U577">
        <f t="shared" si="96"/>
        <v>200.00094229999999</v>
      </c>
      <c r="V577">
        <f t="shared" si="97"/>
        <v>-357.31651801746023</v>
      </c>
      <c r="W577">
        <f t="shared" si="98"/>
        <v>357.31840261746026</v>
      </c>
    </row>
    <row r="578" spans="1:23" ht="15" customHeight="1" x14ac:dyDescent="0.35">
      <c r="A578" t="str">
        <f>'Raw Data'!B576</f>
        <v>ZIM Integrated Shipping Services Ltd</v>
      </c>
      <c r="B578" t="str">
        <f>'Raw Data'!A576</f>
        <v>zim</v>
      </c>
      <c r="C578" t="str">
        <f>IF('Raw Data'!E576="N/A","Unclassified",TRIM(SUBSTITUTE('Raw Data'!E576," and "," &amp; ")))</f>
        <v>Marine</v>
      </c>
      <c r="D578" s="17">
        <f>'Raw Data'!N576</f>
        <v>329</v>
      </c>
      <c r="E578" s="17">
        <f>'Raw Data'!O576</f>
        <v>351</v>
      </c>
      <c r="F578" s="17">
        <f>'Raw Data'!P576</f>
        <v>320</v>
      </c>
      <c r="G578" s="17">
        <f>'Raw Data'!Q576</f>
        <v>1000</v>
      </c>
      <c r="H578" s="18">
        <f>INDEX('Industry Stats'!$F$2:$F$49,MATCH($C578,'Industry Stats'!$A$2:$A$49,0))</f>
        <v>865.33333333333337</v>
      </c>
      <c r="I578" s="19">
        <f t="shared" si="88"/>
        <v>134.66666666666663</v>
      </c>
      <c r="J578" s="20">
        <f t="shared" si="89"/>
        <v>0.15562403697996913</v>
      </c>
      <c r="K578" s="18">
        <f>INDEX('Industry Stats'!$C$2:$C$49,MATCH($C578,'Industry Stats'!$A$2:$A$49,0))</f>
        <v>305.33333333333331</v>
      </c>
      <c r="L578" s="19">
        <f t="shared" si="90"/>
        <v>23.666666666666686</v>
      </c>
      <c r="M578" s="18">
        <f>INDEX('Industry Stats'!$D$2:$D$49,MATCH($C578,'Industry Stats'!$A$2:$A$49,0))</f>
        <v>285</v>
      </c>
      <c r="N578" s="19">
        <f t="shared" si="91"/>
        <v>66</v>
      </c>
      <c r="O578" s="18">
        <f>INDEX('Industry Stats'!$E$2:$E$49,MATCH($C578,'Industry Stats'!$A$2:$A$49,0))</f>
        <v>275</v>
      </c>
      <c r="P578" s="19">
        <f t="shared" si="92"/>
        <v>45</v>
      </c>
      <c r="R578">
        <f t="shared" si="93"/>
        <v>1000.0009422000001</v>
      </c>
      <c r="S578">
        <f t="shared" si="94"/>
        <v>329.0009422</v>
      </c>
      <c r="T578">
        <f t="shared" si="95"/>
        <v>351.0009422</v>
      </c>
      <c r="U578">
        <f t="shared" si="96"/>
        <v>320.0009422</v>
      </c>
      <c r="V578">
        <f t="shared" si="97"/>
        <v>134.66760886666663</v>
      </c>
      <c r="W578">
        <f t="shared" si="98"/>
        <v>-134.66572446666663</v>
      </c>
    </row>
    <row r="579" spans="1:23" ht="15" customHeight="1" x14ac:dyDescent="0.35">
      <c r="A579" t="str">
        <f>'Raw Data'!B577</f>
        <v>Zymeworks Inc</v>
      </c>
      <c r="B579" t="str">
        <f>'Raw Data'!A577</f>
        <v>zyme</v>
      </c>
      <c r="C579" t="str">
        <f>IF('Raw Data'!E577="N/A","Unclassified",TRIM(SUBSTITUTE('Raw Data'!E577," and "," &amp; ")))</f>
        <v>Biotechnology</v>
      </c>
      <c r="D579" s="17">
        <f>'Raw Data'!N577</f>
        <v>240</v>
      </c>
      <c r="E579" s="17">
        <f>'Raw Data'!O577</f>
        <v>326</v>
      </c>
      <c r="F579" s="17">
        <f>'Raw Data'!P577</f>
        <v>305</v>
      </c>
      <c r="G579" s="17">
        <f>'Raw Data'!Q577</f>
        <v>871</v>
      </c>
      <c r="H579" s="18">
        <f>INDEX('Industry Stats'!$F$2:$F$49,MATCH($C579,'Industry Stats'!$A$2:$A$49,0))</f>
        <v>866.91071428571433</v>
      </c>
      <c r="I579" s="19">
        <f t="shared" si="88"/>
        <v>4.0892857142856656</v>
      </c>
      <c r="J579" s="20">
        <f t="shared" si="89"/>
        <v>4.7170782952602065E-3</v>
      </c>
      <c r="K579" s="18">
        <f>INDEX('Industry Stats'!$C$2:$C$49,MATCH($C579,'Industry Stats'!$A$2:$A$49,0))</f>
        <v>306.53571428571428</v>
      </c>
      <c r="L579" s="19">
        <f t="shared" si="90"/>
        <v>-66.535714285714278</v>
      </c>
      <c r="M579" s="18">
        <f>INDEX('Industry Stats'!$D$2:$D$49,MATCH($C579,'Industry Stats'!$A$2:$A$49,0))</f>
        <v>268.85714285714283</v>
      </c>
      <c r="N579" s="19">
        <f t="shared" si="91"/>
        <v>57.142857142857167</v>
      </c>
      <c r="O579" s="18">
        <f>INDEX('Industry Stats'!$E$2:$E$49,MATCH($C579,'Industry Stats'!$A$2:$A$49,0))</f>
        <v>291.51785714285717</v>
      </c>
      <c r="P579" s="19">
        <f t="shared" si="92"/>
        <v>13.482142857142833</v>
      </c>
      <c r="R579">
        <f t="shared" si="93"/>
        <v>871.00094209999997</v>
      </c>
      <c r="S579">
        <f t="shared" si="94"/>
        <v>240.0009421</v>
      </c>
      <c r="T579">
        <f t="shared" si="95"/>
        <v>326.00094209999997</v>
      </c>
      <c r="U579">
        <f t="shared" si="96"/>
        <v>305.00094209999997</v>
      </c>
      <c r="V579">
        <f t="shared" si="97"/>
        <v>4.0902278142856652</v>
      </c>
      <c r="W579">
        <f t="shared" si="98"/>
        <v>-4.088343614285666</v>
      </c>
    </row>
    <row r="580" spans="1:23" ht="15" customHeight="1" x14ac:dyDescent="0.35">
      <c r="A580" t="str">
        <f>'Raw Data'!B578</f>
        <v>Zurn Elkay Water Solutions Corp</v>
      </c>
      <c r="B580" t="str">
        <f>'Raw Data'!A578</f>
        <v>zws</v>
      </c>
      <c r="C580" t="str">
        <f>IF('Raw Data'!E578="N/A","Unclassified",TRIM(SUBSTITUTE('Raw Data'!E578," and "," &amp; ")))</f>
        <v>Building</v>
      </c>
      <c r="D580" s="17">
        <f>'Raw Data'!N578</f>
        <v>500</v>
      </c>
      <c r="E580" s="17">
        <f>'Raw Data'!O578</f>
        <v>300</v>
      </c>
      <c r="F580" s="17">
        <f>'Raw Data'!P578</f>
        <v>300</v>
      </c>
      <c r="G580" s="17">
        <f>'Raw Data'!Q578</f>
        <v>1100</v>
      </c>
      <c r="H580" s="18">
        <f>INDEX('Industry Stats'!$F$2:$F$49,MATCH($C580,'Industry Stats'!$A$2:$A$49,0))</f>
        <v>1074.2</v>
      </c>
      <c r="I580" s="19">
        <f t="shared" ref="I580:I643" si="99">G580-H580</f>
        <v>25.799999999999955</v>
      </c>
      <c r="J580" s="20">
        <f t="shared" ref="J580:J643" si="100">I580/H580</f>
        <v>2.4017873766523881E-2</v>
      </c>
      <c r="K580" s="18">
        <f>INDEX('Industry Stats'!$C$2:$C$49,MATCH($C580,'Industry Stats'!$A$2:$A$49,0))</f>
        <v>476.7</v>
      </c>
      <c r="L580" s="19">
        <f t="shared" ref="L580:L643" si="101">D580-K580</f>
        <v>23.300000000000011</v>
      </c>
      <c r="M580" s="18">
        <f>INDEX('Industry Stats'!$D$2:$D$49,MATCH($C580,'Industry Stats'!$A$2:$A$49,0))</f>
        <v>305.10000000000002</v>
      </c>
      <c r="N580" s="19">
        <f t="shared" ref="N580:N643" si="102">E580-M580</f>
        <v>-5.1000000000000227</v>
      </c>
      <c r="O580" s="18">
        <f>INDEX('Industry Stats'!$E$2:$E$49,MATCH($C580,'Industry Stats'!$A$2:$A$49,0))</f>
        <v>292.39999999999998</v>
      </c>
      <c r="P580" s="19">
        <f t="shared" ref="P580:P643" si="103">F580-O580</f>
        <v>7.6000000000000227</v>
      </c>
      <c r="R580">
        <f t="shared" ref="R580:R643" si="104">G580+(10000-ROW())/10000000</f>
        <v>1100.0009419999999</v>
      </c>
      <c r="S580">
        <f t="shared" ref="S580:S643" si="105">D580+(10000-ROW())/10000000</f>
        <v>500.00094200000001</v>
      </c>
      <c r="T580">
        <f t="shared" ref="T580:T643" si="106">E580+(10000-ROW())/10000000</f>
        <v>300.00094200000001</v>
      </c>
      <c r="U580">
        <f t="shared" ref="U580:U643" si="107">F580+(10000-ROW())/10000000</f>
        <v>300.00094200000001</v>
      </c>
      <c r="V580">
        <f t="shared" ref="V580:V643" si="108">I580+(10000-ROW())/10000000</f>
        <v>25.800941999999953</v>
      </c>
      <c r="W580">
        <f t="shared" ref="W580:W643" si="109">-I580+(10000-ROW())/10000000</f>
        <v>-25.799057999999956</v>
      </c>
    </row>
    <row r="581" spans="1:23" ht="15" customHeight="1" x14ac:dyDescent="0.35">
      <c r="A581" t="str">
        <f>'Raw Data'!B579</f>
        <v>Clear Secure Inc</v>
      </c>
      <c r="B581" t="str">
        <f>'Raw Data'!A579</f>
        <v>you</v>
      </c>
      <c r="C581" t="str">
        <f>IF('Raw Data'!E579="N/A","Unclassified",TRIM(SUBSTITUTE('Raw Data'!E579," and "," &amp; ")))</f>
        <v>Technology</v>
      </c>
      <c r="D581" s="17">
        <f>'Raw Data'!N579</f>
        <v>515</v>
      </c>
      <c r="E581" s="17">
        <f>'Raw Data'!O579</f>
        <v>278</v>
      </c>
      <c r="F581" s="17">
        <f>'Raw Data'!P579</f>
        <v>205</v>
      </c>
      <c r="G581" s="17">
        <f>'Raw Data'!Q579</f>
        <v>998</v>
      </c>
      <c r="H581" s="18">
        <f>INDEX('Industry Stats'!$F$2:$F$49,MATCH($C581,'Industry Stats'!$A$2:$A$49,0))</f>
        <v>1031.3174603174602</v>
      </c>
      <c r="I581" s="19">
        <f t="shared" si="99"/>
        <v>-33.317460317460245</v>
      </c>
      <c r="J581" s="20">
        <f t="shared" si="100"/>
        <v>-3.2305726994289866E-2</v>
      </c>
      <c r="K581" s="18">
        <f>INDEX('Industry Stats'!$C$2:$C$49,MATCH($C581,'Industry Stats'!$A$2:$A$49,0))</f>
        <v>438.11111111111109</v>
      </c>
      <c r="L581" s="19">
        <f t="shared" si="101"/>
        <v>76.888888888888914</v>
      </c>
      <c r="M581" s="18">
        <f>INDEX('Industry Stats'!$D$2:$D$49,MATCH($C581,'Industry Stats'!$A$2:$A$49,0))</f>
        <v>307.90476190476193</v>
      </c>
      <c r="N581" s="19">
        <f t="shared" si="102"/>
        <v>-29.904761904761926</v>
      </c>
      <c r="O581" s="18">
        <f>INDEX('Industry Stats'!$E$2:$E$49,MATCH($C581,'Industry Stats'!$A$2:$A$49,0))</f>
        <v>285.30158730158729</v>
      </c>
      <c r="P581" s="19">
        <f t="shared" si="103"/>
        <v>-80.30158730158729</v>
      </c>
      <c r="R581">
        <f t="shared" si="104"/>
        <v>998.00094190000004</v>
      </c>
      <c r="S581">
        <f t="shared" si="105"/>
        <v>515.00094190000004</v>
      </c>
      <c r="T581">
        <f t="shared" si="106"/>
        <v>278.00094189999999</v>
      </c>
      <c r="U581">
        <f t="shared" si="107"/>
        <v>205.00094189999999</v>
      </c>
      <c r="V581">
        <f t="shared" si="108"/>
        <v>-33.316518417460244</v>
      </c>
      <c r="W581">
        <f t="shared" si="109"/>
        <v>33.318402217460246</v>
      </c>
    </row>
    <row r="582" spans="1:23" ht="15" customHeight="1" x14ac:dyDescent="0.35">
      <c r="A582" t="str">
        <f>'Raw Data'!B580</f>
        <v>Zendesk Inc</v>
      </c>
      <c r="B582" t="str">
        <f>'Raw Data'!A580</f>
        <v>zen</v>
      </c>
      <c r="C582" t="str">
        <f>IF('Raw Data'!E580="N/A","Unclassified",TRIM(SUBSTITUTE('Raw Data'!E580," and "," &amp; ")))</f>
        <v>Technology</v>
      </c>
      <c r="D582" s="17">
        <f>'Raw Data'!N580</f>
        <v>515</v>
      </c>
      <c r="E582" s="17">
        <f>'Raw Data'!O580</f>
        <v>338</v>
      </c>
      <c r="F582" s="17">
        <f>'Raw Data'!P580</f>
        <v>320</v>
      </c>
      <c r="G582" s="17">
        <f>'Raw Data'!Q580</f>
        <v>1173</v>
      </c>
      <c r="H582" s="18">
        <f>INDEX('Industry Stats'!$F$2:$F$49,MATCH($C582,'Industry Stats'!$A$2:$A$49,0))</f>
        <v>1031.3174603174602</v>
      </c>
      <c r="I582" s="19">
        <f t="shared" si="99"/>
        <v>141.68253968253975</v>
      </c>
      <c r="J582" s="20">
        <f t="shared" si="100"/>
        <v>0.13738014252073946</v>
      </c>
      <c r="K582" s="18">
        <f>INDEX('Industry Stats'!$C$2:$C$49,MATCH($C582,'Industry Stats'!$A$2:$A$49,0))</f>
        <v>438.11111111111109</v>
      </c>
      <c r="L582" s="19">
        <f t="shared" si="101"/>
        <v>76.888888888888914</v>
      </c>
      <c r="M582" s="18">
        <f>INDEX('Industry Stats'!$D$2:$D$49,MATCH($C582,'Industry Stats'!$A$2:$A$49,0))</f>
        <v>307.90476190476193</v>
      </c>
      <c r="N582" s="19">
        <f t="shared" si="102"/>
        <v>30.095238095238074</v>
      </c>
      <c r="O582" s="18">
        <f>INDEX('Industry Stats'!$E$2:$E$49,MATCH($C582,'Industry Stats'!$A$2:$A$49,0))</f>
        <v>285.30158730158729</v>
      </c>
      <c r="P582" s="19">
        <f t="shared" si="103"/>
        <v>34.69841269841271</v>
      </c>
      <c r="R582">
        <f t="shared" si="104"/>
        <v>1173.0009418</v>
      </c>
      <c r="S582">
        <f t="shared" si="105"/>
        <v>515.00094179999996</v>
      </c>
      <c r="T582">
        <f t="shared" si="106"/>
        <v>338.00094180000002</v>
      </c>
      <c r="U582">
        <f t="shared" si="107"/>
        <v>320.00094180000002</v>
      </c>
      <c r="V582">
        <f t="shared" si="108"/>
        <v>141.68348148253975</v>
      </c>
      <c r="W582">
        <f t="shared" si="109"/>
        <v>-141.68159788253976</v>
      </c>
    </row>
    <row r="583" spans="1:23" ht="15" customHeight="1" x14ac:dyDescent="0.35">
      <c r="A583" t="str">
        <f>'Raw Data'!B581</f>
        <v>Plexus Corp</v>
      </c>
      <c r="B583" t="str">
        <f>'Raw Data'!A581</f>
        <v>plxs</v>
      </c>
      <c r="C583" t="str">
        <f>IF('Raw Data'!E581="N/A","Unclassified",TRIM(SUBSTITUTE('Raw Data'!E581," and "," &amp; ")))</f>
        <v>Electrical Equipment</v>
      </c>
      <c r="D583" s="17">
        <f>'Raw Data'!N581</f>
        <v>510</v>
      </c>
      <c r="E583" s="17">
        <f>'Raw Data'!O581</f>
        <v>300</v>
      </c>
      <c r="F583" s="17">
        <f>'Raw Data'!P581</f>
        <v>300</v>
      </c>
      <c r="G583" s="17">
        <f>'Raw Data'!Q581</f>
        <v>1110</v>
      </c>
      <c r="H583" s="18">
        <f>INDEX('Industry Stats'!$F$2:$F$49,MATCH($C583,'Industry Stats'!$A$2:$A$49,0))</f>
        <v>933</v>
      </c>
      <c r="I583" s="19">
        <f t="shared" si="99"/>
        <v>177</v>
      </c>
      <c r="J583" s="20">
        <f t="shared" si="100"/>
        <v>0.18971061093247588</v>
      </c>
      <c r="K583" s="18">
        <f>INDEX('Industry Stats'!$C$2:$C$49,MATCH($C583,'Industry Stats'!$A$2:$A$49,0))</f>
        <v>381.7037037037037</v>
      </c>
      <c r="L583" s="19">
        <f t="shared" si="101"/>
        <v>128.2962962962963</v>
      </c>
      <c r="M583" s="18">
        <f>INDEX('Industry Stats'!$D$2:$D$49,MATCH($C583,'Industry Stats'!$A$2:$A$49,0))</f>
        <v>272.11111111111109</v>
      </c>
      <c r="N583" s="19">
        <f t="shared" si="102"/>
        <v>27.888888888888914</v>
      </c>
      <c r="O583" s="18">
        <f>INDEX('Industry Stats'!$E$2:$E$49,MATCH($C583,'Industry Stats'!$A$2:$A$49,0))</f>
        <v>279.18518518518516</v>
      </c>
      <c r="P583" s="19">
        <f t="shared" si="103"/>
        <v>20.814814814814838</v>
      </c>
      <c r="R583">
        <f t="shared" si="104"/>
        <v>1110.0009417000001</v>
      </c>
      <c r="S583">
        <f t="shared" si="105"/>
        <v>510.0009417</v>
      </c>
      <c r="T583">
        <f t="shared" si="106"/>
        <v>300.0009417</v>
      </c>
      <c r="U583">
        <f t="shared" si="107"/>
        <v>300.0009417</v>
      </c>
      <c r="V583">
        <f t="shared" si="108"/>
        <v>177.0009417</v>
      </c>
      <c r="W583">
        <f t="shared" si="109"/>
        <v>-176.9990583</v>
      </c>
    </row>
    <row r="584" spans="1:23" ht="15" customHeight="1" x14ac:dyDescent="0.35">
      <c r="A584" t="str">
        <f>'Raw Data'!B582</f>
        <v>Seanergy Maritime Holdings Corp</v>
      </c>
      <c r="B584" t="str">
        <f>'Raw Data'!A582</f>
        <v>ship</v>
      </c>
      <c r="C584" t="str">
        <f>IF('Raw Data'!E582="N/A","Unclassified",TRIM(SUBSTITUTE('Raw Data'!E582," and "," &amp; ")))</f>
        <v>Marine</v>
      </c>
      <c r="D584" s="17">
        <f>'Raw Data'!N582</f>
        <v>345</v>
      </c>
      <c r="E584" s="17">
        <f>'Raw Data'!O582</f>
        <v>300</v>
      </c>
      <c r="F584" s="17">
        <f>'Raw Data'!P582</f>
        <v>305</v>
      </c>
      <c r="G584" s="17">
        <f>'Raw Data'!Q582</f>
        <v>950</v>
      </c>
      <c r="H584" s="18">
        <f>INDEX('Industry Stats'!$F$2:$F$49,MATCH($C584,'Industry Stats'!$A$2:$A$49,0))</f>
        <v>865.33333333333337</v>
      </c>
      <c r="I584" s="19">
        <f t="shared" si="99"/>
        <v>84.666666666666629</v>
      </c>
      <c r="J584" s="20">
        <f t="shared" si="100"/>
        <v>9.7842835130970682E-2</v>
      </c>
      <c r="K584" s="18">
        <f>INDEX('Industry Stats'!$C$2:$C$49,MATCH($C584,'Industry Stats'!$A$2:$A$49,0))</f>
        <v>305.33333333333331</v>
      </c>
      <c r="L584" s="19">
        <f t="shared" si="101"/>
        <v>39.666666666666686</v>
      </c>
      <c r="M584" s="18">
        <f>INDEX('Industry Stats'!$D$2:$D$49,MATCH($C584,'Industry Stats'!$A$2:$A$49,0))</f>
        <v>285</v>
      </c>
      <c r="N584" s="19">
        <f t="shared" si="102"/>
        <v>15</v>
      </c>
      <c r="O584" s="18">
        <f>INDEX('Industry Stats'!$E$2:$E$49,MATCH($C584,'Industry Stats'!$A$2:$A$49,0))</f>
        <v>275</v>
      </c>
      <c r="P584" s="19">
        <f t="shared" si="103"/>
        <v>30</v>
      </c>
      <c r="R584">
        <f t="shared" si="104"/>
        <v>950.00094160000003</v>
      </c>
      <c r="S584">
        <f t="shared" si="105"/>
        <v>345.00094159999998</v>
      </c>
      <c r="T584">
        <f t="shared" si="106"/>
        <v>300.00094159999998</v>
      </c>
      <c r="U584">
        <f t="shared" si="107"/>
        <v>305.00094159999998</v>
      </c>
      <c r="V584">
        <f t="shared" si="108"/>
        <v>84.667608266666633</v>
      </c>
      <c r="W584">
        <f t="shared" si="109"/>
        <v>-84.665725066666624</v>
      </c>
    </row>
    <row r="585" spans="1:23" ht="15" customHeight="1" x14ac:dyDescent="0.35">
      <c r="A585" t="str">
        <f>'Raw Data'!B583</f>
        <v>Shoals Technologies Group Inc</v>
      </c>
      <c r="B585" t="str">
        <f>'Raw Data'!A583</f>
        <v>shls</v>
      </c>
      <c r="C585" t="str">
        <f>IF('Raw Data'!E583="N/A","Unclassified",TRIM(SUBSTITUTE('Raw Data'!E583," and "," &amp; ")))</f>
        <v>Electrical Equipment</v>
      </c>
      <c r="D585" s="17">
        <f>'Raw Data'!N583</f>
        <v>285</v>
      </c>
      <c r="E585" s="17">
        <f>'Raw Data'!O583</f>
        <v>280</v>
      </c>
      <c r="F585" s="17">
        <f>'Raw Data'!P583</f>
        <v>300</v>
      </c>
      <c r="G585" s="17">
        <f>'Raw Data'!Q583</f>
        <v>865</v>
      </c>
      <c r="H585" s="18">
        <f>INDEX('Industry Stats'!$F$2:$F$49,MATCH($C585,'Industry Stats'!$A$2:$A$49,0))</f>
        <v>933</v>
      </c>
      <c r="I585" s="19">
        <f t="shared" si="99"/>
        <v>-68</v>
      </c>
      <c r="J585" s="20">
        <f t="shared" si="100"/>
        <v>-7.2883172561629156E-2</v>
      </c>
      <c r="K585" s="18">
        <f>INDEX('Industry Stats'!$C$2:$C$49,MATCH($C585,'Industry Stats'!$A$2:$A$49,0))</f>
        <v>381.7037037037037</v>
      </c>
      <c r="L585" s="19">
        <f t="shared" si="101"/>
        <v>-96.703703703703695</v>
      </c>
      <c r="M585" s="18">
        <f>INDEX('Industry Stats'!$D$2:$D$49,MATCH($C585,'Industry Stats'!$A$2:$A$49,0))</f>
        <v>272.11111111111109</v>
      </c>
      <c r="N585" s="19">
        <f t="shared" si="102"/>
        <v>7.8888888888889142</v>
      </c>
      <c r="O585" s="18">
        <f>INDEX('Industry Stats'!$E$2:$E$49,MATCH($C585,'Industry Stats'!$A$2:$A$49,0))</f>
        <v>279.18518518518516</v>
      </c>
      <c r="P585" s="19">
        <f t="shared" si="103"/>
        <v>20.814814814814838</v>
      </c>
      <c r="R585">
        <f t="shared" si="104"/>
        <v>865.00094149999995</v>
      </c>
      <c r="S585">
        <f t="shared" si="105"/>
        <v>285.00094150000001</v>
      </c>
      <c r="T585">
        <f t="shared" si="106"/>
        <v>280.00094150000001</v>
      </c>
      <c r="U585">
        <f t="shared" si="107"/>
        <v>300.00094150000001</v>
      </c>
      <c r="V585">
        <f t="shared" si="108"/>
        <v>-67.999058500000004</v>
      </c>
      <c r="W585">
        <f t="shared" si="109"/>
        <v>68.000941499999996</v>
      </c>
    </row>
    <row r="586" spans="1:23" ht="15" customHeight="1" x14ac:dyDescent="0.35">
      <c r="A586" t="str">
        <f>'Raw Data'!B584</f>
        <v>Steven Madden Ltd</v>
      </c>
      <c r="B586" t="str">
        <f>'Raw Data'!A584</f>
        <v>shoo</v>
      </c>
      <c r="C586" t="str">
        <f>IF('Raw Data'!E584="N/A","Unclassified",TRIM(SUBSTITUTE('Raw Data'!E584," and "," &amp; ")))</f>
        <v>Textiles Apparel &amp; Luxury Goods</v>
      </c>
      <c r="D586" s="17">
        <f>'Raw Data'!N584</f>
        <v>508</v>
      </c>
      <c r="E586" s="17">
        <f>'Raw Data'!O584</f>
        <v>231</v>
      </c>
      <c r="F586" s="17">
        <f>'Raw Data'!P584</f>
        <v>300</v>
      </c>
      <c r="G586" s="17">
        <f>'Raw Data'!Q584</f>
        <v>1039</v>
      </c>
      <c r="H586" s="18">
        <f>INDEX('Industry Stats'!$F$2:$F$49,MATCH($C586,'Industry Stats'!$A$2:$A$49,0))</f>
        <v>944.44444444444446</v>
      </c>
      <c r="I586" s="19">
        <f t="shared" si="99"/>
        <v>94.555555555555543</v>
      </c>
      <c r="J586" s="20">
        <f t="shared" si="100"/>
        <v>0.10011764705882352</v>
      </c>
      <c r="K586" s="18">
        <f>INDEX('Industry Stats'!$C$2:$C$49,MATCH($C586,'Industry Stats'!$A$2:$A$49,0))</f>
        <v>382.11111111111109</v>
      </c>
      <c r="L586" s="19">
        <f t="shared" si="101"/>
        <v>125.88888888888891</v>
      </c>
      <c r="M586" s="18">
        <f>INDEX('Industry Stats'!$D$2:$D$49,MATCH($C586,'Industry Stats'!$A$2:$A$49,0))</f>
        <v>280</v>
      </c>
      <c r="N586" s="19">
        <f t="shared" si="102"/>
        <v>-49</v>
      </c>
      <c r="O586" s="18">
        <f>INDEX('Industry Stats'!$E$2:$E$49,MATCH($C586,'Industry Stats'!$A$2:$A$49,0))</f>
        <v>282.33333333333331</v>
      </c>
      <c r="P586" s="19">
        <f t="shared" si="103"/>
        <v>17.666666666666686</v>
      </c>
      <c r="R586">
        <f t="shared" si="104"/>
        <v>1039.0009414000001</v>
      </c>
      <c r="S586">
        <f t="shared" si="105"/>
        <v>508.00094139999999</v>
      </c>
      <c r="T586">
        <f t="shared" si="106"/>
        <v>231.00094139999999</v>
      </c>
      <c r="U586">
        <f t="shared" si="107"/>
        <v>300.00094139999999</v>
      </c>
      <c r="V586">
        <f t="shared" si="108"/>
        <v>94.556496955555545</v>
      </c>
      <c r="W586">
        <f t="shared" si="109"/>
        <v>-94.554614155555541</v>
      </c>
    </row>
    <row r="587" spans="1:23" ht="15" customHeight="1" x14ac:dyDescent="0.35">
      <c r="A587" t="str">
        <f>'Raw Data'!B585</f>
        <v>Shyft Group Inc</v>
      </c>
      <c r="B587" t="str">
        <f>'Raw Data'!A585</f>
        <v>shyf</v>
      </c>
      <c r="C587" t="str">
        <f>IF('Raw Data'!E585="N/A","Unclassified",TRIM(SUBSTITUTE('Raw Data'!E585," and "," &amp; ")))</f>
        <v>Machinery</v>
      </c>
      <c r="D587" s="17">
        <f>'Raw Data'!N585</f>
        <v>510</v>
      </c>
      <c r="E587" s="17">
        <f>'Raw Data'!O585</f>
        <v>303</v>
      </c>
      <c r="F587" s="17">
        <f>'Raw Data'!P585</f>
        <v>275</v>
      </c>
      <c r="G587" s="17">
        <f>'Raw Data'!Q585</f>
        <v>1088</v>
      </c>
      <c r="H587" s="18">
        <f>INDEX('Industry Stats'!$F$2:$F$49,MATCH($C587,'Industry Stats'!$A$2:$A$49,0))</f>
        <v>1048.047619047619</v>
      </c>
      <c r="I587" s="19">
        <f t="shared" si="99"/>
        <v>39.952380952380963</v>
      </c>
      <c r="J587" s="20">
        <f t="shared" si="100"/>
        <v>3.8120768776409658E-2</v>
      </c>
      <c r="K587" s="18">
        <f>INDEX('Industry Stats'!$C$2:$C$49,MATCH($C587,'Industry Stats'!$A$2:$A$49,0))</f>
        <v>459.57142857142856</v>
      </c>
      <c r="L587" s="19">
        <f t="shared" si="101"/>
        <v>50.428571428571445</v>
      </c>
      <c r="M587" s="18">
        <f>INDEX('Industry Stats'!$D$2:$D$49,MATCH($C587,'Industry Stats'!$A$2:$A$49,0))</f>
        <v>313.66666666666669</v>
      </c>
      <c r="N587" s="19">
        <f t="shared" si="102"/>
        <v>-10.666666666666686</v>
      </c>
      <c r="O587" s="18">
        <f>INDEX('Industry Stats'!$E$2:$E$49,MATCH($C587,'Industry Stats'!$A$2:$A$49,0))</f>
        <v>274.8095238095238</v>
      </c>
      <c r="P587" s="19">
        <f t="shared" si="103"/>
        <v>0.19047619047620401</v>
      </c>
      <c r="R587">
        <f t="shared" si="104"/>
        <v>1088.0009413</v>
      </c>
      <c r="S587">
        <f t="shared" si="105"/>
        <v>510.00094130000002</v>
      </c>
      <c r="T587">
        <f t="shared" si="106"/>
        <v>303.00094130000002</v>
      </c>
      <c r="U587">
        <f t="shared" si="107"/>
        <v>275.00094130000002</v>
      </c>
      <c r="V587">
        <f t="shared" si="108"/>
        <v>39.953322252380964</v>
      </c>
      <c r="W587">
        <f t="shared" si="109"/>
        <v>-39.951439652380962</v>
      </c>
    </row>
    <row r="588" spans="1:23" ht="15" customHeight="1" x14ac:dyDescent="0.35">
      <c r="A588" t="str">
        <f>'Raw Data'!B586</f>
        <v>SI-BONE Inc</v>
      </c>
      <c r="B588" t="str">
        <f>'Raw Data'!A586</f>
        <v>sibn</v>
      </c>
      <c r="C588" t="str">
        <f>IF('Raw Data'!E586="N/A","Unclassified",TRIM(SUBSTITUTE('Raw Data'!E586," and "," &amp; ")))</f>
        <v>Health Care</v>
      </c>
      <c r="D588" s="17">
        <f>'Raw Data'!N586</f>
        <v>220</v>
      </c>
      <c r="E588" s="17">
        <f>'Raw Data'!O586</f>
        <v>228</v>
      </c>
      <c r="F588" s="17">
        <f>'Raw Data'!P586</f>
        <v>210</v>
      </c>
      <c r="G588" s="17">
        <f>'Raw Data'!Q586</f>
        <v>658</v>
      </c>
      <c r="H588" s="18">
        <f>INDEX('Industry Stats'!$F$2:$F$49,MATCH($C588,'Industry Stats'!$A$2:$A$49,0))</f>
        <v>938.76470588235293</v>
      </c>
      <c r="I588" s="19">
        <f t="shared" si="99"/>
        <v>-280.76470588235293</v>
      </c>
      <c r="J588" s="20">
        <f t="shared" si="100"/>
        <v>-0.29907888965474028</v>
      </c>
      <c r="K588" s="18">
        <f>INDEX('Industry Stats'!$C$2:$C$49,MATCH($C588,'Industry Stats'!$A$2:$A$49,0))</f>
        <v>374.52941176470586</v>
      </c>
      <c r="L588" s="19">
        <f t="shared" si="101"/>
        <v>-154.52941176470586</v>
      </c>
      <c r="M588" s="18">
        <f>INDEX('Industry Stats'!$D$2:$D$49,MATCH($C588,'Industry Stats'!$A$2:$A$49,0))</f>
        <v>287.43137254901961</v>
      </c>
      <c r="N588" s="19">
        <f t="shared" si="102"/>
        <v>-59.431372549019613</v>
      </c>
      <c r="O588" s="18">
        <f>INDEX('Industry Stats'!$E$2:$E$49,MATCH($C588,'Industry Stats'!$A$2:$A$49,0))</f>
        <v>276.80392156862746</v>
      </c>
      <c r="P588" s="19">
        <f t="shared" si="103"/>
        <v>-66.803921568627459</v>
      </c>
      <c r="R588">
        <f t="shared" si="104"/>
        <v>658.00094120000006</v>
      </c>
      <c r="S588">
        <f t="shared" si="105"/>
        <v>220.0009412</v>
      </c>
      <c r="T588">
        <f t="shared" si="106"/>
        <v>228.0009412</v>
      </c>
      <c r="U588">
        <f t="shared" si="107"/>
        <v>210.0009412</v>
      </c>
      <c r="V588">
        <f t="shared" si="108"/>
        <v>-280.76376468235293</v>
      </c>
      <c r="W588">
        <f t="shared" si="109"/>
        <v>280.76564708235293</v>
      </c>
    </row>
    <row r="589" spans="1:23" ht="15" customHeight="1" x14ac:dyDescent="0.35">
      <c r="A589" t="str">
        <f>'Raw Data'!B587</f>
        <v>Siebert Financial Corp</v>
      </c>
      <c r="B589" t="str">
        <f>'Raw Data'!A587</f>
        <v>sieb</v>
      </c>
      <c r="C589" t="str">
        <f>IF('Raw Data'!E587="N/A","Unclassified",TRIM(SUBSTITUTE('Raw Data'!E587," and "," &amp; ")))</f>
        <v>Financial Services</v>
      </c>
      <c r="D589" s="17">
        <f>'Raw Data'!N587</f>
        <v>300</v>
      </c>
      <c r="E589" s="17">
        <f>'Raw Data'!O587</f>
        <v>299</v>
      </c>
      <c r="F589" s="17">
        <f>'Raw Data'!P587</f>
        <v>235</v>
      </c>
      <c r="G589" s="17">
        <f>'Raw Data'!Q587</f>
        <v>834</v>
      </c>
      <c r="H589" s="18">
        <f>INDEX('Industry Stats'!$F$2:$F$49,MATCH($C589,'Industry Stats'!$A$2:$A$49,0))</f>
        <v>909.33333333333337</v>
      </c>
      <c r="I589" s="19">
        <f t="shared" si="99"/>
        <v>-75.333333333333371</v>
      </c>
      <c r="J589" s="20">
        <f t="shared" si="100"/>
        <v>-8.2844574780058688E-2</v>
      </c>
      <c r="K589" s="18">
        <f>INDEX('Industry Stats'!$C$2:$C$49,MATCH($C589,'Industry Stats'!$A$2:$A$49,0))</f>
        <v>367.63636363636363</v>
      </c>
      <c r="L589" s="19">
        <f t="shared" si="101"/>
        <v>-67.636363636363626</v>
      </c>
      <c r="M589" s="18">
        <f>INDEX('Industry Stats'!$D$2:$D$49,MATCH($C589,'Industry Stats'!$A$2:$A$49,0))</f>
        <v>276.45454545454544</v>
      </c>
      <c r="N589" s="19">
        <f t="shared" si="102"/>
        <v>22.545454545454561</v>
      </c>
      <c r="O589" s="18">
        <f>INDEX('Industry Stats'!$E$2:$E$49,MATCH($C589,'Industry Stats'!$A$2:$A$49,0))</f>
        <v>265.24242424242425</v>
      </c>
      <c r="P589" s="19">
        <f t="shared" si="103"/>
        <v>-30.242424242424249</v>
      </c>
      <c r="R589">
        <f t="shared" si="104"/>
        <v>834.00094109999998</v>
      </c>
      <c r="S589">
        <f t="shared" si="105"/>
        <v>300.00094109999998</v>
      </c>
      <c r="T589">
        <f t="shared" si="106"/>
        <v>299.00094109999998</v>
      </c>
      <c r="U589">
        <f t="shared" si="107"/>
        <v>235.00094110000001</v>
      </c>
      <c r="V589">
        <f t="shared" si="108"/>
        <v>-75.332392233333366</v>
      </c>
      <c r="W589">
        <f t="shared" si="109"/>
        <v>75.334274433333377</v>
      </c>
    </row>
    <row r="590" spans="1:23" ht="15" customHeight="1" x14ac:dyDescent="0.35">
      <c r="A590" t="str">
        <f>'Raw Data'!B588</f>
        <v>Playa Hotels &amp; Resorts NV</v>
      </c>
      <c r="B590" t="str">
        <f>'Raw Data'!A588</f>
        <v>plya</v>
      </c>
      <c r="C590" t="str">
        <f>IF('Raw Data'!E588="N/A","Unclassified",TRIM(SUBSTITUTE('Raw Data'!E588," and "," &amp; ")))</f>
        <v>Hotels Restaurants &amp; Leisure</v>
      </c>
      <c r="D590" s="17">
        <f>'Raw Data'!N588</f>
        <v>210</v>
      </c>
      <c r="E590" s="17">
        <f>'Raw Data'!O588</f>
        <v>200</v>
      </c>
      <c r="F590" s="17">
        <f>'Raw Data'!P588</f>
        <v>205</v>
      </c>
      <c r="G590" s="17">
        <f>'Raw Data'!Q588</f>
        <v>615</v>
      </c>
      <c r="H590" s="18">
        <f>INDEX('Industry Stats'!$F$2:$F$49,MATCH($C590,'Industry Stats'!$A$2:$A$49,0))</f>
        <v>918.86363636363637</v>
      </c>
      <c r="I590" s="19">
        <f t="shared" si="99"/>
        <v>-303.86363636363637</v>
      </c>
      <c r="J590" s="20">
        <f t="shared" si="100"/>
        <v>-0.3306950284442246</v>
      </c>
      <c r="K590" s="18">
        <f>INDEX('Industry Stats'!$C$2:$C$49,MATCH($C590,'Industry Stats'!$A$2:$A$49,0))</f>
        <v>374.63636363636363</v>
      </c>
      <c r="L590" s="19">
        <f t="shared" si="101"/>
        <v>-164.63636363636363</v>
      </c>
      <c r="M590" s="18">
        <f>INDEX('Industry Stats'!$D$2:$D$49,MATCH($C590,'Industry Stats'!$A$2:$A$49,0))</f>
        <v>283.04545454545456</v>
      </c>
      <c r="N590" s="19">
        <f t="shared" si="102"/>
        <v>-83.045454545454561</v>
      </c>
      <c r="O590" s="18">
        <f>INDEX('Industry Stats'!$E$2:$E$49,MATCH($C590,'Industry Stats'!$A$2:$A$49,0))</f>
        <v>261.18181818181819</v>
      </c>
      <c r="P590" s="19">
        <f t="shared" si="103"/>
        <v>-56.181818181818187</v>
      </c>
      <c r="R590">
        <f t="shared" si="104"/>
        <v>615.00094100000001</v>
      </c>
      <c r="S590">
        <f t="shared" si="105"/>
        <v>210.00094100000001</v>
      </c>
      <c r="T590">
        <f t="shared" si="106"/>
        <v>200.00094100000001</v>
      </c>
      <c r="U590">
        <f t="shared" si="107"/>
        <v>205.00094100000001</v>
      </c>
      <c r="V590">
        <f t="shared" si="108"/>
        <v>-303.86269536363636</v>
      </c>
      <c r="W590">
        <f t="shared" si="109"/>
        <v>303.86457736363639</v>
      </c>
    </row>
    <row r="591" spans="1:23" ht="15" customHeight="1" x14ac:dyDescent="0.35">
      <c r="A591" t="str">
        <f>'Raw Data'!B589</f>
        <v>World Wrestling Entertainment Inc</v>
      </c>
      <c r="B591" t="str">
        <f>'Raw Data'!A589</f>
        <v>wwe</v>
      </c>
      <c r="C591" t="str">
        <f>IF('Raw Data'!E589="N/A","Unclassified",TRIM(SUBSTITUTE('Raw Data'!E589," and "," &amp; ")))</f>
        <v>Media</v>
      </c>
      <c r="D591" s="17">
        <f>'Raw Data'!N589</f>
        <v>275</v>
      </c>
      <c r="E591" s="17">
        <f>'Raw Data'!O589</f>
        <v>332</v>
      </c>
      <c r="F591" s="17">
        <f>'Raw Data'!P589</f>
        <v>315</v>
      </c>
      <c r="G591" s="17">
        <f>'Raw Data'!Q589</f>
        <v>922</v>
      </c>
      <c r="H591" s="18">
        <f>INDEX('Industry Stats'!$F$2:$F$49,MATCH($C591,'Industry Stats'!$A$2:$A$49,0))</f>
        <v>935.26086956521738</v>
      </c>
      <c r="I591" s="19">
        <f t="shared" si="99"/>
        <v>-13.260869565217376</v>
      </c>
      <c r="J591" s="20">
        <f t="shared" si="100"/>
        <v>-1.4178792245827701E-2</v>
      </c>
      <c r="K591" s="18">
        <f>INDEX('Industry Stats'!$C$2:$C$49,MATCH($C591,'Industry Stats'!$A$2:$A$49,0))</f>
        <v>346.91304347826087</v>
      </c>
      <c r="L591" s="19">
        <f t="shared" si="101"/>
        <v>-71.913043478260875</v>
      </c>
      <c r="M591" s="18">
        <f>INDEX('Industry Stats'!$D$2:$D$49,MATCH($C591,'Industry Stats'!$A$2:$A$49,0))</f>
        <v>313</v>
      </c>
      <c r="N591" s="19">
        <f t="shared" si="102"/>
        <v>19</v>
      </c>
      <c r="O591" s="18">
        <f>INDEX('Industry Stats'!$E$2:$E$49,MATCH($C591,'Industry Stats'!$A$2:$A$49,0))</f>
        <v>275.3478260869565</v>
      </c>
      <c r="P591" s="19">
        <f t="shared" si="103"/>
        <v>39.652173913043498</v>
      </c>
      <c r="R591">
        <f t="shared" si="104"/>
        <v>922.00094090000005</v>
      </c>
      <c r="S591">
        <f t="shared" si="105"/>
        <v>275.00094089999999</v>
      </c>
      <c r="T591">
        <f t="shared" si="106"/>
        <v>332.00094089999999</v>
      </c>
      <c r="U591">
        <f t="shared" si="107"/>
        <v>315.00094089999999</v>
      </c>
      <c r="V591">
        <f t="shared" si="108"/>
        <v>-13.259928665217377</v>
      </c>
      <c r="W591">
        <f t="shared" si="109"/>
        <v>13.261810465217376</v>
      </c>
    </row>
    <row r="592" spans="1:23" ht="15" customHeight="1" x14ac:dyDescent="0.35">
      <c r="A592" t="str">
        <f>'Raw Data'!B590</f>
        <v>PharmaCyte Biotech Inc</v>
      </c>
      <c r="B592" t="str">
        <f>'Raw Data'!A590</f>
        <v>pmcb</v>
      </c>
      <c r="C592" t="str">
        <f>IF('Raw Data'!E590="N/A","Unclassified",TRIM(SUBSTITUTE('Raw Data'!E590," and "," &amp; ")))</f>
        <v>Biotechnology</v>
      </c>
      <c r="D592" s="17">
        <f>'Raw Data'!N590</f>
        <v>220</v>
      </c>
      <c r="E592" s="17">
        <f>'Raw Data'!O590</f>
        <v>202</v>
      </c>
      <c r="F592" s="17">
        <f>'Raw Data'!P590</f>
        <v>300</v>
      </c>
      <c r="G592" s="17">
        <f>'Raw Data'!Q590</f>
        <v>722</v>
      </c>
      <c r="H592" s="18">
        <f>INDEX('Industry Stats'!$F$2:$F$49,MATCH($C592,'Industry Stats'!$A$2:$A$49,0))</f>
        <v>866.91071428571433</v>
      </c>
      <c r="I592" s="19">
        <f t="shared" si="99"/>
        <v>-144.91071428571433</v>
      </c>
      <c r="J592" s="20">
        <f t="shared" si="100"/>
        <v>-0.16715759985169015</v>
      </c>
      <c r="K592" s="18">
        <f>INDEX('Industry Stats'!$C$2:$C$49,MATCH($C592,'Industry Stats'!$A$2:$A$49,0))</f>
        <v>306.53571428571428</v>
      </c>
      <c r="L592" s="19">
        <f t="shared" si="101"/>
        <v>-86.535714285714278</v>
      </c>
      <c r="M592" s="18">
        <f>INDEX('Industry Stats'!$D$2:$D$49,MATCH($C592,'Industry Stats'!$A$2:$A$49,0))</f>
        <v>268.85714285714283</v>
      </c>
      <c r="N592" s="19">
        <f t="shared" si="102"/>
        <v>-66.857142857142833</v>
      </c>
      <c r="O592" s="18">
        <f>INDEX('Industry Stats'!$E$2:$E$49,MATCH($C592,'Industry Stats'!$A$2:$A$49,0))</f>
        <v>291.51785714285717</v>
      </c>
      <c r="P592" s="19">
        <f t="shared" si="103"/>
        <v>8.4821428571428328</v>
      </c>
      <c r="R592">
        <f t="shared" si="104"/>
        <v>722.00094079999997</v>
      </c>
      <c r="S592">
        <f t="shared" si="105"/>
        <v>220.0009408</v>
      </c>
      <c r="T592">
        <f t="shared" si="106"/>
        <v>202.0009408</v>
      </c>
      <c r="U592">
        <f t="shared" si="107"/>
        <v>300.00094080000002</v>
      </c>
      <c r="V592">
        <f t="shared" si="108"/>
        <v>-144.90977348571434</v>
      </c>
      <c r="W592">
        <f t="shared" si="109"/>
        <v>144.91165508571433</v>
      </c>
    </row>
    <row r="593" spans="1:23" ht="15" customHeight="1" x14ac:dyDescent="0.35">
      <c r="A593" t="str">
        <f>'Raw Data'!B591</f>
        <v>Wolverine World Wide Inc</v>
      </c>
      <c r="B593" t="str">
        <f>'Raw Data'!A591</f>
        <v>www</v>
      </c>
      <c r="C593" t="str">
        <f>IF('Raw Data'!E591="N/A","Unclassified",TRIM(SUBSTITUTE('Raw Data'!E591," and "," &amp; ")))</f>
        <v>Textiles Apparel &amp; Luxury Goods</v>
      </c>
      <c r="D593" s="17">
        <f>'Raw Data'!N591</f>
        <v>390</v>
      </c>
      <c r="E593" s="17">
        <f>'Raw Data'!O591</f>
        <v>298</v>
      </c>
      <c r="F593" s="17">
        <f>'Raw Data'!P591</f>
        <v>308</v>
      </c>
      <c r="G593" s="17">
        <f>'Raw Data'!Q591</f>
        <v>996</v>
      </c>
      <c r="H593" s="18">
        <f>INDEX('Industry Stats'!$F$2:$F$49,MATCH($C593,'Industry Stats'!$A$2:$A$49,0))</f>
        <v>944.44444444444446</v>
      </c>
      <c r="I593" s="19">
        <f t="shared" si="99"/>
        <v>51.555555555555543</v>
      </c>
      <c r="J593" s="20">
        <f t="shared" si="100"/>
        <v>5.4588235294117632E-2</v>
      </c>
      <c r="K593" s="18">
        <f>INDEX('Industry Stats'!$C$2:$C$49,MATCH($C593,'Industry Stats'!$A$2:$A$49,0))</f>
        <v>382.11111111111109</v>
      </c>
      <c r="L593" s="19">
        <f t="shared" si="101"/>
        <v>7.8888888888889142</v>
      </c>
      <c r="M593" s="18">
        <f>INDEX('Industry Stats'!$D$2:$D$49,MATCH($C593,'Industry Stats'!$A$2:$A$49,0))</f>
        <v>280</v>
      </c>
      <c r="N593" s="19">
        <f t="shared" si="102"/>
        <v>18</v>
      </c>
      <c r="O593" s="18">
        <f>INDEX('Industry Stats'!$E$2:$E$49,MATCH($C593,'Industry Stats'!$A$2:$A$49,0))</f>
        <v>282.33333333333331</v>
      </c>
      <c r="P593" s="19">
        <f t="shared" si="103"/>
        <v>25.666666666666686</v>
      </c>
      <c r="R593">
        <f t="shared" si="104"/>
        <v>996.0009407</v>
      </c>
      <c r="S593">
        <f t="shared" si="105"/>
        <v>390.0009407</v>
      </c>
      <c r="T593">
        <f t="shared" si="106"/>
        <v>298.0009407</v>
      </c>
      <c r="U593">
        <f t="shared" si="107"/>
        <v>308.0009407</v>
      </c>
      <c r="V593">
        <f t="shared" si="108"/>
        <v>51.556496255555544</v>
      </c>
      <c r="W593">
        <f t="shared" si="109"/>
        <v>-51.554614855555542</v>
      </c>
    </row>
    <row r="594" spans="1:23" ht="15" customHeight="1" x14ac:dyDescent="0.35">
      <c r="A594" t="str">
        <f>'Raw Data'!B592</f>
        <v>Xenia Hotels &amp; Resorts Inc</v>
      </c>
      <c r="B594" t="str">
        <f>'Raw Data'!A592</f>
        <v>xhr</v>
      </c>
      <c r="C594" t="str">
        <f>IF('Raw Data'!E592="N/A","Unclassified",TRIM(SUBSTITUTE('Raw Data'!E592," and "," &amp; ")))</f>
        <v>Real Estate</v>
      </c>
      <c r="D594" s="17">
        <f>'Raw Data'!N592</f>
        <v>260</v>
      </c>
      <c r="E594" s="17">
        <f>'Raw Data'!O592</f>
        <v>263</v>
      </c>
      <c r="F594" s="17">
        <f>'Raw Data'!P592</f>
        <v>236</v>
      </c>
      <c r="G594" s="17">
        <f>'Raw Data'!Q592</f>
        <v>759</v>
      </c>
      <c r="H594" s="18">
        <f>INDEX('Industry Stats'!$F$2:$F$49,MATCH($C594,'Industry Stats'!$A$2:$A$49,0))</f>
        <v>995.94444444444446</v>
      </c>
      <c r="I594" s="19">
        <f t="shared" si="99"/>
        <v>-236.94444444444446</v>
      </c>
      <c r="J594" s="20">
        <f t="shared" si="100"/>
        <v>-0.23790929882300441</v>
      </c>
      <c r="K594" s="18">
        <f>INDEX('Industry Stats'!$C$2:$C$49,MATCH($C594,'Industry Stats'!$A$2:$A$49,0))</f>
        <v>431.38888888888891</v>
      </c>
      <c r="L594" s="19">
        <f t="shared" si="101"/>
        <v>-171.38888888888891</v>
      </c>
      <c r="M594" s="18">
        <f>INDEX('Industry Stats'!$D$2:$D$49,MATCH($C594,'Industry Stats'!$A$2:$A$49,0))</f>
        <v>290.91666666666669</v>
      </c>
      <c r="N594" s="19">
        <f t="shared" si="102"/>
        <v>-27.916666666666686</v>
      </c>
      <c r="O594" s="18">
        <f>INDEX('Industry Stats'!$E$2:$E$49,MATCH($C594,'Industry Stats'!$A$2:$A$49,0))</f>
        <v>273.63888888888891</v>
      </c>
      <c r="P594" s="19">
        <f t="shared" si="103"/>
        <v>-37.638888888888914</v>
      </c>
      <c r="R594">
        <f t="shared" si="104"/>
        <v>759.00094060000004</v>
      </c>
      <c r="S594">
        <f t="shared" si="105"/>
        <v>260.00094059999998</v>
      </c>
      <c r="T594">
        <f t="shared" si="106"/>
        <v>263.00094059999998</v>
      </c>
      <c r="U594">
        <f t="shared" si="107"/>
        <v>236.00094060000001</v>
      </c>
      <c r="V594">
        <f t="shared" si="108"/>
        <v>-236.94350384444445</v>
      </c>
      <c r="W594">
        <f t="shared" si="109"/>
        <v>236.94538504444446</v>
      </c>
    </row>
    <row r="595" spans="1:23" ht="15" customHeight="1" x14ac:dyDescent="0.35">
      <c r="A595" t="str">
        <f>'Raw Data'!B593</f>
        <v>United States Steel Corp</v>
      </c>
      <c r="B595" t="str">
        <f>'Raw Data'!A593</f>
        <v>x</v>
      </c>
      <c r="C595" t="str">
        <f>IF('Raw Data'!E593="N/A","Unclassified",TRIM(SUBSTITUTE('Raw Data'!E593," and "," &amp; ")))</f>
        <v>Metals &amp; Mining</v>
      </c>
      <c r="D595" s="17">
        <f>'Raw Data'!N593</f>
        <v>535</v>
      </c>
      <c r="E595" s="17">
        <f>'Raw Data'!O593</f>
        <v>364</v>
      </c>
      <c r="F595" s="17">
        <f>'Raw Data'!P593</f>
        <v>300</v>
      </c>
      <c r="G595" s="17">
        <f>'Raw Data'!Q593</f>
        <v>1199</v>
      </c>
      <c r="H595" s="18">
        <f>INDEX('Industry Stats'!$F$2:$F$49,MATCH($C595,'Industry Stats'!$A$2:$A$49,0))</f>
        <v>987</v>
      </c>
      <c r="I595" s="19">
        <f t="shared" si="99"/>
        <v>212</v>
      </c>
      <c r="J595" s="20">
        <f t="shared" si="100"/>
        <v>0.21479229989868287</v>
      </c>
      <c r="K595" s="18">
        <f>INDEX('Industry Stats'!$C$2:$C$49,MATCH($C595,'Industry Stats'!$A$2:$A$49,0))</f>
        <v>427.3</v>
      </c>
      <c r="L595" s="19">
        <f t="shared" si="101"/>
        <v>107.69999999999999</v>
      </c>
      <c r="M595" s="18">
        <f>INDEX('Industry Stats'!$D$2:$D$49,MATCH($C595,'Industry Stats'!$A$2:$A$49,0))</f>
        <v>289.2</v>
      </c>
      <c r="N595" s="19">
        <f t="shared" si="102"/>
        <v>74.800000000000011</v>
      </c>
      <c r="O595" s="18">
        <f>INDEX('Industry Stats'!$E$2:$E$49,MATCH($C595,'Industry Stats'!$A$2:$A$49,0))</f>
        <v>270.5</v>
      </c>
      <c r="P595" s="19">
        <f t="shared" si="103"/>
        <v>29.5</v>
      </c>
      <c r="R595">
        <f t="shared" si="104"/>
        <v>1199.0009405000001</v>
      </c>
      <c r="S595">
        <f t="shared" si="105"/>
        <v>535.00094049999996</v>
      </c>
      <c r="T595">
        <f t="shared" si="106"/>
        <v>364.00094050000001</v>
      </c>
      <c r="U595">
        <f t="shared" si="107"/>
        <v>300.00094050000001</v>
      </c>
      <c r="V595">
        <f t="shared" si="108"/>
        <v>212.00094050000001</v>
      </c>
      <c r="W595">
        <f t="shared" si="109"/>
        <v>-211.99905949999999</v>
      </c>
    </row>
    <row r="596" spans="1:23" ht="15" customHeight="1" x14ac:dyDescent="0.35">
      <c r="A596" t="str">
        <f>'Raw Data'!B594</f>
        <v>Xpeng Inc</v>
      </c>
      <c r="B596" t="str">
        <f>'Raw Data'!A594</f>
        <v>xpev</v>
      </c>
      <c r="C596" t="str">
        <f>IF('Raw Data'!E594="N/A","Unclassified",TRIM(SUBSTITUTE('Raw Data'!E594," and "," &amp; ")))</f>
        <v>Automobiles</v>
      </c>
      <c r="D596" s="17">
        <f>'Raw Data'!N594</f>
        <v>215</v>
      </c>
      <c r="E596" s="17">
        <f>'Raw Data'!O594</f>
        <v>208</v>
      </c>
      <c r="F596" s="17">
        <f>'Raw Data'!P594</f>
        <v>200</v>
      </c>
      <c r="G596" s="17">
        <f>'Raw Data'!Q594</f>
        <v>623</v>
      </c>
      <c r="H596" s="18">
        <f>INDEX('Industry Stats'!$F$2:$F$49,MATCH($C596,'Industry Stats'!$A$2:$A$49,0))</f>
        <v>859.25</v>
      </c>
      <c r="I596" s="19">
        <f t="shared" si="99"/>
        <v>-236.25</v>
      </c>
      <c r="J596" s="20">
        <f t="shared" si="100"/>
        <v>-0.27494908350305497</v>
      </c>
      <c r="K596" s="18">
        <f>INDEX('Industry Stats'!$C$2:$C$49,MATCH($C596,'Industry Stats'!$A$2:$A$49,0))</f>
        <v>393</v>
      </c>
      <c r="L596" s="19">
        <f t="shared" si="101"/>
        <v>-178</v>
      </c>
      <c r="M596" s="18">
        <f>INDEX('Industry Stats'!$D$2:$D$49,MATCH($C596,'Industry Stats'!$A$2:$A$49,0))</f>
        <v>229.25</v>
      </c>
      <c r="N596" s="19">
        <f t="shared" si="102"/>
        <v>-21.25</v>
      </c>
      <c r="O596" s="18">
        <f>INDEX('Industry Stats'!$E$2:$E$49,MATCH($C596,'Industry Stats'!$A$2:$A$49,0))</f>
        <v>237</v>
      </c>
      <c r="P596" s="19">
        <f t="shared" si="103"/>
        <v>-37</v>
      </c>
      <c r="R596">
        <f t="shared" si="104"/>
        <v>623.00094039999999</v>
      </c>
      <c r="S596">
        <f t="shared" si="105"/>
        <v>215.00094039999999</v>
      </c>
      <c r="T596">
        <f t="shared" si="106"/>
        <v>208.00094039999999</v>
      </c>
      <c r="U596">
        <f t="shared" si="107"/>
        <v>200.00094039999999</v>
      </c>
      <c r="V596">
        <f t="shared" si="108"/>
        <v>-236.24905960000001</v>
      </c>
      <c r="W596">
        <f t="shared" si="109"/>
        <v>236.25094039999999</v>
      </c>
    </row>
    <row r="597" spans="1:23" ht="15" customHeight="1" x14ac:dyDescent="0.35">
      <c r="A597" t="str">
        <f>'Raw Data'!B595</f>
        <v>XPO Logistics Inc</v>
      </c>
      <c r="B597" t="str">
        <f>'Raw Data'!A595</f>
        <v>xpo</v>
      </c>
      <c r="C597" t="str">
        <f>IF('Raw Data'!E595="N/A","Unclassified",TRIM(SUBSTITUTE('Raw Data'!E595," and "," &amp; ")))</f>
        <v>Road &amp; Rail</v>
      </c>
      <c r="D597" s="17">
        <f>'Raw Data'!N595</f>
        <v>560</v>
      </c>
      <c r="E597" s="17">
        <f>'Raw Data'!O595</f>
        <v>318</v>
      </c>
      <c r="F597" s="17">
        <f>'Raw Data'!P595</f>
        <v>300</v>
      </c>
      <c r="G597" s="17">
        <f>'Raw Data'!Q595</f>
        <v>1178</v>
      </c>
      <c r="H597" s="18">
        <f>INDEX('Industry Stats'!$F$2:$F$49,MATCH($C597,'Industry Stats'!$A$2:$A$49,0))</f>
        <v>1076.3333333333333</v>
      </c>
      <c r="I597" s="19">
        <f t="shared" si="99"/>
        <v>101.66666666666674</v>
      </c>
      <c r="J597" s="20">
        <f t="shared" si="100"/>
        <v>9.445648807680404E-2</v>
      </c>
      <c r="K597" s="18">
        <f>INDEX('Industry Stats'!$C$2:$C$49,MATCH($C597,'Industry Stats'!$A$2:$A$49,0))</f>
        <v>452.83333333333331</v>
      </c>
      <c r="L597" s="19">
        <f t="shared" si="101"/>
        <v>107.16666666666669</v>
      </c>
      <c r="M597" s="18">
        <f>INDEX('Industry Stats'!$D$2:$D$49,MATCH($C597,'Industry Stats'!$A$2:$A$49,0))</f>
        <v>326.33333333333331</v>
      </c>
      <c r="N597" s="19">
        <f t="shared" si="102"/>
        <v>-8.3333333333333144</v>
      </c>
      <c r="O597" s="18">
        <f>INDEX('Industry Stats'!$E$2:$E$49,MATCH($C597,'Industry Stats'!$A$2:$A$49,0))</f>
        <v>297.16666666666669</v>
      </c>
      <c r="P597" s="19">
        <f t="shared" si="103"/>
        <v>2.8333333333333144</v>
      </c>
      <c r="R597">
        <f t="shared" si="104"/>
        <v>1178.0009402999999</v>
      </c>
      <c r="S597">
        <f t="shared" si="105"/>
        <v>560.00094030000002</v>
      </c>
      <c r="T597">
        <f t="shared" si="106"/>
        <v>318.00094030000002</v>
      </c>
      <c r="U597">
        <f t="shared" si="107"/>
        <v>300.00094030000002</v>
      </c>
      <c r="V597">
        <f t="shared" si="108"/>
        <v>101.66760696666674</v>
      </c>
      <c r="W597">
        <f t="shared" si="109"/>
        <v>-101.66572636666675</v>
      </c>
    </row>
    <row r="598" spans="1:23" ht="15" customHeight="1" x14ac:dyDescent="0.35">
      <c r="A598" t="str">
        <f>'Raw Data'!B596</f>
        <v>Xinyuan Real Estate Co Ltd</v>
      </c>
      <c r="B598" t="str">
        <f>'Raw Data'!A596</f>
        <v>xin</v>
      </c>
      <c r="C598" t="str">
        <f>IF('Raw Data'!E596="N/A","Unclassified",TRIM(SUBSTITUTE('Raw Data'!E596," and "," &amp; ")))</f>
        <v>Real Estate</v>
      </c>
      <c r="D598" s="17">
        <f>'Raw Data'!N596</f>
        <v>205</v>
      </c>
      <c r="E598" s="17">
        <f>'Raw Data'!O596</f>
        <v>242</v>
      </c>
      <c r="F598" s="17">
        <f>'Raw Data'!P596</f>
        <v>300</v>
      </c>
      <c r="G598" s="17">
        <f>'Raw Data'!Q596</f>
        <v>747</v>
      </c>
      <c r="H598" s="18">
        <f>INDEX('Industry Stats'!$F$2:$F$49,MATCH($C598,'Industry Stats'!$A$2:$A$49,0))</f>
        <v>995.94444444444446</v>
      </c>
      <c r="I598" s="19">
        <f t="shared" si="99"/>
        <v>-248.94444444444446</v>
      </c>
      <c r="J598" s="20">
        <f t="shared" si="100"/>
        <v>-0.24995816366374743</v>
      </c>
      <c r="K598" s="18">
        <f>INDEX('Industry Stats'!$C$2:$C$49,MATCH($C598,'Industry Stats'!$A$2:$A$49,0))</f>
        <v>431.38888888888891</v>
      </c>
      <c r="L598" s="19">
        <f t="shared" si="101"/>
        <v>-226.38888888888891</v>
      </c>
      <c r="M598" s="18">
        <f>INDEX('Industry Stats'!$D$2:$D$49,MATCH($C598,'Industry Stats'!$A$2:$A$49,0))</f>
        <v>290.91666666666669</v>
      </c>
      <c r="N598" s="19">
        <f t="shared" si="102"/>
        <v>-48.916666666666686</v>
      </c>
      <c r="O598" s="18">
        <f>INDEX('Industry Stats'!$E$2:$E$49,MATCH($C598,'Industry Stats'!$A$2:$A$49,0))</f>
        <v>273.63888888888891</v>
      </c>
      <c r="P598" s="19">
        <f t="shared" si="103"/>
        <v>26.361111111111086</v>
      </c>
      <c r="R598">
        <f t="shared" si="104"/>
        <v>747.00094019999995</v>
      </c>
      <c r="S598">
        <f t="shared" si="105"/>
        <v>205.0009402</v>
      </c>
      <c r="T598">
        <f t="shared" si="106"/>
        <v>242.0009402</v>
      </c>
      <c r="U598">
        <f t="shared" si="107"/>
        <v>300.0009402</v>
      </c>
      <c r="V598">
        <f t="shared" si="108"/>
        <v>-248.94350424444445</v>
      </c>
      <c r="W598">
        <f t="shared" si="109"/>
        <v>248.94538464444446</v>
      </c>
    </row>
    <row r="599" spans="1:23" ht="15" customHeight="1" x14ac:dyDescent="0.35">
      <c r="A599" t="str">
        <f>'Raw Data'!B597</f>
        <v>XL Fleet Corp</v>
      </c>
      <c r="B599" t="str">
        <f>'Raw Data'!A597</f>
        <v>xl</v>
      </c>
      <c r="C599" t="str">
        <f>IF('Raw Data'!E597="N/A","Unclassified",TRIM(SUBSTITUTE('Raw Data'!E597," and "," &amp; ")))</f>
        <v>Auto Components</v>
      </c>
      <c r="D599" s="17">
        <f>'Raw Data'!N597</f>
        <v>200</v>
      </c>
      <c r="E599" s="17">
        <f>'Raw Data'!O597</f>
        <v>200</v>
      </c>
      <c r="F599" s="17">
        <f>'Raw Data'!P597</f>
        <v>200</v>
      </c>
      <c r="G599" s="17">
        <f>'Raw Data'!Q597</f>
        <v>600</v>
      </c>
      <c r="H599" s="18">
        <f>INDEX('Industry Stats'!$F$2:$F$49,MATCH($C599,'Industry Stats'!$A$2:$A$49,0))</f>
        <v>833.33333333333337</v>
      </c>
      <c r="I599" s="19">
        <f t="shared" si="99"/>
        <v>-233.33333333333337</v>
      </c>
      <c r="J599" s="20">
        <f t="shared" si="100"/>
        <v>-0.28000000000000003</v>
      </c>
      <c r="K599" s="18">
        <f>INDEX('Industry Stats'!$C$2:$C$49,MATCH($C599,'Industry Stats'!$A$2:$A$49,0))</f>
        <v>338.33333333333331</v>
      </c>
      <c r="L599" s="19">
        <f t="shared" si="101"/>
        <v>-138.33333333333331</v>
      </c>
      <c r="M599" s="18">
        <f>INDEX('Industry Stats'!$D$2:$D$49,MATCH($C599,'Industry Stats'!$A$2:$A$49,0))</f>
        <v>248.33333333333334</v>
      </c>
      <c r="N599" s="19">
        <f t="shared" si="102"/>
        <v>-48.333333333333343</v>
      </c>
      <c r="O599" s="18">
        <f>INDEX('Industry Stats'!$E$2:$E$49,MATCH($C599,'Industry Stats'!$A$2:$A$49,0))</f>
        <v>246.66666666666666</v>
      </c>
      <c r="P599" s="19">
        <f t="shared" si="103"/>
        <v>-46.666666666666657</v>
      </c>
      <c r="R599">
        <f t="shared" si="104"/>
        <v>600.00094009999998</v>
      </c>
      <c r="S599">
        <f t="shared" si="105"/>
        <v>200.00094010000001</v>
      </c>
      <c r="T599">
        <f t="shared" si="106"/>
        <v>200.00094010000001</v>
      </c>
      <c r="U599">
        <f t="shared" si="107"/>
        <v>200.00094010000001</v>
      </c>
      <c r="V599">
        <f t="shared" si="108"/>
        <v>-233.33239323333336</v>
      </c>
      <c r="W599">
        <f t="shared" si="109"/>
        <v>233.33427343333338</v>
      </c>
    </row>
    <row r="600" spans="1:23" ht="15" customHeight="1" x14ac:dyDescent="0.35">
      <c r="A600" t="str">
        <f>'Raw Data'!B598</f>
        <v>X Financial</v>
      </c>
      <c r="B600" t="str">
        <f>'Raw Data'!A598</f>
        <v>xyf</v>
      </c>
      <c r="C600" t="str">
        <f>IF('Raw Data'!E598="N/A","Unclassified",TRIM(SUBSTITUTE('Raw Data'!E598," and "," &amp; ")))</f>
        <v>Financial Services</v>
      </c>
      <c r="D600" s="17">
        <f>'Raw Data'!N598</f>
        <v>215</v>
      </c>
      <c r="E600" s="17">
        <f>'Raw Data'!O598</f>
        <v>205</v>
      </c>
      <c r="F600" s="17">
        <f>'Raw Data'!P598</f>
        <v>200</v>
      </c>
      <c r="G600" s="17">
        <f>'Raw Data'!Q598</f>
        <v>620</v>
      </c>
      <c r="H600" s="18">
        <f>INDEX('Industry Stats'!$F$2:$F$49,MATCH($C600,'Industry Stats'!$A$2:$A$49,0))</f>
        <v>909.33333333333337</v>
      </c>
      <c r="I600" s="19">
        <f t="shared" si="99"/>
        <v>-289.33333333333337</v>
      </c>
      <c r="J600" s="20">
        <f t="shared" si="100"/>
        <v>-0.31818181818181823</v>
      </c>
      <c r="K600" s="18">
        <f>INDEX('Industry Stats'!$C$2:$C$49,MATCH($C600,'Industry Stats'!$A$2:$A$49,0))</f>
        <v>367.63636363636363</v>
      </c>
      <c r="L600" s="19">
        <f t="shared" si="101"/>
        <v>-152.63636363636363</v>
      </c>
      <c r="M600" s="18">
        <f>INDEX('Industry Stats'!$D$2:$D$49,MATCH($C600,'Industry Stats'!$A$2:$A$49,0))</f>
        <v>276.45454545454544</v>
      </c>
      <c r="N600" s="19">
        <f t="shared" si="102"/>
        <v>-71.454545454545439</v>
      </c>
      <c r="O600" s="18">
        <f>INDEX('Industry Stats'!$E$2:$E$49,MATCH($C600,'Industry Stats'!$A$2:$A$49,0))</f>
        <v>265.24242424242425</v>
      </c>
      <c r="P600" s="19">
        <f t="shared" si="103"/>
        <v>-65.242424242424249</v>
      </c>
      <c r="R600">
        <f t="shared" si="104"/>
        <v>620.00094000000001</v>
      </c>
      <c r="S600">
        <f t="shared" si="105"/>
        <v>215.00094000000001</v>
      </c>
      <c r="T600">
        <f t="shared" si="106"/>
        <v>205.00094000000001</v>
      </c>
      <c r="U600">
        <f t="shared" si="107"/>
        <v>200.00094000000001</v>
      </c>
      <c r="V600">
        <f t="shared" si="108"/>
        <v>-289.33239333333336</v>
      </c>
      <c r="W600">
        <f t="shared" si="109"/>
        <v>289.33427333333339</v>
      </c>
    </row>
    <row r="601" spans="1:23" ht="15" customHeight="1" x14ac:dyDescent="0.35">
      <c r="A601" t="str">
        <f>'Raw Data'!B599</f>
        <v>Alleghany Corp</v>
      </c>
      <c r="B601" t="str">
        <f>'Raw Data'!A599</f>
        <v>y</v>
      </c>
      <c r="C601" t="str">
        <f>IF('Raw Data'!E599="N/A","Unclassified",TRIM(SUBSTITUTE('Raw Data'!E599," and "," &amp; ")))</f>
        <v>Insurance</v>
      </c>
      <c r="D601" s="17">
        <f>'Raw Data'!N599</f>
        <v>215</v>
      </c>
      <c r="E601" s="17">
        <f>'Raw Data'!O599</f>
        <v>240</v>
      </c>
      <c r="F601" s="17">
        <f>'Raw Data'!P599</f>
        <v>300</v>
      </c>
      <c r="G601" s="17">
        <f>'Raw Data'!Q599</f>
        <v>755</v>
      </c>
      <c r="H601" s="18">
        <f>INDEX('Industry Stats'!$F$2:$F$49,MATCH($C601,'Industry Stats'!$A$2:$A$49,0))</f>
        <v>1012.3703703703703</v>
      </c>
      <c r="I601" s="19">
        <f t="shared" si="99"/>
        <v>-257.37037037037032</v>
      </c>
      <c r="J601" s="20">
        <f t="shared" si="100"/>
        <v>-0.25422550669495864</v>
      </c>
      <c r="K601" s="18">
        <f>INDEX('Industry Stats'!$C$2:$C$49,MATCH($C601,'Industry Stats'!$A$2:$A$49,0))</f>
        <v>425.25925925925924</v>
      </c>
      <c r="L601" s="19">
        <f t="shared" si="101"/>
        <v>-210.25925925925924</v>
      </c>
      <c r="M601" s="18">
        <f>INDEX('Industry Stats'!$D$2:$D$49,MATCH($C601,'Industry Stats'!$A$2:$A$49,0))</f>
        <v>295.66666666666669</v>
      </c>
      <c r="N601" s="19">
        <f t="shared" si="102"/>
        <v>-55.666666666666686</v>
      </c>
      <c r="O601" s="18">
        <f>INDEX('Industry Stats'!$E$2:$E$49,MATCH($C601,'Industry Stats'!$A$2:$A$49,0))</f>
        <v>291.44444444444446</v>
      </c>
      <c r="P601" s="19">
        <f t="shared" si="103"/>
        <v>8.5555555555555429</v>
      </c>
      <c r="R601">
        <f t="shared" si="104"/>
        <v>755.00093990000005</v>
      </c>
      <c r="S601">
        <f t="shared" si="105"/>
        <v>215.00093989999999</v>
      </c>
      <c r="T601">
        <f t="shared" si="106"/>
        <v>240.00093989999999</v>
      </c>
      <c r="U601">
        <f t="shared" si="107"/>
        <v>300.00093989999999</v>
      </c>
      <c r="V601">
        <f t="shared" si="108"/>
        <v>-257.36943047037033</v>
      </c>
      <c r="W601">
        <f t="shared" si="109"/>
        <v>257.37131027037032</v>
      </c>
    </row>
    <row r="602" spans="1:23" ht="15" customHeight="1" x14ac:dyDescent="0.35">
      <c r="A602" t="str">
        <f>'Raw Data'!B600</f>
        <v>Yalla Group Ltd</v>
      </c>
      <c r="B602" t="str">
        <f>'Raw Data'!A600</f>
        <v>yala</v>
      </c>
      <c r="C602" t="str">
        <f>IF('Raw Data'!E600="N/A","Unclassified",TRIM(SUBSTITUTE('Raw Data'!E600," and "," &amp; ")))</f>
        <v>Media</v>
      </c>
      <c r="D602" s="17">
        <f>'Raw Data'!N600</f>
        <v>233</v>
      </c>
      <c r="E602" s="17">
        <f>'Raw Data'!O600</f>
        <v>244</v>
      </c>
      <c r="F602" s="17">
        <f>'Raw Data'!P600</f>
        <v>220</v>
      </c>
      <c r="G602" s="17">
        <f>'Raw Data'!Q600</f>
        <v>697</v>
      </c>
      <c r="H602" s="18">
        <f>INDEX('Industry Stats'!$F$2:$F$49,MATCH($C602,'Industry Stats'!$A$2:$A$49,0))</f>
        <v>935.26086956521738</v>
      </c>
      <c r="I602" s="19">
        <f t="shared" si="99"/>
        <v>-238.26086956521738</v>
      </c>
      <c r="J602" s="20">
        <f t="shared" si="100"/>
        <v>-0.25475338199060943</v>
      </c>
      <c r="K602" s="18">
        <f>INDEX('Industry Stats'!$C$2:$C$49,MATCH($C602,'Industry Stats'!$A$2:$A$49,0))</f>
        <v>346.91304347826087</v>
      </c>
      <c r="L602" s="19">
        <f t="shared" si="101"/>
        <v>-113.91304347826087</v>
      </c>
      <c r="M602" s="18">
        <f>INDEX('Industry Stats'!$D$2:$D$49,MATCH($C602,'Industry Stats'!$A$2:$A$49,0))</f>
        <v>313</v>
      </c>
      <c r="N602" s="19">
        <f t="shared" si="102"/>
        <v>-69</v>
      </c>
      <c r="O602" s="18">
        <f>INDEX('Industry Stats'!$E$2:$E$49,MATCH($C602,'Industry Stats'!$A$2:$A$49,0))</f>
        <v>275.3478260869565</v>
      </c>
      <c r="P602" s="19">
        <f t="shared" si="103"/>
        <v>-55.347826086956502</v>
      </c>
      <c r="R602">
        <f t="shared" si="104"/>
        <v>697.00093979999997</v>
      </c>
      <c r="S602">
        <f t="shared" si="105"/>
        <v>233.0009398</v>
      </c>
      <c r="T602">
        <f t="shared" si="106"/>
        <v>244.0009398</v>
      </c>
      <c r="U602">
        <f t="shared" si="107"/>
        <v>220.0009398</v>
      </c>
      <c r="V602">
        <f t="shared" si="108"/>
        <v>-238.25992976521738</v>
      </c>
      <c r="W602">
        <f t="shared" si="109"/>
        <v>238.26180936521737</v>
      </c>
    </row>
    <row r="603" spans="1:23" ht="15" customHeight="1" x14ac:dyDescent="0.35">
      <c r="A603" t="str">
        <f>'Raw Data'!B601</f>
        <v>Watts Water Technologies Inc</v>
      </c>
      <c r="B603" t="str">
        <f>'Raw Data'!A601</f>
        <v>wts</v>
      </c>
      <c r="C603" t="str">
        <f>IF('Raw Data'!E601="N/A","Unclassified",TRIM(SUBSTITUTE('Raw Data'!E601," and "," &amp; ")))</f>
        <v>Machinery</v>
      </c>
      <c r="D603" s="17">
        <f>'Raw Data'!N601</f>
        <v>420</v>
      </c>
      <c r="E603" s="17">
        <f>'Raw Data'!O601</f>
        <v>303</v>
      </c>
      <c r="F603" s="17">
        <f>'Raw Data'!P601</f>
        <v>210</v>
      </c>
      <c r="G603" s="17">
        <f>'Raw Data'!Q601</f>
        <v>933</v>
      </c>
      <c r="H603" s="18">
        <f>INDEX('Industry Stats'!$F$2:$F$49,MATCH($C603,'Industry Stats'!$A$2:$A$49,0))</f>
        <v>1048.047619047619</v>
      </c>
      <c r="I603" s="19">
        <f t="shared" si="99"/>
        <v>-115.04761904761904</v>
      </c>
      <c r="J603" s="20">
        <f t="shared" si="100"/>
        <v>-0.10977327456949429</v>
      </c>
      <c r="K603" s="18">
        <f>INDEX('Industry Stats'!$C$2:$C$49,MATCH($C603,'Industry Stats'!$A$2:$A$49,0))</f>
        <v>459.57142857142856</v>
      </c>
      <c r="L603" s="19">
        <f t="shared" si="101"/>
        <v>-39.571428571428555</v>
      </c>
      <c r="M603" s="18">
        <f>INDEX('Industry Stats'!$D$2:$D$49,MATCH($C603,'Industry Stats'!$A$2:$A$49,0))</f>
        <v>313.66666666666669</v>
      </c>
      <c r="N603" s="19">
        <f t="shared" si="102"/>
        <v>-10.666666666666686</v>
      </c>
      <c r="O603" s="18">
        <f>INDEX('Industry Stats'!$E$2:$E$49,MATCH($C603,'Industry Stats'!$A$2:$A$49,0))</f>
        <v>274.8095238095238</v>
      </c>
      <c r="P603" s="19">
        <f t="shared" si="103"/>
        <v>-64.809523809523796</v>
      </c>
      <c r="R603">
        <f t="shared" si="104"/>
        <v>933.0009397</v>
      </c>
      <c r="S603">
        <f t="shared" si="105"/>
        <v>420.0009397</v>
      </c>
      <c r="T603">
        <f t="shared" si="106"/>
        <v>303.0009397</v>
      </c>
      <c r="U603">
        <f t="shared" si="107"/>
        <v>210.0009397</v>
      </c>
      <c r="V603">
        <f t="shared" si="108"/>
        <v>-115.04667934761903</v>
      </c>
      <c r="W603">
        <f t="shared" si="109"/>
        <v>115.04855874761904</v>
      </c>
    </row>
    <row r="604" spans="1:23" ht="15" customHeight="1" x14ac:dyDescent="0.35">
      <c r="A604" t="str">
        <f>'Raw Data'!B602</f>
        <v>Sientra Inc</v>
      </c>
      <c r="B604" t="str">
        <f>'Raw Data'!A602</f>
        <v>sien</v>
      </c>
      <c r="C604" t="str">
        <f>IF('Raw Data'!E602="N/A","Unclassified",TRIM(SUBSTITUTE('Raw Data'!E602," and "," &amp; ")))</f>
        <v>Health Care</v>
      </c>
      <c r="D604" s="17">
        <f>'Raw Data'!N602</f>
        <v>219</v>
      </c>
      <c r="E604" s="17">
        <f>'Raw Data'!O602</f>
        <v>308</v>
      </c>
      <c r="F604" s="17">
        <f>'Raw Data'!P602</f>
        <v>236</v>
      </c>
      <c r="G604" s="17">
        <f>'Raw Data'!Q602</f>
        <v>763</v>
      </c>
      <c r="H604" s="18">
        <f>INDEX('Industry Stats'!$F$2:$F$49,MATCH($C604,'Industry Stats'!$A$2:$A$49,0))</f>
        <v>938.76470588235293</v>
      </c>
      <c r="I604" s="19">
        <f t="shared" si="99"/>
        <v>-175.76470588235293</v>
      </c>
      <c r="J604" s="20">
        <f t="shared" si="100"/>
        <v>-0.18722977630177329</v>
      </c>
      <c r="K604" s="18">
        <f>INDEX('Industry Stats'!$C$2:$C$49,MATCH($C604,'Industry Stats'!$A$2:$A$49,0))</f>
        <v>374.52941176470586</v>
      </c>
      <c r="L604" s="19">
        <f t="shared" si="101"/>
        <v>-155.52941176470586</v>
      </c>
      <c r="M604" s="18">
        <f>INDEX('Industry Stats'!$D$2:$D$49,MATCH($C604,'Industry Stats'!$A$2:$A$49,0))</f>
        <v>287.43137254901961</v>
      </c>
      <c r="N604" s="19">
        <f t="shared" si="102"/>
        <v>20.568627450980387</v>
      </c>
      <c r="O604" s="18">
        <f>INDEX('Industry Stats'!$E$2:$E$49,MATCH($C604,'Industry Stats'!$A$2:$A$49,0))</f>
        <v>276.80392156862746</v>
      </c>
      <c r="P604" s="19">
        <f t="shared" si="103"/>
        <v>-40.803921568627459</v>
      </c>
      <c r="R604">
        <f t="shared" si="104"/>
        <v>763.00093960000004</v>
      </c>
      <c r="S604">
        <f t="shared" si="105"/>
        <v>219.00093960000001</v>
      </c>
      <c r="T604">
        <f t="shared" si="106"/>
        <v>308.00093959999998</v>
      </c>
      <c r="U604">
        <f t="shared" si="107"/>
        <v>236.00093960000001</v>
      </c>
      <c r="V604">
        <f t="shared" si="108"/>
        <v>-175.76376628235292</v>
      </c>
      <c r="W604">
        <f t="shared" si="109"/>
        <v>175.76564548235294</v>
      </c>
    </row>
    <row r="605" spans="1:23" ht="15" customHeight="1" x14ac:dyDescent="0.35">
      <c r="A605" t="str">
        <f>'Raw Data'!B603</f>
        <v>Hain Celestial Group Inc</v>
      </c>
      <c r="B605" t="str">
        <f>'Raw Data'!A603</f>
        <v>hain</v>
      </c>
      <c r="C605" t="str">
        <f>IF('Raw Data'!E603="N/A","Unclassified",TRIM(SUBSTITUTE('Raw Data'!E603," and "," &amp; ")))</f>
        <v>Food Products</v>
      </c>
      <c r="D605" s="17">
        <f>'Raw Data'!N603</f>
        <v>520</v>
      </c>
      <c r="E605" s="17">
        <f>'Raw Data'!O603</f>
        <v>302</v>
      </c>
      <c r="F605" s="17">
        <f>'Raw Data'!P603</f>
        <v>305</v>
      </c>
      <c r="G605" s="17">
        <f>'Raw Data'!Q603</f>
        <v>1127</v>
      </c>
      <c r="H605" s="18">
        <f>INDEX('Industry Stats'!$F$2:$F$49,MATCH($C605,'Industry Stats'!$A$2:$A$49,0))</f>
        <v>1131.0714285714287</v>
      </c>
      <c r="I605" s="19">
        <f t="shared" si="99"/>
        <v>-4.0714285714286689</v>
      </c>
      <c r="J605" s="20">
        <f t="shared" si="100"/>
        <v>-3.5996210925166631E-3</v>
      </c>
      <c r="K605" s="18">
        <f>INDEX('Industry Stats'!$C$2:$C$49,MATCH($C605,'Industry Stats'!$A$2:$A$49,0))</f>
        <v>516.57142857142856</v>
      </c>
      <c r="L605" s="19">
        <f t="shared" si="101"/>
        <v>3.4285714285714448</v>
      </c>
      <c r="M605" s="18">
        <f>INDEX('Industry Stats'!$D$2:$D$49,MATCH($C605,'Industry Stats'!$A$2:$A$49,0))</f>
        <v>311.28571428571428</v>
      </c>
      <c r="N605" s="19">
        <f t="shared" si="102"/>
        <v>-9.2857142857142776</v>
      </c>
      <c r="O605" s="18">
        <f>INDEX('Industry Stats'!$E$2:$E$49,MATCH($C605,'Industry Stats'!$A$2:$A$49,0))</f>
        <v>303.21428571428572</v>
      </c>
      <c r="P605" s="19">
        <f t="shared" si="103"/>
        <v>1.7857142857142776</v>
      </c>
      <c r="R605">
        <f t="shared" si="104"/>
        <v>1127.0009395</v>
      </c>
      <c r="S605">
        <f t="shared" si="105"/>
        <v>520.00093949999996</v>
      </c>
      <c r="T605">
        <f t="shared" si="106"/>
        <v>302.00093950000002</v>
      </c>
      <c r="U605">
        <f t="shared" si="107"/>
        <v>305.00093950000002</v>
      </c>
      <c r="V605">
        <f t="shared" si="108"/>
        <v>-4.0704890714286686</v>
      </c>
      <c r="W605">
        <f t="shared" si="109"/>
        <v>4.0723680714286692</v>
      </c>
    </row>
    <row r="606" spans="1:23" ht="15" customHeight="1" x14ac:dyDescent="0.35">
      <c r="A606" t="str">
        <f>'Raw Data'!B604</f>
        <v>MMTEC Inc</v>
      </c>
      <c r="B606" t="str">
        <f>'Raw Data'!A604</f>
        <v>mtc</v>
      </c>
      <c r="C606" t="str">
        <f>IF('Raw Data'!E604="N/A","Unclassified",TRIM(SUBSTITUTE('Raw Data'!E604," and "," &amp; ")))</f>
        <v>Technology</v>
      </c>
      <c r="D606" s="17">
        <f>'Raw Data'!N604</f>
        <v>221</v>
      </c>
      <c r="E606" s="17">
        <f>'Raw Data'!O604</f>
        <v>225</v>
      </c>
      <c r="F606" s="17">
        <f>'Raw Data'!P604</f>
        <v>305</v>
      </c>
      <c r="G606" s="17">
        <f>'Raw Data'!Q604</f>
        <v>751</v>
      </c>
      <c r="H606" s="18">
        <f>INDEX('Industry Stats'!$F$2:$F$49,MATCH($C606,'Industry Stats'!$A$2:$A$49,0))</f>
        <v>1031.3174603174602</v>
      </c>
      <c r="I606" s="19">
        <f t="shared" si="99"/>
        <v>-280.31746031746025</v>
      </c>
      <c r="J606" s="20">
        <f t="shared" si="100"/>
        <v>-0.27180521139550268</v>
      </c>
      <c r="K606" s="18">
        <f>INDEX('Industry Stats'!$C$2:$C$49,MATCH($C606,'Industry Stats'!$A$2:$A$49,0))</f>
        <v>438.11111111111109</v>
      </c>
      <c r="L606" s="19">
        <f t="shared" si="101"/>
        <v>-217.11111111111109</v>
      </c>
      <c r="M606" s="18">
        <f>INDEX('Industry Stats'!$D$2:$D$49,MATCH($C606,'Industry Stats'!$A$2:$A$49,0))</f>
        <v>307.90476190476193</v>
      </c>
      <c r="N606" s="19">
        <f t="shared" si="102"/>
        <v>-82.904761904761926</v>
      </c>
      <c r="O606" s="18">
        <f>INDEX('Industry Stats'!$E$2:$E$49,MATCH($C606,'Industry Stats'!$A$2:$A$49,0))</f>
        <v>285.30158730158729</v>
      </c>
      <c r="P606" s="19">
        <f t="shared" si="103"/>
        <v>19.69841269841271</v>
      </c>
      <c r="R606">
        <f t="shared" si="104"/>
        <v>751.00093939999999</v>
      </c>
      <c r="S606">
        <f t="shared" si="105"/>
        <v>221.00093939999999</v>
      </c>
      <c r="T606">
        <f t="shared" si="106"/>
        <v>225.00093939999999</v>
      </c>
      <c r="U606">
        <f t="shared" si="107"/>
        <v>305.00093939999999</v>
      </c>
      <c r="V606">
        <f t="shared" si="108"/>
        <v>-280.31652091746025</v>
      </c>
      <c r="W606">
        <f t="shared" si="109"/>
        <v>280.31839971746024</v>
      </c>
    </row>
    <row r="607" spans="1:23" ht="15" customHeight="1" x14ac:dyDescent="0.35">
      <c r="A607" t="str">
        <f>'Raw Data'!B605</f>
        <v>Metacrine Inc</v>
      </c>
      <c r="B607" t="str">
        <f>'Raw Data'!A605</f>
        <v>mtcr</v>
      </c>
      <c r="C607" t="str">
        <f>IF('Raw Data'!E605="N/A","Unclassified",TRIM(SUBSTITUTE('Raw Data'!E605," and "," &amp; ")))</f>
        <v>Biotechnology</v>
      </c>
      <c r="D607" s="17">
        <f>'Raw Data'!N605</f>
        <v>210</v>
      </c>
      <c r="E607" s="17">
        <f>'Raw Data'!O605</f>
        <v>207</v>
      </c>
      <c r="F607" s="17">
        <f>'Raw Data'!P605</f>
        <v>330</v>
      </c>
      <c r="G607" s="17">
        <f>'Raw Data'!Q605</f>
        <v>747</v>
      </c>
      <c r="H607" s="18">
        <f>INDEX('Industry Stats'!$F$2:$F$49,MATCH($C607,'Industry Stats'!$A$2:$A$49,0))</f>
        <v>866.91071428571433</v>
      </c>
      <c r="I607" s="19">
        <f t="shared" si="99"/>
        <v>-119.91071428571433</v>
      </c>
      <c r="J607" s="20">
        <f t="shared" si="100"/>
        <v>-0.13831956660555755</v>
      </c>
      <c r="K607" s="18">
        <f>INDEX('Industry Stats'!$C$2:$C$49,MATCH($C607,'Industry Stats'!$A$2:$A$49,0))</f>
        <v>306.53571428571428</v>
      </c>
      <c r="L607" s="19">
        <f t="shared" si="101"/>
        <v>-96.535714285714278</v>
      </c>
      <c r="M607" s="18">
        <f>INDEX('Industry Stats'!$D$2:$D$49,MATCH($C607,'Industry Stats'!$A$2:$A$49,0))</f>
        <v>268.85714285714283</v>
      </c>
      <c r="N607" s="19">
        <f t="shared" si="102"/>
        <v>-61.857142857142833</v>
      </c>
      <c r="O607" s="18">
        <f>INDEX('Industry Stats'!$E$2:$E$49,MATCH($C607,'Industry Stats'!$A$2:$A$49,0))</f>
        <v>291.51785714285717</v>
      </c>
      <c r="P607" s="19">
        <f t="shared" si="103"/>
        <v>38.482142857142833</v>
      </c>
      <c r="R607">
        <f t="shared" si="104"/>
        <v>747.00093930000003</v>
      </c>
      <c r="S607">
        <f t="shared" si="105"/>
        <v>210.0009393</v>
      </c>
      <c r="T607">
        <f t="shared" si="106"/>
        <v>207.0009393</v>
      </c>
      <c r="U607">
        <f t="shared" si="107"/>
        <v>330.00093930000003</v>
      </c>
      <c r="V607">
        <f t="shared" si="108"/>
        <v>-119.90977498571434</v>
      </c>
      <c r="W607">
        <f t="shared" si="109"/>
        <v>119.91165358571433</v>
      </c>
    </row>
    <row r="608" spans="1:23" ht="15" customHeight="1" x14ac:dyDescent="0.35">
      <c r="A608" t="str">
        <f>'Raw Data'!B606</f>
        <v>Molecular Templates Inc</v>
      </c>
      <c r="B608" t="str">
        <f>'Raw Data'!A606</f>
        <v>mtem</v>
      </c>
      <c r="C608" t="str">
        <f>IF('Raw Data'!E606="N/A","Unclassified",TRIM(SUBSTITUTE('Raw Data'!E606," and "," &amp; ")))</f>
        <v>Biotechnology</v>
      </c>
      <c r="D608" s="17">
        <f>'Raw Data'!N606</f>
        <v>360</v>
      </c>
      <c r="E608" s="17">
        <f>'Raw Data'!O606</f>
        <v>325</v>
      </c>
      <c r="F608" s="17">
        <f>'Raw Data'!P606</f>
        <v>320</v>
      </c>
      <c r="G608" s="17">
        <f>'Raw Data'!Q606</f>
        <v>1005</v>
      </c>
      <c r="H608" s="18">
        <f>INDEX('Industry Stats'!$F$2:$F$49,MATCH($C608,'Industry Stats'!$A$2:$A$49,0))</f>
        <v>866.91071428571433</v>
      </c>
      <c r="I608" s="19">
        <f t="shared" si="99"/>
        <v>138.08928571428567</v>
      </c>
      <c r="J608" s="20">
        <f t="shared" si="100"/>
        <v>0.15928893649453102</v>
      </c>
      <c r="K608" s="18">
        <f>INDEX('Industry Stats'!$C$2:$C$49,MATCH($C608,'Industry Stats'!$A$2:$A$49,0))</f>
        <v>306.53571428571428</v>
      </c>
      <c r="L608" s="19">
        <f t="shared" si="101"/>
        <v>53.464285714285722</v>
      </c>
      <c r="M608" s="18">
        <f>INDEX('Industry Stats'!$D$2:$D$49,MATCH($C608,'Industry Stats'!$A$2:$A$49,0))</f>
        <v>268.85714285714283</v>
      </c>
      <c r="N608" s="19">
        <f t="shared" si="102"/>
        <v>56.142857142857167</v>
      </c>
      <c r="O608" s="18">
        <f>INDEX('Industry Stats'!$E$2:$E$49,MATCH($C608,'Industry Stats'!$A$2:$A$49,0))</f>
        <v>291.51785714285717</v>
      </c>
      <c r="P608" s="19">
        <f t="shared" si="103"/>
        <v>28.482142857142833</v>
      </c>
      <c r="R608">
        <f t="shared" si="104"/>
        <v>1005.0009391999999</v>
      </c>
      <c r="S608">
        <f t="shared" si="105"/>
        <v>360.0009392</v>
      </c>
      <c r="T608">
        <f t="shared" si="106"/>
        <v>325.0009392</v>
      </c>
      <c r="U608">
        <f t="shared" si="107"/>
        <v>320.0009392</v>
      </c>
      <c r="V608">
        <f t="shared" si="108"/>
        <v>138.09022491428567</v>
      </c>
      <c r="W608">
        <f t="shared" si="109"/>
        <v>-138.08834651428566</v>
      </c>
    </row>
    <row r="609" spans="1:23" ht="15" customHeight="1" x14ac:dyDescent="0.35">
      <c r="A609" t="str">
        <f>'Raw Data'!B607</f>
        <v>Materialise NV</v>
      </c>
      <c r="B609" t="str">
        <f>'Raw Data'!A607</f>
        <v>mtls</v>
      </c>
      <c r="C609" t="str">
        <f>IF('Raw Data'!E607="N/A","Unclassified",TRIM(SUBSTITUTE('Raw Data'!E607," and "," &amp; ")))</f>
        <v>Technology</v>
      </c>
      <c r="D609" s="17">
        <f>'Raw Data'!N607</f>
        <v>505</v>
      </c>
      <c r="E609" s="17">
        <f>'Raw Data'!O607</f>
        <v>301</v>
      </c>
      <c r="F609" s="17">
        <f>'Raw Data'!P607</f>
        <v>300</v>
      </c>
      <c r="G609" s="17">
        <f>'Raw Data'!Q607</f>
        <v>1106</v>
      </c>
      <c r="H609" s="18">
        <f>INDEX('Industry Stats'!$F$2:$F$49,MATCH($C609,'Industry Stats'!$A$2:$A$49,0))</f>
        <v>1031.3174603174602</v>
      </c>
      <c r="I609" s="19">
        <f t="shared" si="99"/>
        <v>74.682539682539755</v>
      </c>
      <c r="J609" s="20">
        <f t="shared" si="100"/>
        <v>7.2414695334985374E-2</v>
      </c>
      <c r="K609" s="18">
        <f>INDEX('Industry Stats'!$C$2:$C$49,MATCH($C609,'Industry Stats'!$A$2:$A$49,0))</f>
        <v>438.11111111111109</v>
      </c>
      <c r="L609" s="19">
        <f t="shared" si="101"/>
        <v>66.888888888888914</v>
      </c>
      <c r="M609" s="18">
        <f>INDEX('Industry Stats'!$D$2:$D$49,MATCH($C609,'Industry Stats'!$A$2:$A$49,0))</f>
        <v>307.90476190476193</v>
      </c>
      <c r="N609" s="19">
        <f t="shared" si="102"/>
        <v>-6.9047619047619264</v>
      </c>
      <c r="O609" s="18">
        <f>INDEX('Industry Stats'!$E$2:$E$49,MATCH($C609,'Industry Stats'!$A$2:$A$49,0))</f>
        <v>285.30158730158729</v>
      </c>
      <c r="P609" s="19">
        <f t="shared" si="103"/>
        <v>14.69841269841271</v>
      </c>
      <c r="R609">
        <f t="shared" si="104"/>
        <v>1106.0009391000001</v>
      </c>
      <c r="S609">
        <f t="shared" si="105"/>
        <v>505.00093909999998</v>
      </c>
      <c r="T609">
        <f t="shared" si="106"/>
        <v>301.00093909999998</v>
      </c>
      <c r="U609">
        <f t="shared" si="107"/>
        <v>300.00093909999998</v>
      </c>
      <c r="V609">
        <f t="shared" si="108"/>
        <v>74.683478782539751</v>
      </c>
      <c r="W609">
        <f t="shared" si="109"/>
        <v>-74.681600582539758</v>
      </c>
    </row>
    <row r="610" spans="1:23" ht="15" customHeight="1" x14ac:dyDescent="0.35">
      <c r="A610" t="str">
        <f>'Raw Data'!B608</f>
        <v>Mannatech Inc</v>
      </c>
      <c r="B610" t="str">
        <f>'Raw Data'!A608</f>
        <v>mtex</v>
      </c>
      <c r="C610" t="str">
        <f>IF('Raw Data'!E608="N/A","Unclassified",TRIM(SUBSTITUTE('Raw Data'!E608," and "," &amp; ")))</f>
        <v>Consumer products</v>
      </c>
      <c r="D610" s="17">
        <f>'Raw Data'!N608</f>
        <v>200</v>
      </c>
      <c r="E610" s="17">
        <f>'Raw Data'!O608</f>
        <v>260</v>
      </c>
      <c r="F610" s="17">
        <f>'Raw Data'!P608</f>
        <v>230</v>
      </c>
      <c r="G610" s="17">
        <f>'Raw Data'!Q608</f>
        <v>690</v>
      </c>
      <c r="H610" s="18">
        <f>INDEX('Industry Stats'!$F$2:$F$49,MATCH($C610,'Industry Stats'!$A$2:$A$49,0))</f>
        <v>945.55</v>
      </c>
      <c r="I610" s="19">
        <f t="shared" si="99"/>
        <v>-255.54999999999995</v>
      </c>
      <c r="J610" s="20">
        <f t="shared" si="100"/>
        <v>-0.27026598276135577</v>
      </c>
      <c r="K610" s="18">
        <f>INDEX('Industry Stats'!$C$2:$C$49,MATCH($C610,'Industry Stats'!$A$2:$A$49,0))</f>
        <v>384.9</v>
      </c>
      <c r="L610" s="19">
        <f t="shared" si="101"/>
        <v>-184.89999999999998</v>
      </c>
      <c r="M610" s="18">
        <f>INDEX('Industry Stats'!$D$2:$D$49,MATCH($C610,'Industry Stats'!$A$2:$A$49,0))</f>
        <v>285.7</v>
      </c>
      <c r="N610" s="19">
        <f t="shared" si="102"/>
        <v>-25.699999999999989</v>
      </c>
      <c r="O610" s="18">
        <f>INDEX('Industry Stats'!$E$2:$E$49,MATCH($C610,'Industry Stats'!$A$2:$A$49,0))</f>
        <v>274.95</v>
      </c>
      <c r="P610" s="19">
        <f t="shared" si="103"/>
        <v>-44.949999999999989</v>
      </c>
      <c r="R610">
        <f t="shared" si="104"/>
        <v>690.00093900000002</v>
      </c>
      <c r="S610">
        <f t="shared" si="105"/>
        <v>200.00093899999999</v>
      </c>
      <c r="T610">
        <f t="shared" si="106"/>
        <v>260.00093900000002</v>
      </c>
      <c r="U610">
        <f t="shared" si="107"/>
        <v>230.00093899999999</v>
      </c>
      <c r="V610">
        <f t="shared" si="108"/>
        <v>-255.54906099999997</v>
      </c>
      <c r="W610">
        <f t="shared" si="109"/>
        <v>255.55093899999994</v>
      </c>
    </row>
    <row r="611" spans="1:23" ht="15" customHeight="1" x14ac:dyDescent="0.35">
      <c r="A611" t="str">
        <f>'Raw Data'!B609</f>
        <v>Matrix Service Co</v>
      </c>
      <c r="B611" t="str">
        <f>'Raw Data'!A609</f>
        <v>mtrx</v>
      </c>
      <c r="C611" t="str">
        <f>IF('Raw Data'!E609="N/A","Unclassified",TRIM(SUBSTITUTE('Raw Data'!E609," and "," &amp; ")))</f>
        <v>Construction</v>
      </c>
      <c r="D611" s="17">
        <f>'Raw Data'!N609</f>
        <v>589</v>
      </c>
      <c r="E611" s="17">
        <f>'Raw Data'!O609</f>
        <v>390</v>
      </c>
      <c r="F611" s="17">
        <f>'Raw Data'!P609</f>
        <v>277</v>
      </c>
      <c r="G611" s="17">
        <f>'Raw Data'!Q609</f>
        <v>1256</v>
      </c>
      <c r="H611" s="18">
        <f>INDEX('Industry Stats'!$F$2:$F$49,MATCH($C611,'Industry Stats'!$A$2:$A$49,0))</f>
        <v>1082.6666666666667</v>
      </c>
      <c r="I611" s="19">
        <f t="shared" si="99"/>
        <v>173.33333333333326</v>
      </c>
      <c r="J611" s="20">
        <f t="shared" si="100"/>
        <v>0.1600985221674876</v>
      </c>
      <c r="K611" s="18">
        <f>INDEX('Industry Stats'!$C$2:$C$49,MATCH($C611,'Industry Stats'!$A$2:$A$49,0))</f>
        <v>495.33333333333331</v>
      </c>
      <c r="L611" s="19">
        <f t="shared" si="101"/>
        <v>93.666666666666686</v>
      </c>
      <c r="M611" s="18">
        <f>INDEX('Industry Stats'!$D$2:$D$49,MATCH($C611,'Industry Stats'!$A$2:$A$49,0))</f>
        <v>306.16666666666669</v>
      </c>
      <c r="N611" s="19">
        <f t="shared" si="102"/>
        <v>83.833333333333314</v>
      </c>
      <c r="O611" s="18">
        <f>INDEX('Industry Stats'!$E$2:$E$49,MATCH($C611,'Industry Stats'!$A$2:$A$49,0))</f>
        <v>281.16666666666669</v>
      </c>
      <c r="P611" s="19">
        <f t="shared" si="103"/>
        <v>-4.1666666666666856</v>
      </c>
      <c r="R611">
        <f t="shared" si="104"/>
        <v>1256.0009388999999</v>
      </c>
      <c r="S611">
        <f t="shared" si="105"/>
        <v>589.00093890000005</v>
      </c>
      <c r="T611">
        <f t="shared" si="106"/>
        <v>390.00093889999999</v>
      </c>
      <c r="U611">
        <f t="shared" si="107"/>
        <v>277.00093889999999</v>
      </c>
      <c r="V611">
        <f t="shared" si="108"/>
        <v>173.33427223333325</v>
      </c>
      <c r="W611">
        <f t="shared" si="109"/>
        <v>-173.33239443333326</v>
      </c>
    </row>
    <row r="612" spans="1:23" ht="15" customHeight="1" x14ac:dyDescent="0.35">
      <c r="A612" t="str">
        <f>'Raw Data'!B610</f>
        <v>Halozyme Therapeutics Inc</v>
      </c>
      <c r="B612" t="str">
        <f>'Raw Data'!A610</f>
        <v>halo</v>
      </c>
      <c r="C612" t="str">
        <f>IF('Raw Data'!E610="N/A","Unclassified",TRIM(SUBSTITUTE('Raw Data'!E610," and "," &amp; ")))</f>
        <v>Biotechnology</v>
      </c>
      <c r="D612" s="17">
        <f>'Raw Data'!N610</f>
        <v>510</v>
      </c>
      <c r="E612" s="17">
        <f>'Raw Data'!O610</f>
        <v>302</v>
      </c>
      <c r="F612" s="17">
        <f>'Raw Data'!P610</f>
        <v>315</v>
      </c>
      <c r="G612" s="17">
        <f>'Raw Data'!Q610</f>
        <v>1127</v>
      </c>
      <c r="H612" s="18">
        <f>INDEX('Industry Stats'!$F$2:$F$49,MATCH($C612,'Industry Stats'!$A$2:$A$49,0))</f>
        <v>866.91071428571433</v>
      </c>
      <c r="I612" s="19">
        <f t="shared" si="99"/>
        <v>260.08928571428567</v>
      </c>
      <c r="J612" s="20">
        <f t="shared" si="100"/>
        <v>0.30001853873565815</v>
      </c>
      <c r="K612" s="18">
        <f>INDEX('Industry Stats'!$C$2:$C$49,MATCH($C612,'Industry Stats'!$A$2:$A$49,0))</f>
        <v>306.53571428571428</v>
      </c>
      <c r="L612" s="19">
        <f t="shared" si="101"/>
        <v>203.46428571428572</v>
      </c>
      <c r="M612" s="18">
        <f>INDEX('Industry Stats'!$D$2:$D$49,MATCH($C612,'Industry Stats'!$A$2:$A$49,0))</f>
        <v>268.85714285714283</v>
      </c>
      <c r="N612" s="19">
        <f t="shared" si="102"/>
        <v>33.142857142857167</v>
      </c>
      <c r="O612" s="18">
        <f>INDEX('Industry Stats'!$E$2:$E$49,MATCH($C612,'Industry Stats'!$A$2:$A$49,0))</f>
        <v>291.51785714285717</v>
      </c>
      <c r="P612" s="19">
        <f t="shared" si="103"/>
        <v>23.482142857142833</v>
      </c>
      <c r="R612">
        <f t="shared" si="104"/>
        <v>1127.0009388000001</v>
      </c>
      <c r="S612">
        <f t="shared" si="105"/>
        <v>510.00093879999997</v>
      </c>
      <c r="T612">
        <f t="shared" si="106"/>
        <v>302.00093879999997</v>
      </c>
      <c r="U612">
        <f t="shared" si="107"/>
        <v>315.00093879999997</v>
      </c>
      <c r="V612">
        <f t="shared" si="108"/>
        <v>260.09022451428564</v>
      </c>
      <c r="W612">
        <f t="shared" si="109"/>
        <v>-260.08834691428569</v>
      </c>
    </row>
    <row r="613" spans="1:23" ht="15" customHeight="1" x14ac:dyDescent="0.35">
      <c r="A613" t="str">
        <f>'Raw Data'!B611</f>
        <v>Hallmark Financial Services Inc</v>
      </c>
      <c r="B613" t="str">
        <f>'Raw Data'!A611</f>
        <v>hall</v>
      </c>
      <c r="C613" t="str">
        <f>IF('Raw Data'!E611="N/A","Unclassified",TRIM(SUBSTITUTE('Raw Data'!E611," and "," &amp; ")))</f>
        <v>Insurance</v>
      </c>
      <c r="D613" s="17">
        <f>'Raw Data'!N611</f>
        <v>215</v>
      </c>
      <c r="E613" s="17">
        <f>'Raw Data'!O611</f>
        <v>233</v>
      </c>
      <c r="F613" s="17">
        <f>'Raw Data'!P611</f>
        <v>300</v>
      </c>
      <c r="G613" s="17">
        <f>'Raw Data'!Q611</f>
        <v>748</v>
      </c>
      <c r="H613" s="18">
        <f>INDEX('Industry Stats'!$F$2:$F$49,MATCH($C613,'Industry Stats'!$A$2:$A$49,0))</f>
        <v>1012.3703703703703</v>
      </c>
      <c r="I613" s="19">
        <f t="shared" si="99"/>
        <v>-264.37037037037032</v>
      </c>
      <c r="J613" s="20">
        <f t="shared" si="100"/>
        <v>-0.2611399721958001</v>
      </c>
      <c r="K613" s="18">
        <f>INDEX('Industry Stats'!$C$2:$C$49,MATCH($C613,'Industry Stats'!$A$2:$A$49,0))</f>
        <v>425.25925925925924</v>
      </c>
      <c r="L613" s="19">
        <f t="shared" si="101"/>
        <v>-210.25925925925924</v>
      </c>
      <c r="M613" s="18">
        <f>INDEX('Industry Stats'!$D$2:$D$49,MATCH($C613,'Industry Stats'!$A$2:$A$49,0))</f>
        <v>295.66666666666669</v>
      </c>
      <c r="N613" s="19">
        <f t="shared" si="102"/>
        <v>-62.666666666666686</v>
      </c>
      <c r="O613" s="18">
        <f>INDEX('Industry Stats'!$E$2:$E$49,MATCH($C613,'Industry Stats'!$A$2:$A$49,0))</f>
        <v>291.44444444444446</v>
      </c>
      <c r="P613" s="19">
        <f t="shared" si="103"/>
        <v>8.5555555555555429</v>
      </c>
      <c r="R613">
        <f t="shared" si="104"/>
        <v>748.00093870000001</v>
      </c>
      <c r="S613">
        <f t="shared" si="105"/>
        <v>215.00093870000001</v>
      </c>
      <c r="T613">
        <f t="shared" si="106"/>
        <v>233.00093870000001</v>
      </c>
      <c r="U613">
        <f t="shared" si="107"/>
        <v>300.00093870000001</v>
      </c>
      <c r="V613">
        <f t="shared" si="108"/>
        <v>-264.36943167037032</v>
      </c>
      <c r="W613">
        <f t="shared" si="109"/>
        <v>264.37130907037033</v>
      </c>
    </row>
    <row r="614" spans="1:23" ht="15" customHeight="1" x14ac:dyDescent="0.35">
      <c r="A614" t="str">
        <f>'Raw Data'!B612</f>
        <v>MVB Financial Corp</v>
      </c>
      <c r="B614" t="str">
        <f>'Raw Data'!A612</f>
        <v>mvbf</v>
      </c>
      <c r="C614" t="str">
        <f>IF('Raw Data'!E612="N/A","Unclassified",TRIM(SUBSTITUTE('Raw Data'!E612," and "," &amp; ")))</f>
        <v>Banking</v>
      </c>
      <c r="D614" s="17">
        <f>'Raw Data'!N612</f>
        <v>210</v>
      </c>
      <c r="E614" s="17">
        <f>'Raw Data'!O612</f>
        <v>215</v>
      </c>
      <c r="F614" s="17">
        <f>'Raw Data'!P612</f>
        <v>215</v>
      </c>
      <c r="G614" s="17">
        <f>'Raw Data'!Q612</f>
        <v>640</v>
      </c>
      <c r="H614" s="18">
        <f>INDEX('Industry Stats'!$F$2:$F$49,MATCH($C614,'Industry Stats'!$A$2:$A$49,0))</f>
        <v>898.31034482758616</v>
      </c>
      <c r="I614" s="19">
        <f t="shared" si="99"/>
        <v>-258.31034482758616</v>
      </c>
      <c r="J614" s="20">
        <f t="shared" si="100"/>
        <v>-0.28755134159917084</v>
      </c>
      <c r="K614" s="18">
        <f>INDEX('Industry Stats'!$C$2:$C$49,MATCH($C614,'Industry Stats'!$A$2:$A$49,0))</f>
        <v>341.48275862068965</v>
      </c>
      <c r="L614" s="19">
        <f t="shared" si="101"/>
        <v>-131.48275862068965</v>
      </c>
      <c r="M614" s="18">
        <f>INDEX('Industry Stats'!$D$2:$D$49,MATCH($C614,'Industry Stats'!$A$2:$A$49,0))</f>
        <v>292.34482758620692</v>
      </c>
      <c r="N614" s="19">
        <f t="shared" si="102"/>
        <v>-77.344827586206918</v>
      </c>
      <c r="O614" s="18">
        <f>INDEX('Industry Stats'!$E$2:$E$49,MATCH($C614,'Industry Stats'!$A$2:$A$49,0))</f>
        <v>264.48275862068965</v>
      </c>
      <c r="P614" s="19">
        <f t="shared" si="103"/>
        <v>-49.482758620689651</v>
      </c>
      <c r="R614">
        <f t="shared" si="104"/>
        <v>640.00093860000004</v>
      </c>
      <c r="S614">
        <f t="shared" si="105"/>
        <v>210.00093860000001</v>
      </c>
      <c r="T614">
        <f t="shared" si="106"/>
        <v>215.00093860000001</v>
      </c>
      <c r="U614">
        <f t="shared" si="107"/>
        <v>215.00093860000001</v>
      </c>
      <c r="V614">
        <f t="shared" si="108"/>
        <v>-258.30940622758618</v>
      </c>
      <c r="W614">
        <f t="shared" si="109"/>
        <v>258.31128342758615</v>
      </c>
    </row>
    <row r="615" spans="1:23" ht="15" customHeight="1" x14ac:dyDescent="0.35">
      <c r="A615" t="str">
        <f>'Raw Data'!B613</f>
        <v>Microvast Holdings Inc</v>
      </c>
      <c r="B615" t="str">
        <f>'Raw Data'!A613</f>
        <v>mvst</v>
      </c>
      <c r="C615" t="str">
        <f>IF('Raw Data'!E613="N/A","Unclassified",TRIM(SUBSTITUTE('Raw Data'!E613," and "," &amp; ")))</f>
        <v>Machinery</v>
      </c>
      <c r="D615" s="17">
        <f>'Raw Data'!N613</f>
        <v>225</v>
      </c>
      <c r="E615" s="17">
        <f>'Raw Data'!O613</f>
        <v>282</v>
      </c>
      <c r="F615" s="17">
        <f>'Raw Data'!P613</f>
        <v>210</v>
      </c>
      <c r="G615" s="17">
        <f>'Raw Data'!Q613</f>
        <v>717</v>
      </c>
      <c r="H615" s="18">
        <f>INDEX('Industry Stats'!$F$2:$F$49,MATCH($C615,'Industry Stats'!$A$2:$A$49,0))</f>
        <v>1048.047619047619</v>
      </c>
      <c r="I615" s="19">
        <f t="shared" si="99"/>
        <v>-331.04761904761904</v>
      </c>
      <c r="J615" s="20">
        <f t="shared" si="100"/>
        <v>-0.31587078013539915</v>
      </c>
      <c r="K615" s="18">
        <f>INDEX('Industry Stats'!$C$2:$C$49,MATCH($C615,'Industry Stats'!$A$2:$A$49,0))</f>
        <v>459.57142857142856</v>
      </c>
      <c r="L615" s="19">
        <f t="shared" si="101"/>
        <v>-234.57142857142856</v>
      </c>
      <c r="M615" s="18">
        <f>INDEX('Industry Stats'!$D$2:$D$49,MATCH($C615,'Industry Stats'!$A$2:$A$49,0))</f>
        <v>313.66666666666669</v>
      </c>
      <c r="N615" s="19">
        <f t="shared" si="102"/>
        <v>-31.666666666666686</v>
      </c>
      <c r="O615" s="18">
        <f>INDEX('Industry Stats'!$E$2:$E$49,MATCH($C615,'Industry Stats'!$A$2:$A$49,0))</f>
        <v>274.8095238095238</v>
      </c>
      <c r="P615" s="19">
        <f t="shared" si="103"/>
        <v>-64.809523809523796</v>
      </c>
      <c r="R615">
        <f t="shared" si="104"/>
        <v>717.00093849999996</v>
      </c>
      <c r="S615">
        <f t="shared" si="105"/>
        <v>225.00093849999999</v>
      </c>
      <c r="T615">
        <f t="shared" si="106"/>
        <v>282.00093850000002</v>
      </c>
      <c r="U615">
        <f t="shared" si="107"/>
        <v>210.00093849999999</v>
      </c>
      <c r="V615">
        <f t="shared" si="108"/>
        <v>-331.04668054761902</v>
      </c>
      <c r="W615">
        <f t="shared" si="109"/>
        <v>331.04855754761905</v>
      </c>
    </row>
    <row r="616" spans="1:23" ht="15" customHeight="1" x14ac:dyDescent="0.35">
      <c r="A616" t="str">
        <f>'Raw Data'!B614</f>
        <v>MicroVision Inc</v>
      </c>
      <c r="B616" t="str">
        <f>'Raw Data'!A614</f>
        <v>mvis</v>
      </c>
      <c r="C616" t="str">
        <f>IF('Raw Data'!E614="N/A","Unclassified",TRIM(SUBSTITUTE('Raw Data'!E614," and "," &amp; ")))</f>
        <v>Electrical Equipment</v>
      </c>
      <c r="D616" s="17">
        <f>'Raw Data'!N614</f>
        <v>451</v>
      </c>
      <c r="E616" s="17">
        <f>'Raw Data'!O614</f>
        <v>300</v>
      </c>
      <c r="F616" s="17">
        <f>'Raw Data'!P614</f>
        <v>330</v>
      </c>
      <c r="G616" s="17">
        <f>'Raw Data'!Q614</f>
        <v>1081</v>
      </c>
      <c r="H616" s="18">
        <f>INDEX('Industry Stats'!$F$2:$F$49,MATCH($C616,'Industry Stats'!$A$2:$A$49,0))</f>
        <v>933</v>
      </c>
      <c r="I616" s="19">
        <f t="shared" si="99"/>
        <v>148</v>
      </c>
      <c r="J616" s="20">
        <f t="shared" si="100"/>
        <v>0.15862808145766344</v>
      </c>
      <c r="K616" s="18">
        <f>INDEX('Industry Stats'!$C$2:$C$49,MATCH($C616,'Industry Stats'!$A$2:$A$49,0))</f>
        <v>381.7037037037037</v>
      </c>
      <c r="L616" s="19">
        <f t="shared" si="101"/>
        <v>69.296296296296305</v>
      </c>
      <c r="M616" s="18">
        <f>INDEX('Industry Stats'!$D$2:$D$49,MATCH($C616,'Industry Stats'!$A$2:$A$49,0))</f>
        <v>272.11111111111109</v>
      </c>
      <c r="N616" s="19">
        <f t="shared" si="102"/>
        <v>27.888888888888914</v>
      </c>
      <c r="O616" s="18">
        <f>INDEX('Industry Stats'!$E$2:$E$49,MATCH($C616,'Industry Stats'!$A$2:$A$49,0))</f>
        <v>279.18518518518516</v>
      </c>
      <c r="P616" s="19">
        <f t="shared" si="103"/>
        <v>50.814814814814838</v>
      </c>
      <c r="R616">
        <f t="shared" si="104"/>
        <v>1081.0009384</v>
      </c>
      <c r="S616">
        <f t="shared" si="105"/>
        <v>451.0009384</v>
      </c>
      <c r="T616">
        <f t="shared" si="106"/>
        <v>300.0009384</v>
      </c>
      <c r="U616">
        <f t="shared" si="107"/>
        <v>330.0009384</v>
      </c>
      <c r="V616">
        <f t="shared" si="108"/>
        <v>148.0009384</v>
      </c>
      <c r="W616">
        <f t="shared" si="109"/>
        <v>-147.9990616</v>
      </c>
    </row>
    <row r="617" spans="1:23" ht="15" customHeight="1" x14ac:dyDescent="0.35">
      <c r="A617" t="str">
        <f>'Raw Data'!B615</f>
        <v>MaxCyte Inc</v>
      </c>
      <c r="B617" t="str">
        <f>'Raw Data'!A615</f>
        <v>mxct</v>
      </c>
      <c r="C617" t="str">
        <f>IF('Raw Data'!E615="N/A","Unclassified",TRIM(SUBSTITUTE('Raw Data'!E615," and "," &amp; ")))</f>
        <v>Life Sciences Tools &amp; Services</v>
      </c>
      <c r="D617" s="17">
        <f>'Raw Data'!N615</f>
        <v>220</v>
      </c>
      <c r="E617" s="17">
        <f>'Raw Data'!O615</f>
        <v>300</v>
      </c>
      <c r="F617" s="17">
        <f>'Raw Data'!P615</f>
        <v>248</v>
      </c>
      <c r="G617" s="17">
        <f>'Raw Data'!Q615</f>
        <v>768</v>
      </c>
      <c r="H617" s="18">
        <f>INDEX('Industry Stats'!$F$2:$F$49,MATCH($C617,'Industry Stats'!$A$2:$A$49,0))</f>
        <v>993.125</v>
      </c>
      <c r="I617" s="19">
        <f t="shared" si="99"/>
        <v>-225.125</v>
      </c>
      <c r="J617" s="20">
        <f t="shared" si="100"/>
        <v>-0.22668344870988044</v>
      </c>
      <c r="K617" s="18">
        <f>INDEX('Industry Stats'!$C$2:$C$49,MATCH($C617,'Industry Stats'!$A$2:$A$49,0))</f>
        <v>421.375</v>
      </c>
      <c r="L617" s="19">
        <f t="shared" si="101"/>
        <v>-201.375</v>
      </c>
      <c r="M617" s="18">
        <f>INDEX('Industry Stats'!$D$2:$D$49,MATCH($C617,'Industry Stats'!$A$2:$A$49,0))</f>
        <v>294.5</v>
      </c>
      <c r="N617" s="19">
        <f t="shared" si="102"/>
        <v>5.5</v>
      </c>
      <c r="O617" s="18">
        <f>INDEX('Industry Stats'!$E$2:$E$49,MATCH($C617,'Industry Stats'!$A$2:$A$49,0))</f>
        <v>277.25</v>
      </c>
      <c r="P617" s="19">
        <f t="shared" si="103"/>
        <v>-29.25</v>
      </c>
      <c r="R617">
        <f t="shared" si="104"/>
        <v>768.00093830000003</v>
      </c>
      <c r="S617">
        <f t="shared" si="105"/>
        <v>220.0009383</v>
      </c>
      <c r="T617">
        <f t="shared" si="106"/>
        <v>300.00093829999997</v>
      </c>
      <c r="U617">
        <f t="shared" si="107"/>
        <v>248.0009383</v>
      </c>
      <c r="V617">
        <f t="shared" si="108"/>
        <v>-225.1240617</v>
      </c>
      <c r="W617">
        <f t="shared" si="109"/>
        <v>225.1259383</v>
      </c>
    </row>
    <row r="618" spans="1:23" ht="15" customHeight="1" x14ac:dyDescent="0.35">
      <c r="A618" t="str">
        <f>'Raw Data'!B616</f>
        <v>Myriad Genetics Inc</v>
      </c>
      <c r="B618" t="str">
        <f>'Raw Data'!A616</f>
        <v>mygn</v>
      </c>
      <c r="C618" t="str">
        <f>IF('Raw Data'!E616="N/A","Unclassified",TRIM(SUBSTITUTE('Raw Data'!E616," and "," &amp; ")))</f>
        <v>Biotechnology</v>
      </c>
      <c r="D618" s="17">
        <f>'Raw Data'!N616</f>
        <v>353</v>
      </c>
      <c r="E618" s="17">
        <f>'Raw Data'!O616</f>
        <v>321</v>
      </c>
      <c r="F618" s="17">
        <f>'Raw Data'!P616</f>
        <v>294</v>
      </c>
      <c r="G618" s="17">
        <f>'Raw Data'!Q616</f>
        <v>968</v>
      </c>
      <c r="H618" s="18">
        <f>INDEX('Industry Stats'!$F$2:$F$49,MATCH($C618,'Industry Stats'!$A$2:$A$49,0))</f>
        <v>866.91071428571433</v>
      </c>
      <c r="I618" s="19">
        <f t="shared" si="99"/>
        <v>101.08928571428567</v>
      </c>
      <c r="J618" s="20">
        <f t="shared" si="100"/>
        <v>0.11660864729025475</v>
      </c>
      <c r="K618" s="18">
        <f>INDEX('Industry Stats'!$C$2:$C$49,MATCH($C618,'Industry Stats'!$A$2:$A$49,0))</f>
        <v>306.53571428571428</v>
      </c>
      <c r="L618" s="19">
        <f t="shared" si="101"/>
        <v>46.464285714285722</v>
      </c>
      <c r="M618" s="18">
        <f>INDEX('Industry Stats'!$D$2:$D$49,MATCH($C618,'Industry Stats'!$A$2:$A$49,0))</f>
        <v>268.85714285714283</v>
      </c>
      <c r="N618" s="19">
        <f t="shared" si="102"/>
        <v>52.142857142857167</v>
      </c>
      <c r="O618" s="18">
        <f>INDEX('Industry Stats'!$E$2:$E$49,MATCH($C618,'Industry Stats'!$A$2:$A$49,0))</f>
        <v>291.51785714285717</v>
      </c>
      <c r="P618" s="19">
        <f t="shared" si="103"/>
        <v>2.4821428571428328</v>
      </c>
      <c r="R618">
        <f t="shared" si="104"/>
        <v>968.00093819999995</v>
      </c>
      <c r="S618">
        <f t="shared" si="105"/>
        <v>353.00093820000001</v>
      </c>
      <c r="T618">
        <f t="shared" si="106"/>
        <v>321.00093820000001</v>
      </c>
      <c r="U618">
        <f t="shared" si="107"/>
        <v>294.00093820000001</v>
      </c>
      <c r="V618">
        <f t="shared" si="108"/>
        <v>101.09022391428566</v>
      </c>
      <c r="W618">
        <f t="shared" si="109"/>
        <v>-101.08834751428567</v>
      </c>
    </row>
    <row r="619" spans="1:23" ht="15" customHeight="1" x14ac:dyDescent="0.35">
      <c r="A619" t="str">
        <f>'Raw Data'!B617</f>
        <v>First Western Financial Inc</v>
      </c>
      <c r="B619" t="str">
        <f>'Raw Data'!A617</f>
        <v>myfw</v>
      </c>
      <c r="C619" t="str">
        <f>IF('Raw Data'!E617="N/A","Unclassified",TRIM(SUBSTITUTE('Raw Data'!E617," and "," &amp; ")))</f>
        <v>Banking</v>
      </c>
      <c r="D619" s="17">
        <f>'Raw Data'!N617</f>
        <v>351</v>
      </c>
      <c r="E619" s="17">
        <f>'Raw Data'!O617</f>
        <v>300</v>
      </c>
      <c r="F619" s="17">
        <f>'Raw Data'!P617</f>
        <v>235</v>
      </c>
      <c r="G619" s="17">
        <f>'Raw Data'!Q617</f>
        <v>886</v>
      </c>
      <c r="H619" s="18">
        <f>INDEX('Industry Stats'!$F$2:$F$49,MATCH($C619,'Industry Stats'!$A$2:$A$49,0))</f>
        <v>898.31034482758616</v>
      </c>
      <c r="I619" s="19">
        <f t="shared" si="99"/>
        <v>-12.310344827586164</v>
      </c>
      <c r="J619" s="20">
        <f t="shared" si="100"/>
        <v>-1.3703888526352109E-2</v>
      </c>
      <c r="K619" s="18">
        <f>INDEX('Industry Stats'!$C$2:$C$49,MATCH($C619,'Industry Stats'!$A$2:$A$49,0))</f>
        <v>341.48275862068965</v>
      </c>
      <c r="L619" s="19">
        <f t="shared" si="101"/>
        <v>9.5172413793103487</v>
      </c>
      <c r="M619" s="18">
        <f>INDEX('Industry Stats'!$D$2:$D$49,MATCH($C619,'Industry Stats'!$A$2:$A$49,0))</f>
        <v>292.34482758620692</v>
      </c>
      <c r="N619" s="19">
        <f t="shared" si="102"/>
        <v>7.6551724137930819</v>
      </c>
      <c r="O619" s="18">
        <f>INDEX('Industry Stats'!$E$2:$E$49,MATCH($C619,'Industry Stats'!$A$2:$A$49,0))</f>
        <v>264.48275862068965</v>
      </c>
      <c r="P619" s="19">
        <f t="shared" si="103"/>
        <v>-29.482758620689651</v>
      </c>
      <c r="R619">
        <f t="shared" si="104"/>
        <v>886.00093809999998</v>
      </c>
      <c r="S619">
        <f t="shared" si="105"/>
        <v>351.00093809999998</v>
      </c>
      <c r="T619">
        <f t="shared" si="106"/>
        <v>300.00093809999998</v>
      </c>
      <c r="U619">
        <f t="shared" si="107"/>
        <v>235.00093810000001</v>
      </c>
      <c r="V619">
        <f t="shared" si="108"/>
        <v>-12.309406727586163</v>
      </c>
      <c r="W619">
        <f t="shared" si="109"/>
        <v>12.311282927586165</v>
      </c>
    </row>
    <row r="620" spans="1:23" ht="15" customHeight="1" x14ac:dyDescent="0.35">
      <c r="A620" t="str">
        <f>'Raw Data'!B618</f>
        <v>Maxlinear Inc</v>
      </c>
      <c r="B620" t="str">
        <f>'Raw Data'!A618</f>
        <v>mxl</v>
      </c>
      <c r="C620" t="str">
        <f>IF('Raw Data'!E618="N/A","Unclassified",TRIM(SUBSTITUTE('Raw Data'!E618," and "," &amp; ")))</f>
        <v>Semiconductors</v>
      </c>
      <c r="D620" s="17">
        <f>'Raw Data'!N618</f>
        <v>535</v>
      </c>
      <c r="E620" s="17">
        <f>'Raw Data'!O618</f>
        <v>325</v>
      </c>
      <c r="F620" s="17">
        <f>'Raw Data'!P618</f>
        <v>335</v>
      </c>
      <c r="G620" s="17">
        <f>'Raw Data'!Q618</f>
        <v>1195</v>
      </c>
      <c r="H620" s="18">
        <f>INDEX('Industry Stats'!$F$2:$F$49,MATCH($C620,'Industry Stats'!$A$2:$A$49,0))</f>
        <v>1030.5833333333333</v>
      </c>
      <c r="I620" s="19">
        <f t="shared" si="99"/>
        <v>164.41666666666674</v>
      </c>
      <c r="J620" s="20">
        <f t="shared" si="100"/>
        <v>0.15953747877415711</v>
      </c>
      <c r="K620" s="18">
        <f>INDEX('Industry Stats'!$C$2:$C$49,MATCH($C620,'Industry Stats'!$A$2:$A$49,0))</f>
        <v>448.45833333333331</v>
      </c>
      <c r="L620" s="19">
        <f t="shared" si="101"/>
        <v>86.541666666666686</v>
      </c>
      <c r="M620" s="18">
        <f>INDEX('Industry Stats'!$D$2:$D$49,MATCH($C620,'Industry Stats'!$A$2:$A$49,0))</f>
        <v>296.70833333333331</v>
      </c>
      <c r="N620" s="19">
        <f t="shared" si="102"/>
        <v>28.291666666666686</v>
      </c>
      <c r="O620" s="18">
        <f>INDEX('Industry Stats'!$E$2:$E$49,MATCH($C620,'Industry Stats'!$A$2:$A$49,0))</f>
        <v>285.41666666666669</v>
      </c>
      <c r="P620" s="19">
        <f t="shared" si="103"/>
        <v>49.583333333333314</v>
      </c>
      <c r="R620">
        <f t="shared" si="104"/>
        <v>1195.0009379999999</v>
      </c>
      <c r="S620">
        <f t="shared" si="105"/>
        <v>535.00093800000002</v>
      </c>
      <c r="T620">
        <f t="shared" si="106"/>
        <v>325.00093800000002</v>
      </c>
      <c r="U620">
        <f t="shared" si="107"/>
        <v>335.00093800000002</v>
      </c>
      <c r="V620">
        <f t="shared" si="108"/>
        <v>164.41760466666673</v>
      </c>
      <c r="W620">
        <f t="shared" si="109"/>
        <v>-164.41572866666675</v>
      </c>
    </row>
    <row r="621" spans="1:23" ht="15" customHeight="1" x14ac:dyDescent="0.35">
      <c r="A621" t="str">
        <f>'Raw Data'!B619</f>
        <v>MyMD Pharmaceuticals Inc</v>
      </c>
      <c r="B621" t="str">
        <f>'Raw Data'!A619</f>
        <v>mymd</v>
      </c>
      <c r="C621" t="str">
        <f>IF('Raw Data'!E619="N/A","Unclassified",TRIM(SUBSTITUTE('Raw Data'!E619," and "," &amp; ")))</f>
        <v>Pharmaceuticals</v>
      </c>
      <c r="D621" s="17">
        <f>'Raw Data'!N619</f>
        <v>205</v>
      </c>
      <c r="E621" s="17">
        <f>'Raw Data'!O619</f>
        <v>257</v>
      </c>
      <c r="F621" s="17">
        <f>'Raw Data'!P619</f>
        <v>230</v>
      </c>
      <c r="G621" s="17">
        <f>'Raw Data'!Q619</f>
        <v>692</v>
      </c>
      <c r="H621" s="18">
        <f>INDEX('Industry Stats'!$F$2:$F$49,MATCH($C621,'Industry Stats'!$A$2:$A$49,0))</f>
        <v>903.66666666666663</v>
      </c>
      <c r="I621" s="19">
        <f t="shared" si="99"/>
        <v>-211.66666666666663</v>
      </c>
      <c r="J621" s="20">
        <f t="shared" si="100"/>
        <v>-0.23423091110291402</v>
      </c>
      <c r="K621" s="18">
        <f>INDEX('Industry Stats'!$C$2:$C$49,MATCH($C621,'Industry Stats'!$A$2:$A$49,0))</f>
        <v>360.04761904761904</v>
      </c>
      <c r="L621" s="19">
        <f t="shared" si="101"/>
        <v>-155.04761904761904</v>
      </c>
      <c r="M621" s="18">
        <f>INDEX('Industry Stats'!$D$2:$D$49,MATCH($C621,'Industry Stats'!$A$2:$A$49,0))</f>
        <v>269.66666666666669</v>
      </c>
      <c r="N621" s="19">
        <f t="shared" si="102"/>
        <v>-12.666666666666686</v>
      </c>
      <c r="O621" s="18">
        <f>INDEX('Industry Stats'!$E$2:$E$49,MATCH($C621,'Industry Stats'!$A$2:$A$49,0))</f>
        <v>273.95238095238096</v>
      </c>
      <c r="P621" s="19">
        <f t="shared" si="103"/>
        <v>-43.952380952380963</v>
      </c>
      <c r="R621">
        <f t="shared" si="104"/>
        <v>692.00093790000005</v>
      </c>
      <c r="S621">
        <f t="shared" si="105"/>
        <v>205.0009379</v>
      </c>
      <c r="T621">
        <f t="shared" si="106"/>
        <v>257.0009379</v>
      </c>
      <c r="U621">
        <f t="shared" si="107"/>
        <v>230.0009379</v>
      </c>
      <c r="V621">
        <f t="shared" si="108"/>
        <v>-211.66572876666663</v>
      </c>
      <c r="W621">
        <f t="shared" si="109"/>
        <v>211.66760456666663</v>
      </c>
    </row>
    <row r="622" spans="1:23" ht="15" customHeight="1" x14ac:dyDescent="0.35">
      <c r="A622" t="str">
        <f>'Raw Data'!B620</f>
        <v>Playstudios Inc</v>
      </c>
      <c r="B622" t="str">
        <f>'Raw Data'!A620</f>
        <v>myps</v>
      </c>
      <c r="C622" t="str">
        <f>IF('Raw Data'!E620="N/A","Unclassified",TRIM(SUBSTITUTE('Raw Data'!E620," and "," &amp; ")))</f>
        <v>Media</v>
      </c>
      <c r="D622" s="17">
        <f>'Raw Data'!N620</f>
        <v>205</v>
      </c>
      <c r="E622" s="17">
        <f>'Raw Data'!O620</f>
        <v>202</v>
      </c>
      <c r="F622" s="17">
        <f>'Raw Data'!P620</f>
        <v>200</v>
      </c>
      <c r="G622" s="17">
        <f>'Raw Data'!Q620</f>
        <v>607</v>
      </c>
      <c r="H622" s="18">
        <f>INDEX('Industry Stats'!$F$2:$F$49,MATCH($C622,'Industry Stats'!$A$2:$A$49,0))</f>
        <v>935.26086956521738</v>
      </c>
      <c r="I622" s="19">
        <f t="shared" si="99"/>
        <v>-328.26086956521738</v>
      </c>
      <c r="J622" s="20">
        <f t="shared" si="100"/>
        <v>-0.35098321788852216</v>
      </c>
      <c r="K622" s="18">
        <f>INDEX('Industry Stats'!$C$2:$C$49,MATCH($C622,'Industry Stats'!$A$2:$A$49,0))</f>
        <v>346.91304347826087</v>
      </c>
      <c r="L622" s="19">
        <f t="shared" si="101"/>
        <v>-141.91304347826087</v>
      </c>
      <c r="M622" s="18">
        <f>INDEX('Industry Stats'!$D$2:$D$49,MATCH($C622,'Industry Stats'!$A$2:$A$49,0))</f>
        <v>313</v>
      </c>
      <c r="N622" s="19">
        <f t="shared" si="102"/>
        <v>-111</v>
      </c>
      <c r="O622" s="18">
        <f>INDEX('Industry Stats'!$E$2:$E$49,MATCH($C622,'Industry Stats'!$A$2:$A$49,0))</f>
        <v>275.3478260869565</v>
      </c>
      <c r="P622" s="19">
        <f t="shared" si="103"/>
        <v>-75.347826086956502</v>
      </c>
      <c r="R622">
        <f t="shared" si="104"/>
        <v>607.00093779999997</v>
      </c>
      <c r="S622">
        <f t="shared" si="105"/>
        <v>205.0009378</v>
      </c>
      <c r="T622">
        <f t="shared" si="106"/>
        <v>202.0009378</v>
      </c>
      <c r="U622">
        <f t="shared" si="107"/>
        <v>200.0009378</v>
      </c>
      <c r="V622">
        <f t="shared" si="108"/>
        <v>-328.2599317652174</v>
      </c>
      <c r="W622">
        <f t="shared" si="109"/>
        <v>328.26180736521735</v>
      </c>
    </row>
    <row r="623" spans="1:23" ht="15" customHeight="1" x14ac:dyDescent="0.35">
      <c r="A623" t="str">
        <f>'Raw Data'!B621</f>
        <v>Matterport Inc</v>
      </c>
      <c r="B623" t="str">
        <f>'Raw Data'!A621</f>
        <v>mttr</v>
      </c>
      <c r="C623" t="str">
        <f>IF('Raw Data'!E621="N/A","Unclassified",TRIM(SUBSTITUTE('Raw Data'!E621," and "," &amp; ")))</f>
        <v>Technology</v>
      </c>
      <c r="D623" s="17">
        <f>'Raw Data'!N621</f>
        <v>346</v>
      </c>
      <c r="E623" s="17">
        <f>'Raw Data'!O621</f>
        <v>325</v>
      </c>
      <c r="F623" s="17">
        <f>'Raw Data'!P621</f>
        <v>260</v>
      </c>
      <c r="G623" s="17">
        <f>'Raw Data'!Q621</f>
        <v>931</v>
      </c>
      <c r="H623" s="18">
        <f>INDEX('Industry Stats'!$F$2:$F$49,MATCH($C623,'Industry Stats'!$A$2:$A$49,0))</f>
        <v>1031.3174603174602</v>
      </c>
      <c r="I623" s="19">
        <f t="shared" si="99"/>
        <v>-100.31746031746025</v>
      </c>
      <c r="J623" s="20">
        <f t="shared" si="100"/>
        <v>-9.7271174180043954E-2</v>
      </c>
      <c r="K623" s="18">
        <f>INDEX('Industry Stats'!$C$2:$C$49,MATCH($C623,'Industry Stats'!$A$2:$A$49,0))</f>
        <v>438.11111111111109</v>
      </c>
      <c r="L623" s="19">
        <f t="shared" si="101"/>
        <v>-92.111111111111086</v>
      </c>
      <c r="M623" s="18">
        <f>INDEX('Industry Stats'!$D$2:$D$49,MATCH($C623,'Industry Stats'!$A$2:$A$49,0))</f>
        <v>307.90476190476193</v>
      </c>
      <c r="N623" s="19">
        <f t="shared" si="102"/>
        <v>17.095238095238074</v>
      </c>
      <c r="O623" s="18">
        <f>INDEX('Industry Stats'!$E$2:$E$49,MATCH($C623,'Industry Stats'!$A$2:$A$49,0))</f>
        <v>285.30158730158729</v>
      </c>
      <c r="P623" s="19">
        <f t="shared" si="103"/>
        <v>-25.30158730158729</v>
      </c>
      <c r="R623">
        <f t="shared" si="104"/>
        <v>931.00093770000001</v>
      </c>
      <c r="S623">
        <f t="shared" si="105"/>
        <v>346.00093770000001</v>
      </c>
      <c r="T623">
        <f t="shared" si="106"/>
        <v>325.00093770000001</v>
      </c>
      <c r="U623">
        <f t="shared" si="107"/>
        <v>260.00093770000001</v>
      </c>
      <c r="V623">
        <f t="shared" si="108"/>
        <v>-100.31652261746025</v>
      </c>
      <c r="W623">
        <f t="shared" si="109"/>
        <v>100.31839801746024</v>
      </c>
    </row>
    <row r="624" spans="1:23" ht="15" customHeight="1" x14ac:dyDescent="0.35">
      <c r="A624" t="str">
        <f>'Raw Data'!B622</f>
        <v>MACOM Technology Solutions Holdings Inc</v>
      </c>
      <c r="B624" t="str">
        <f>'Raw Data'!A622</f>
        <v>mtsi</v>
      </c>
      <c r="C624" t="str">
        <f>IF('Raw Data'!E622="N/A","Unclassified",TRIM(SUBSTITUTE('Raw Data'!E622," and "," &amp; ")))</f>
        <v>Semiconductors</v>
      </c>
      <c r="D624" s="17">
        <f>'Raw Data'!N622</f>
        <v>377</v>
      </c>
      <c r="E624" s="17">
        <f>'Raw Data'!O622</f>
        <v>309</v>
      </c>
      <c r="F624" s="17">
        <f>'Raw Data'!P622</f>
        <v>255</v>
      </c>
      <c r="G624" s="17">
        <f>'Raw Data'!Q622</f>
        <v>941</v>
      </c>
      <c r="H624" s="18">
        <f>INDEX('Industry Stats'!$F$2:$F$49,MATCH($C624,'Industry Stats'!$A$2:$A$49,0))</f>
        <v>1030.5833333333333</v>
      </c>
      <c r="I624" s="19">
        <f t="shared" si="99"/>
        <v>-89.583333333333258</v>
      </c>
      <c r="J624" s="20">
        <f t="shared" si="100"/>
        <v>-8.6924880730977538E-2</v>
      </c>
      <c r="K624" s="18">
        <f>INDEX('Industry Stats'!$C$2:$C$49,MATCH($C624,'Industry Stats'!$A$2:$A$49,0))</f>
        <v>448.45833333333331</v>
      </c>
      <c r="L624" s="19">
        <f t="shared" si="101"/>
        <v>-71.458333333333314</v>
      </c>
      <c r="M624" s="18">
        <f>INDEX('Industry Stats'!$D$2:$D$49,MATCH($C624,'Industry Stats'!$A$2:$A$49,0))</f>
        <v>296.70833333333331</v>
      </c>
      <c r="N624" s="19">
        <f t="shared" si="102"/>
        <v>12.291666666666686</v>
      </c>
      <c r="O624" s="18">
        <f>INDEX('Industry Stats'!$E$2:$E$49,MATCH($C624,'Industry Stats'!$A$2:$A$49,0))</f>
        <v>285.41666666666669</v>
      </c>
      <c r="P624" s="19">
        <f t="shared" si="103"/>
        <v>-30.416666666666686</v>
      </c>
      <c r="R624">
        <f t="shared" si="104"/>
        <v>941.00093760000004</v>
      </c>
      <c r="S624">
        <f t="shared" si="105"/>
        <v>377.00093759999999</v>
      </c>
      <c r="T624">
        <f t="shared" si="106"/>
        <v>309.00093759999999</v>
      </c>
      <c r="U624">
        <f t="shared" si="107"/>
        <v>255.00093759999999</v>
      </c>
      <c r="V624">
        <f t="shared" si="108"/>
        <v>-89.582395733333257</v>
      </c>
      <c r="W624">
        <f t="shared" si="109"/>
        <v>89.584270933333258</v>
      </c>
    </row>
    <row r="625" spans="1:23" ht="15" customHeight="1" x14ac:dyDescent="0.35">
      <c r="A625" t="str">
        <f>'Raw Data'!B623</f>
        <v>Clearone Inc</v>
      </c>
      <c r="B625" t="str">
        <f>'Raw Data'!A623</f>
        <v>clro</v>
      </c>
      <c r="C625" t="str">
        <f>IF('Raw Data'!E623="N/A","Unclassified",TRIM(SUBSTITUTE('Raw Data'!E623," and "," &amp; ")))</f>
        <v>Communications</v>
      </c>
      <c r="D625" s="17">
        <f>'Raw Data'!N623</f>
        <v>370</v>
      </c>
      <c r="E625" s="17">
        <f>'Raw Data'!O623</f>
        <v>228</v>
      </c>
      <c r="F625" s="17">
        <f>'Raw Data'!P623</f>
        <v>210</v>
      </c>
      <c r="G625" s="17">
        <f>'Raw Data'!Q623</f>
        <v>808</v>
      </c>
      <c r="H625" s="18">
        <f>INDEX('Industry Stats'!$F$2:$F$49,MATCH($C625,'Industry Stats'!$A$2:$A$49,0))</f>
        <v>938.22222222222217</v>
      </c>
      <c r="I625" s="19">
        <f t="shared" si="99"/>
        <v>-130.22222222222217</v>
      </c>
      <c r="J625" s="20">
        <f t="shared" si="100"/>
        <v>-0.13879677877783037</v>
      </c>
      <c r="K625" s="18">
        <f>INDEX('Industry Stats'!$C$2:$C$49,MATCH($C625,'Industry Stats'!$A$2:$A$49,0))</f>
        <v>385</v>
      </c>
      <c r="L625" s="19">
        <f t="shared" si="101"/>
        <v>-15</v>
      </c>
      <c r="M625" s="18">
        <f>INDEX('Industry Stats'!$D$2:$D$49,MATCH($C625,'Industry Stats'!$A$2:$A$49,0))</f>
        <v>278.77777777777777</v>
      </c>
      <c r="N625" s="19">
        <f t="shared" si="102"/>
        <v>-50.777777777777771</v>
      </c>
      <c r="O625" s="18">
        <f>INDEX('Industry Stats'!$E$2:$E$49,MATCH($C625,'Industry Stats'!$A$2:$A$49,0))</f>
        <v>274.44444444444446</v>
      </c>
      <c r="P625" s="19">
        <f t="shared" si="103"/>
        <v>-64.444444444444457</v>
      </c>
      <c r="R625">
        <f t="shared" si="104"/>
        <v>808.00093749999996</v>
      </c>
      <c r="S625">
        <f t="shared" si="105"/>
        <v>370.00093750000002</v>
      </c>
      <c r="T625">
        <f t="shared" si="106"/>
        <v>228.00093749999999</v>
      </c>
      <c r="U625">
        <f t="shared" si="107"/>
        <v>210.00093749999999</v>
      </c>
      <c r="V625">
        <f t="shared" si="108"/>
        <v>-130.22128472222218</v>
      </c>
      <c r="W625">
        <f t="shared" si="109"/>
        <v>130.22315972222216</v>
      </c>
    </row>
    <row r="626" spans="1:23" ht="15" customHeight="1" x14ac:dyDescent="0.35">
      <c r="A626" t="str">
        <f>'Raw Data'!B624</f>
        <v>Celsion Corp</v>
      </c>
      <c r="B626" t="str">
        <f>'Raw Data'!A624</f>
        <v>clsn</v>
      </c>
      <c r="C626" t="str">
        <f>IF('Raw Data'!E624="N/A","Unclassified",TRIM(SUBSTITUTE('Raw Data'!E624," and "," &amp; ")))</f>
        <v>Biotechnology</v>
      </c>
      <c r="D626" s="17">
        <f>'Raw Data'!N624</f>
        <v>255</v>
      </c>
      <c r="E626" s="17">
        <f>'Raw Data'!O624</f>
        <v>214</v>
      </c>
      <c r="F626" s="17">
        <f>'Raw Data'!P624</f>
        <v>300</v>
      </c>
      <c r="G626" s="17">
        <f>'Raw Data'!Q624</f>
        <v>769</v>
      </c>
      <c r="H626" s="18">
        <f>INDEX('Industry Stats'!$F$2:$F$49,MATCH($C626,'Industry Stats'!$A$2:$A$49,0))</f>
        <v>866.91071428571433</v>
      </c>
      <c r="I626" s="19">
        <f t="shared" si="99"/>
        <v>-97.910714285714334</v>
      </c>
      <c r="J626" s="20">
        <f t="shared" si="100"/>
        <v>-0.11294209734896085</v>
      </c>
      <c r="K626" s="18">
        <f>INDEX('Industry Stats'!$C$2:$C$49,MATCH($C626,'Industry Stats'!$A$2:$A$49,0))</f>
        <v>306.53571428571428</v>
      </c>
      <c r="L626" s="19">
        <f t="shared" si="101"/>
        <v>-51.535714285714278</v>
      </c>
      <c r="M626" s="18">
        <f>INDEX('Industry Stats'!$D$2:$D$49,MATCH($C626,'Industry Stats'!$A$2:$A$49,0))</f>
        <v>268.85714285714283</v>
      </c>
      <c r="N626" s="19">
        <f t="shared" si="102"/>
        <v>-54.857142857142833</v>
      </c>
      <c r="O626" s="18">
        <f>INDEX('Industry Stats'!$E$2:$E$49,MATCH($C626,'Industry Stats'!$A$2:$A$49,0))</f>
        <v>291.51785714285717</v>
      </c>
      <c r="P626" s="19">
        <f t="shared" si="103"/>
        <v>8.4821428571428328</v>
      </c>
      <c r="R626">
        <f t="shared" si="104"/>
        <v>769.0009374</v>
      </c>
      <c r="S626">
        <f t="shared" si="105"/>
        <v>255.0009374</v>
      </c>
      <c r="T626">
        <f t="shared" si="106"/>
        <v>214.0009374</v>
      </c>
      <c r="U626">
        <f t="shared" si="107"/>
        <v>300.0009374</v>
      </c>
      <c r="V626">
        <f t="shared" si="108"/>
        <v>-97.909776885714336</v>
      </c>
      <c r="W626">
        <f t="shared" si="109"/>
        <v>97.911651685714332</v>
      </c>
    </row>
    <row r="627" spans="1:23" ht="15" customHeight="1" x14ac:dyDescent="0.35">
      <c r="A627" t="str">
        <f>'Raw Data'!B625</f>
        <v>Gulf Resources Inc</v>
      </c>
      <c r="B627" t="str">
        <f>'Raw Data'!A625</f>
        <v>gure</v>
      </c>
      <c r="C627" t="str">
        <f>IF('Raw Data'!E625="N/A","Unclassified",TRIM(SUBSTITUTE('Raw Data'!E625," and "," &amp; ")))</f>
        <v>Chemicals</v>
      </c>
      <c r="D627" s="17">
        <f>'Raw Data'!N625</f>
        <v>408</v>
      </c>
      <c r="E627" s="17">
        <f>'Raw Data'!O625</f>
        <v>206</v>
      </c>
      <c r="F627" s="17">
        <f>'Raw Data'!P625</f>
        <v>300</v>
      </c>
      <c r="G627" s="17">
        <f>'Raw Data'!Q625</f>
        <v>914</v>
      </c>
      <c r="H627" s="18">
        <f>INDEX('Industry Stats'!$F$2:$F$49,MATCH($C627,'Industry Stats'!$A$2:$A$49,0))</f>
        <v>1058.8947368421052</v>
      </c>
      <c r="I627" s="19">
        <f t="shared" si="99"/>
        <v>-144.8947368421052</v>
      </c>
      <c r="J627" s="20">
        <f t="shared" si="100"/>
        <v>-0.1368358268303593</v>
      </c>
      <c r="K627" s="18">
        <f>INDEX('Industry Stats'!$C$2:$C$49,MATCH($C627,'Industry Stats'!$A$2:$A$49,0))</f>
        <v>463.73684210526318</v>
      </c>
      <c r="L627" s="19">
        <f t="shared" si="101"/>
        <v>-55.736842105263179</v>
      </c>
      <c r="M627" s="18">
        <f>INDEX('Industry Stats'!$D$2:$D$49,MATCH($C627,'Industry Stats'!$A$2:$A$49,0))</f>
        <v>304.36842105263156</v>
      </c>
      <c r="N627" s="19">
        <f t="shared" si="102"/>
        <v>-98.368421052631561</v>
      </c>
      <c r="O627" s="18">
        <f>INDEX('Industry Stats'!$E$2:$E$49,MATCH($C627,'Industry Stats'!$A$2:$A$49,0))</f>
        <v>290.78947368421052</v>
      </c>
      <c r="P627" s="19">
        <f t="shared" si="103"/>
        <v>9.2105263157894797</v>
      </c>
      <c r="R627">
        <f t="shared" si="104"/>
        <v>914.00093730000003</v>
      </c>
      <c r="S627">
        <f t="shared" si="105"/>
        <v>408.00093729999998</v>
      </c>
      <c r="T627">
        <f t="shared" si="106"/>
        <v>206.0009373</v>
      </c>
      <c r="U627">
        <f t="shared" si="107"/>
        <v>300.00093729999998</v>
      </c>
      <c r="V627">
        <f t="shared" si="108"/>
        <v>-144.8937995421052</v>
      </c>
      <c r="W627">
        <f t="shared" si="109"/>
        <v>144.89567414210521</v>
      </c>
    </row>
    <row r="628" spans="1:23" ht="15" customHeight="1" x14ac:dyDescent="0.35">
      <c r="A628" t="str">
        <f>'Raw Data'!B626</f>
        <v>GSE Systems Inc</v>
      </c>
      <c r="B628" t="str">
        <f>'Raw Data'!A626</f>
        <v>gvp</v>
      </c>
      <c r="C628" t="str">
        <f>IF('Raw Data'!E626="N/A","Unclassified",TRIM(SUBSTITUTE('Raw Data'!E626," and "," &amp; ")))</f>
        <v>Technology</v>
      </c>
      <c r="D628" s="17">
        <f>'Raw Data'!N626</f>
        <v>505</v>
      </c>
      <c r="E628" s="17">
        <f>'Raw Data'!O626</f>
        <v>307</v>
      </c>
      <c r="F628" s="17">
        <f>'Raw Data'!P626</f>
        <v>245</v>
      </c>
      <c r="G628" s="17">
        <f>'Raw Data'!Q626</f>
        <v>1057</v>
      </c>
      <c r="H628" s="18">
        <f>INDEX('Industry Stats'!$F$2:$F$49,MATCH($C628,'Industry Stats'!$A$2:$A$49,0))</f>
        <v>1031.3174603174602</v>
      </c>
      <c r="I628" s="19">
        <f t="shared" si="99"/>
        <v>25.682539682539755</v>
      </c>
      <c r="J628" s="20">
        <f t="shared" si="100"/>
        <v>2.4902651870777164E-2</v>
      </c>
      <c r="K628" s="18">
        <f>INDEX('Industry Stats'!$C$2:$C$49,MATCH($C628,'Industry Stats'!$A$2:$A$49,0))</f>
        <v>438.11111111111109</v>
      </c>
      <c r="L628" s="19">
        <f t="shared" si="101"/>
        <v>66.888888888888914</v>
      </c>
      <c r="M628" s="18">
        <f>INDEX('Industry Stats'!$D$2:$D$49,MATCH($C628,'Industry Stats'!$A$2:$A$49,0))</f>
        <v>307.90476190476193</v>
      </c>
      <c r="N628" s="19">
        <f t="shared" si="102"/>
        <v>-0.90476190476192642</v>
      </c>
      <c r="O628" s="18">
        <f>INDEX('Industry Stats'!$E$2:$E$49,MATCH($C628,'Industry Stats'!$A$2:$A$49,0))</f>
        <v>285.30158730158729</v>
      </c>
      <c r="P628" s="19">
        <f t="shared" si="103"/>
        <v>-40.30158730158729</v>
      </c>
      <c r="R628">
        <f t="shared" si="104"/>
        <v>1057.0009372</v>
      </c>
      <c r="S628">
        <f t="shared" si="105"/>
        <v>505.00093720000001</v>
      </c>
      <c r="T628">
        <f t="shared" si="106"/>
        <v>307.00093720000001</v>
      </c>
      <c r="U628">
        <f t="shared" si="107"/>
        <v>245.00093720000001</v>
      </c>
      <c r="V628">
        <f t="shared" si="108"/>
        <v>25.683476882539754</v>
      </c>
      <c r="W628">
        <f t="shared" si="109"/>
        <v>-25.681602482539756</v>
      </c>
    </row>
    <row r="629" spans="1:23" ht="15" customHeight="1" x14ac:dyDescent="0.35">
      <c r="A629" t="str">
        <f>'Raw Data'!B627</f>
        <v>Gyrodyne LLC</v>
      </c>
      <c r="B629" t="str">
        <f>'Raw Data'!A627</f>
        <v>gyro</v>
      </c>
      <c r="C629" t="str">
        <f>IF('Raw Data'!E627="N/A","Unclassified",TRIM(SUBSTITUTE('Raw Data'!E627," and "," &amp; ")))</f>
        <v>Real Estate</v>
      </c>
      <c r="D629" s="17">
        <f>'Raw Data'!N627</f>
        <v>240</v>
      </c>
      <c r="E629" s="17">
        <f>'Raw Data'!O627</f>
        <v>206</v>
      </c>
      <c r="F629" s="17">
        <f>'Raw Data'!P627</f>
        <v>240</v>
      </c>
      <c r="G629" s="17">
        <f>'Raw Data'!Q627</f>
        <v>686</v>
      </c>
      <c r="H629" s="18">
        <f>INDEX('Industry Stats'!$F$2:$F$49,MATCH($C629,'Industry Stats'!$A$2:$A$49,0))</f>
        <v>995.94444444444446</v>
      </c>
      <c r="I629" s="19">
        <f t="shared" si="99"/>
        <v>-309.94444444444446</v>
      </c>
      <c r="J629" s="20">
        <f t="shared" si="100"/>
        <v>-0.31120655993752444</v>
      </c>
      <c r="K629" s="18">
        <f>INDEX('Industry Stats'!$C$2:$C$49,MATCH($C629,'Industry Stats'!$A$2:$A$49,0))</f>
        <v>431.38888888888891</v>
      </c>
      <c r="L629" s="19">
        <f t="shared" si="101"/>
        <v>-191.38888888888891</v>
      </c>
      <c r="M629" s="18">
        <f>INDEX('Industry Stats'!$D$2:$D$49,MATCH($C629,'Industry Stats'!$A$2:$A$49,0))</f>
        <v>290.91666666666669</v>
      </c>
      <c r="N629" s="19">
        <f t="shared" si="102"/>
        <v>-84.916666666666686</v>
      </c>
      <c r="O629" s="18">
        <f>INDEX('Industry Stats'!$E$2:$E$49,MATCH($C629,'Industry Stats'!$A$2:$A$49,0))</f>
        <v>273.63888888888891</v>
      </c>
      <c r="P629" s="19">
        <f t="shared" si="103"/>
        <v>-33.638888888888914</v>
      </c>
      <c r="R629">
        <f t="shared" si="104"/>
        <v>686.00093709999999</v>
      </c>
      <c r="S629">
        <f t="shared" si="105"/>
        <v>240.00093709999999</v>
      </c>
      <c r="T629">
        <f t="shared" si="106"/>
        <v>206.00093709999999</v>
      </c>
      <c r="U629">
        <f t="shared" si="107"/>
        <v>240.00093709999999</v>
      </c>
      <c r="V629">
        <f t="shared" si="108"/>
        <v>-309.94350734444447</v>
      </c>
      <c r="W629">
        <f t="shared" si="109"/>
        <v>309.94538154444444</v>
      </c>
    </row>
    <row r="630" spans="1:23" ht="15" customHeight="1" x14ac:dyDescent="0.35">
      <c r="A630" t="str">
        <f>'Raw Data'!B628</f>
        <v>Global Water Resources Inc</v>
      </c>
      <c r="B630" t="str">
        <f>'Raw Data'!A628</f>
        <v>gwrs</v>
      </c>
      <c r="C630" t="str">
        <f>IF('Raw Data'!E628="N/A","Unclassified",TRIM(SUBSTITUTE('Raw Data'!E628," and "," &amp; ")))</f>
        <v>Utilities</v>
      </c>
      <c r="D630" s="17">
        <f>'Raw Data'!N628</f>
        <v>367</v>
      </c>
      <c r="E630" s="17">
        <f>'Raw Data'!O628</f>
        <v>297</v>
      </c>
      <c r="F630" s="17">
        <f>'Raw Data'!P628</f>
        <v>235</v>
      </c>
      <c r="G630" s="17">
        <f>'Raw Data'!Q628</f>
        <v>899</v>
      </c>
      <c r="H630" s="18">
        <f>INDEX('Industry Stats'!$F$2:$F$49,MATCH($C630,'Industry Stats'!$A$2:$A$49,0))</f>
        <v>1190.6333333333334</v>
      </c>
      <c r="I630" s="19">
        <f t="shared" si="99"/>
        <v>-291.63333333333344</v>
      </c>
      <c r="J630" s="20">
        <f t="shared" si="100"/>
        <v>-0.24493966796382885</v>
      </c>
      <c r="K630" s="18">
        <f>INDEX('Industry Stats'!$C$2:$C$49,MATCH($C630,'Industry Stats'!$A$2:$A$49,0))</f>
        <v>550.9666666666667</v>
      </c>
      <c r="L630" s="19">
        <f t="shared" si="101"/>
        <v>-183.9666666666667</v>
      </c>
      <c r="M630" s="18">
        <f>INDEX('Industry Stats'!$D$2:$D$49,MATCH($C630,'Industry Stats'!$A$2:$A$49,0))</f>
        <v>357.4</v>
      </c>
      <c r="N630" s="19">
        <f t="shared" si="102"/>
        <v>-60.399999999999977</v>
      </c>
      <c r="O630" s="18">
        <f>INDEX('Industry Stats'!$E$2:$E$49,MATCH($C630,'Industry Stats'!$A$2:$A$49,0))</f>
        <v>282.26666666666665</v>
      </c>
      <c r="P630" s="19">
        <f t="shared" si="103"/>
        <v>-47.266666666666652</v>
      </c>
      <c r="R630">
        <f t="shared" si="104"/>
        <v>899.00093700000002</v>
      </c>
      <c r="S630">
        <f t="shared" si="105"/>
        <v>367.00093700000002</v>
      </c>
      <c r="T630">
        <f t="shared" si="106"/>
        <v>297.00093700000002</v>
      </c>
      <c r="U630">
        <f t="shared" si="107"/>
        <v>235.00093699999999</v>
      </c>
      <c r="V630">
        <f t="shared" si="108"/>
        <v>-291.63239633333342</v>
      </c>
      <c r="W630">
        <f t="shared" si="109"/>
        <v>291.63427033333346</v>
      </c>
    </row>
    <row r="631" spans="1:23" ht="15" customHeight="1" x14ac:dyDescent="0.35">
      <c r="A631" t="str">
        <f>'Raw Data'!B629</f>
        <v>Hawaiian Holdings Inc</v>
      </c>
      <c r="B631" t="str">
        <f>'Raw Data'!A629</f>
        <v>ha</v>
      </c>
      <c r="C631" t="str">
        <f>IF('Raw Data'!E629="N/A","Unclassified",TRIM(SUBSTITUTE('Raw Data'!E629," and "," &amp; ")))</f>
        <v>Airlines</v>
      </c>
      <c r="D631" s="17">
        <f>'Raw Data'!N629</f>
        <v>200</v>
      </c>
      <c r="E631" s="17">
        <f>'Raw Data'!O629</f>
        <v>321</v>
      </c>
      <c r="F631" s="17">
        <f>'Raw Data'!P629</f>
        <v>200</v>
      </c>
      <c r="G631" s="17">
        <f>'Raw Data'!Q629</f>
        <v>721</v>
      </c>
      <c r="H631" s="18">
        <f>INDEX('Industry Stats'!$F$2:$F$49,MATCH($C631,'Industry Stats'!$A$2:$A$49,0))</f>
        <v>838.71428571428567</v>
      </c>
      <c r="I631" s="19">
        <f t="shared" si="99"/>
        <v>-117.71428571428567</v>
      </c>
      <c r="J631" s="20">
        <f t="shared" si="100"/>
        <v>-0.14035087719298239</v>
      </c>
      <c r="K631" s="18">
        <f>INDEX('Industry Stats'!$C$2:$C$49,MATCH($C631,'Industry Stats'!$A$2:$A$49,0))</f>
        <v>326.71428571428572</v>
      </c>
      <c r="L631" s="19">
        <f t="shared" si="101"/>
        <v>-126.71428571428572</v>
      </c>
      <c r="M631" s="18">
        <f>INDEX('Industry Stats'!$D$2:$D$49,MATCH($C631,'Industry Stats'!$A$2:$A$49,0))</f>
        <v>265.71428571428572</v>
      </c>
      <c r="N631" s="19">
        <f t="shared" si="102"/>
        <v>55.285714285714278</v>
      </c>
      <c r="O631" s="18">
        <f>INDEX('Industry Stats'!$E$2:$E$49,MATCH($C631,'Industry Stats'!$A$2:$A$49,0))</f>
        <v>246.28571428571428</v>
      </c>
      <c r="P631" s="19">
        <f t="shared" si="103"/>
        <v>-46.285714285714278</v>
      </c>
      <c r="R631">
        <f t="shared" si="104"/>
        <v>721.00093690000006</v>
      </c>
      <c r="S631">
        <f t="shared" si="105"/>
        <v>200.0009369</v>
      </c>
      <c r="T631">
        <f t="shared" si="106"/>
        <v>321.0009369</v>
      </c>
      <c r="U631">
        <f t="shared" si="107"/>
        <v>200.0009369</v>
      </c>
      <c r="V631">
        <f t="shared" si="108"/>
        <v>-117.71334881428567</v>
      </c>
      <c r="W631">
        <f t="shared" si="109"/>
        <v>117.71522261428566</v>
      </c>
    </row>
    <row r="632" spans="1:23" ht="15" customHeight="1" x14ac:dyDescent="0.35">
      <c r="A632" t="str">
        <f>'Raw Data'!B630</f>
        <v>CleanSpark Inc</v>
      </c>
      <c r="B632" t="str">
        <f>'Raw Data'!A630</f>
        <v>clsk</v>
      </c>
      <c r="C632" t="str">
        <f>IF('Raw Data'!E630="N/A","Unclassified",TRIM(SUBSTITUTE('Raw Data'!E630," and "," &amp; ")))</f>
        <v>Technology</v>
      </c>
      <c r="D632" s="17">
        <f>'Raw Data'!N630</f>
        <v>570</v>
      </c>
      <c r="E632" s="17">
        <f>'Raw Data'!O630</f>
        <v>326</v>
      </c>
      <c r="F632" s="17">
        <f>'Raw Data'!P630</f>
        <v>310</v>
      </c>
      <c r="G632" s="17">
        <f>'Raw Data'!Q630</f>
        <v>1206</v>
      </c>
      <c r="H632" s="18">
        <f>INDEX('Industry Stats'!$F$2:$F$49,MATCH($C632,'Industry Stats'!$A$2:$A$49,0))</f>
        <v>1031.3174603174602</v>
      </c>
      <c r="I632" s="19">
        <f t="shared" si="99"/>
        <v>174.68253968253975</v>
      </c>
      <c r="J632" s="20">
        <f t="shared" si="100"/>
        <v>0.16937804934357356</v>
      </c>
      <c r="K632" s="18">
        <f>INDEX('Industry Stats'!$C$2:$C$49,MATCH($C632,'Industry Stats'!$A$2:$A$49,0))</f>
        <v>438.11111111111109</v>
      </c>
      <c r="L632" s="19">
        <f t="shared" si="101"/>
        <v>131.88888888888891</v>
      </c>
      <c r="M632" s="18">
        <f>INDEX('Industry Stats'!$D$2:$D$49,MATCH($C632,'Industry Stats'!$A$2:$A$49,0))</f>
        <v>307.90476190476193</v>
      </c>
      <c r="N632" s="19">
        <f t="shared" si="102"/>
        <v>18.095238095238074</v>
      </c>
      <c r="O632" s="18">
        <f>INDEX('Industry Stats'!$E$2:$E$49,MATCH($C632,'Industry Stats'!$A$2:$A$49,0))</f>
        <v>285.30158730158729</v>
      </c>
      <c r="P632" s="19">
        <f t="shared" si="103"/>
        <v>24.69841269841271</v>
      </c>
      <c r="R632">
        <f t="shared" si="104"/>
        <v>1206.0009368000001</v>
      </c>
      <c r="S632">
        <f t="shared" si="105"/>
        <v>570.00093679999998</v>
      </c>
      <c r="T632">
        <f t="shared" si="106"/>
        <v>326.00093679999998</v>
      </c>
      <c r="U632">
        <f t="shared" si="107"/>
        <v>310.00093679999998</v>
      </c>
      <c r="V632">
        <f t="shared" si="108"/>
        <v>174.68347648253976</v>
      </c>
      <c r="W632">
        <f t="shared" si="109"/>
        <v>-174.68160288253975</v>
      </c>
    </row>
    <row r="633" spans="1:23" ht="15" customHeight="1" x14ac:dyDescent="0.35">
      <c r="A633" t="str">
        <f>'Raw Data'!B631</f>
        <v>Clearside Biomedical Inc</v>
      </c>
      <c r="B633" t="str">
        <f>'Raw Data'!A631</f>
        <v>clsd</v>
      </c>
      <c r="C633" t="str">
        <f>IF('Raw Data'!E631="N/A","Unclassified",TRIM(SUBSTITUTE('Raw Data'!E631," and "," &amp; ")))</f>
        <v>Pharmaceuticals</v>
      </c>
      <c r="D633" s="17">
        <f>'Raw Data'!N631</f>
        <v>215</v>
      </c>
      <c r="E633" s="17">
        <f>'Raw Data'!O631</f>
        <v>230</v>
      </c>
      <c r="F633" s="17">
        <f>'Raw Data'!P631</f>
        <v>200</v>
      </c>
      <c r="G633" s="17">
        <f>'Raw Data'!Q631</f>
        <v>645</v>
      </c>
      <c r="H633" s="18">
        <f>INDEX('Industry Stats'!$F$2:$F$49,MATCH($C633,'Industry Stats'!$A$2:$A$49,0))</f>
        <v>903.66666666666663</v>
      </c>
      <c r="I633" s="19">
        <f t="shared" si="99"/>
        <v>-258.66666666666663</v>
      </c>
      <c r="J633" s="20">
        <f t="shared" si="100"/>
        <v>-0.28624123939505713</v>
      </c>
      <c r="K633" s="18">
        <f>INDEX('Industry Stats'!$C$2:$C$49,MATCH($C633,'Industry Stats'!$A$2:$A$49,0))</f>
        <v>360.04761904761904</v>
      </c>
      <c r="L633" s="19">
        <f t="shared" si="101"/>
        <v>-145.04761904761904</v>
      </c>
      <c r="M633" s="18">
        <f>INDEX('Industry Stats'!$D$2:$D$49,MATCH($C633,'Industry Stats'!$A$2:$A$49,0))</f>
        <v>269.66666666666669</v>
      </c>
      <c r="N633" s="19">
        <f t="shared" si="102"/>
        <v>-39.666666666666686</v>
      </c>
      <c r="O633" s="18">
        <f>INDEX('Industry Stats'!$E$2:$E$49,MATCH($C633,'Industry Stats'!$A$2:$A$49,0))</f>
        <v>273.95238095238096</v>
      </c>
      <c r="P633" s="19">
        <f t="shared" si="103"/>
        <v>-73.952380952380963</v>
      </c>
      <c r="R633">
        <f t="shared" si="104"/>
        <v>645.00093670000001</v>
      </c>
      <c r="S633">
        <f t="shared" si="105"/>
        <v>215.00093670000001</v>
      </c>
      <c r="T633">
        <f t="shared" si="106"/>
        <v>230.00093670000001</v>
      </c>
      <c r="U633">
        <f t="shared" si="107"/>
        <v>200.00093670000001</v>
      </c>
      <c r="V633">
        <f t="shared" si="108"/>
        <v>-258.66572996666662</v>
      </c>
      <c r="W633">
        <f t="shared" si="109"/>
        <v>258.66760336666664</v>
      </c>
    </row>
    <row r="634" spans="1:23" ht="15" customHeight="1" x14ac:dyDescent="0.35">
      <c r="A634" t="str">
        <f>'Raw Data'!B632</f>
        <v>Health Assurance Acquisition Corp</v>
      </c>
      <c r="B634" t="str">
        <f>'Raw Data'!A632</f>
        <v>haac</v>
      </c>
      <c r="C634" t="str">
        <f>IF('Raw Data'!E632="N/A","Unclassified",TRIM(SUBSTITUTE('Raw Data'!E632," and "," &amp; ")))</f>
        <v>Unclassified</v>
      </c>
      <c r="D634" s="17">
        <f>'Raw Data'!N632</f>
        <v>200</v>
      </c>
      <c r="E634" s="17">
        <f>'Raw Data'!O632</f>
        <v>258</v>
      </c>
      <c r="F634" s="17">
        <f>'Raw Data'!P632</f>
        <v>300</v>
      </c>
      <c r="G634" s="17">
        <f>'Raw Data'!Q632</f>
        <v>758</v>
      </c>
      <c r="H634" s="18">
        <f>INDEX('Industry Stats'!$F$2:$F$49,MATCH($C634,'Industry Stats'!$A$2:$A$49,0))</f>
        <v>709.30769230769226</v>
      </c>
      <c r="I634" s="19">
        <f t="shared" si="99"/>
        <v>48.692307692307736</v>
      </c>
      <c r="J634" s="20">
        <f t="shared" si="100"/>
        <v>6.8647652098470943E-2</v>
      </c>
      <c r="K634" s="18">
        <f>INDEX('Industry Stats'!$C$2:$C$49,MATCH($C634,'Industry Stats'!$A$2:$A$49,0))</f>
        <v>215.38461538461539</v>
      </c>
      <c r="L634" s="19">
        <f t="shared" si="101"/>
        <v>-15.384615384615387</v>
      </c>
      <c r="M634" s="18">
        <f>INDEX('Industry Stats'!$D$2:$D$49,MATCH($C634,'Industry Stats'!$A$2:$A$49,0))</f>
        <v>231.15384615384616</v>
      </c>
      <c r="N634" s="19">
        <f t="shared" si="102"/>
        <v>26.84615384615384</v>
      </c>
      <c r="O634" s="18">
        <f>INDEX('Industry Stats'!$E$2:$E$49,MATCH($C634,'Industry Stats'!$A$2:$A$49,0))</f>
        <v>262.76923076923077</v>
      </c>
      <c r="P634" s="19">
        <f t="shared" si="103"/>
        <v>37.230769230769226</v>
      </c>
      <c r="R634">
        <f t="shared" si="104"/>
        <v>758.00093660000005</v>
      </c>
      <c r="S634">
        <f t="shared" si="105"/>
        <v>200.00093659999999</v>
      </c>
      <c r="T634">
        <f t="shared" si="106"/>
        <v>258.00093659999999</v>
      </c>
      <c r="U634">
        <f t="shared" si="107"/>
        <v>300.00093659999999</v>
      </c>
      <c r="V634">
        <f t="shared" si="108"/>
        <v>48.693244292307739</v>
      </c>
      <c r="W634">
        <f t="shared" si="109"/>
        <v>-48.691371092307733</v>
      </c>
    </row>
    <row r="635" spans="1:23" ht="15" customHeight="1" x14ac:dyDescent="0.35">
      <c r="A635" t="str">
        <f>'Raw Data'!B633</f>
        <v>Hanmi Financial Corp</v>
      </c>
      <c r="B635" t="str">
        <f>'Raw Data'!A633</f>
        <v>hafc</v>
      </c>
      <c r="C635" t="str">
        <f>IF('Raw Data'!E633="N/A","Unclassified",TRIM(SUBSTITUTE('Raw Data'!E633," and "," &amp; ")))</f>
        <v>Banking</v>
      </c>
      <c r="D635" s="17">
        <f>'Raw Data'!N633</f>
        <v>250</v>
      </c>
      <c r="E635" s="17">
        <f>'Raw Data'!O633</f>
        <v>207</v>
      </c>
      <c r="F635" s="17">
        <f>'Raw Data'!P633</f>
        <v>233</v>
      </c>
      <c r="G635" s="17">
        <f>'Raw Data'!Q633</f>
        <v>690</v>
      </c>
      <c r="H635" s="18">
        <f>INDEX('Industry Stats'!$F$2:$F$49,MATCH($C635,'Industry Stats'!$A$2:$A$49,0))</f>
        <v>898.31034482758616</v>
      </c>
      <c r="I635" s="19">
        <f t="shared" si="99"/>
        <v>-208.31034482758616</v>
      </c>
      <c r="J635" s="20">
        <f t="shared" si="100"/>
        <v>-0.23189129016160603</v>
      </c>
      <c r="K635" s="18">
        <f>INDEX('Industry Stats'!$C$2:$C$49,MATCH($C635,'Industry Stats'!$A$2:$A$49,0))</f>
        <v>341.48275862068965</v>
      </c>
      <c r="L635" s="19">
        <f t="shared" si="101"/>
        <v>-91.482758620689651</v>
      </c>
      <c r="M635" s="18">
        <f>INDEX('Industry Stats'!$D$2:$D$49,MATCH($C635,'Industry Stats'!$A$2:$A$49,0))</f>
        <v>292.34482758620692</v>
      </c>
      <c r="N635" s="19">
        <f t="shared" si="102"/>
        <v>-85.344827586206918</v>
      </c>
      <c r="O635" s="18">
        <f>INDEX('Industry Stats'!$E$2:$E$49,MATCH($C635,'Industry Stats'!$A$2:$A$49,0))</f>
        <v>264.48275862068965</v>
      </c>
      <c r="P635" s="19">
        <f t="shared" si="103"/>
        <v>-31.482758620689651</v>
      </c>
      <c r="R635">
        <f t="shared" si="104"/>
        <v>690.00093649999997</v>
      </c>
      <c r="S635">
        <f t="shared" si="105"/>
        <v>250.00093649999999</v>
      </c>
      <c r="T635">
        <f t="shared" si="106"/>
        <v>207.00093649999999</v>
      </c>
      <c r="U635">
        <f t="shared" si="107"/>
        <v>233.00093649999999</v>
      </c>
      <c r="V635">
        <f t="shared" si="108"/>
        <v>-208.30940832758617</v>
      </c>
      <c r="W635">
        <f t="shared" si="109"/>
        <v>208.31128132758616</v>
      </c>
    </row>
    <row r="636" spans="1:23" ht="15" customHeight="1" x14ac:dyDescent="0.35">
      <c r="A636" t="str">
        <f>'Raw Data'!B634</f>
        <v>Catalyst Bancorp Inc</v>
      </c>
      <c r="B636" t="str">
        <f>'Raw Data'!A634</f>
        <v>clst</v>
      </c>
      <c r="C636" t="str">
        <f>IF('Raw Data'!E634="N/A","Unclassified",TRIM(SUBSTITUTE('Raw Data'!E634," and "," &amp; ")))</f>
        <v>Financial Services</v>
      </c>
      <c r="D636" s="17">
        <f>'Raw Data'!N634</f>
        <v>260</v>
      </c>
      <c r="E636" s="17">
        <f>'Raw Data'!O634</f>
        <v>350</v>
      </c>
      <c r="F636" s="17">
        <f>'Raw Data'!P634</f>
        <v>267</v>
      </c>
      <c r="G636" s="17">
        <f>'Raw Data'!Q634</f>
        <v>877</v>
      </c>
      <c r="H636" s="18">
        <f>INDEX('Industry Stats'!$F$2:$F$49,MATCH($C636,'Industry Stats'!$A$2:$A$49,0))</f>
        <v>909.33333333333337</v>
      </c>
      <c r="I636" s="19">
        <f t="shared" si="99"/>
        <v>-32.333333333333371</v>
      </c>
      <c r="J636" s="20">
        <f t="shared" si="100"/>
        <v>-3.5557184750733176E-2</v>
      </c>
      <c r="K636" s="18">
        <f>INDEX('Industry Stats'!$C$2:$C$49,MATCH($C636,'Industry Stats'!$A$2:$A$49,0))</f>
        <v>367.63636363636363</v>
      </c>
      <c r="L636" s="19">
        <f t="shared" si="101"/>
        <v>-107.63636363636363</v>
      </c>
      <c r="M636" s="18">
        <f>INDEX('Industry Stats'!$D$2:$D$49,MATCH($C636,'Industry Stats'!$A$2:$A$49,0))</f>
        <v>276.45454545454544</v>
      </c>
      <c r="N636" s="19">
        <f t="shared" si="102"/>
        <v>73.545454545454561</v>
      </c>
      <c r="O636" s="18">
        <f>INDEX('Industry Stats'!$E$2:$E$49,MATCH($C636,'Industry Stats'!$A$2:$A$49,0))</f>
        <v>265.24242424242425</v>
      </c>
      <c r="P636" s="19">
        <f t="shared" si="103"/>
        <v>1.7575757575757507</v>
      </c>
      <c r="R636">
        <f t="shared" si="104"/>
        <v>877.0009364</v>
      </c>
      <c r="S636">
        <f t="shared" si="105"/>
        <v>260.0009364</v>
      </c>
      <c r="T636">
        <f t="shared" si="106"/>
        <v>350.0009364</v>
      </c>
      <c r="U636">
        <f t="shared" si="107"/>
        <v>267.0009364</v>
      </c>
      <c r="V636">
        <f t="shared" si="108"/>
        <v>-32.332396933333371</v>
      </c>
      <c r="W636">
        <f t="shared" si="109"/>
        <v>32.334269733333372</v>
      </c>
    </row>
    <row r="637" spans="1:23" ht="15" customHeight="1" x14ac:dyDescent="0.35">
      <c r="A637" t="str">
        <f>'Raw Data'!B635</f>
        <v>Euro Tech Holdings Company Ltd</v>
      </c>
      <c r="B637" t="str">
        <f>'Raw Data'!A635</f>
        <v>clwt</v>
      </c>
      <c r="C637" t="str">
        <f>IF('Raw Data'!E635="N/A","Unclassified",TRIM(SUBSTITUTE('Raw Data'!E635," and "," &amp; ")))</f>
        <v>Trading Companies &amp; Distributors</v>
      </c>
      <c r="D637" s="17">
        <f>'Raw Data'!N635</f>
        <v>230</v>
      </c>
      <c r="E637" s="17">
        <f>'Raw Data'!O635</f>
        <v>201</v>
      </c>
      <c r="F637" s="17">
        <f>'Raw Data'!P635</f>
        <v>210</v>
      </c>
      <c r="G637" s="17">
        <f>'Raw Data'!Q635</f>
        <v>641</v>
      </c>
      <c r="H637" s="18">
        <f>INDEX('Industry Stats'!$F$2:$F$49,MATCH($C637,'Industry Stats'!$A$2:$A$49,0))</f>
        <v>885.2</v>
      </c>
      <c r="I637" s="19">
        <f t="shared" si="99"/>
        <v>-244.20000000000005</v>
      </c>
      <c r="J637" s="20">
        <f t="shared" si="100"/>
        <v>-0.27586985991866247</v>
      </c>
      <c r="K637" s="18">
        <f>INDEX('Industry Stats'!$C$2:$C$49,MATCH($C637,'Industry Stats'!$A$2:$A$49,0))</f>
        <v>332.8</v>
      </c>
      <c r="L637" s="19">
        <f t="shared" si="101"/>
        <v>-102.80000000000001</v>
      </c>
      <c r="M637" s="18">
        <f>INDEX('Industry Stats'!$D$2:$D$49,MATCH($C637,'Industry Stats'!$A$2:$A$49,0))</f>
        <v>302.39999999999998</v>
      </c>
      <c r="N637" s="19">
        <f t="shared" si="102"/>
        <v>-101.39999999999998</v>
      </c>
      <c r="O637" s="18">
        <f>INDEX('Industry Stats'!$E$2:$E$49,MATCH($C637,'Industry Stats'!$A$2:$A$49,0))</f>
        <v>250</v>
      </c>
      <c r="P637" s="19">
        <f t="shared" si="103"/>
        <v>-40</v>
      </c>
      <c r="R637">
        <f t="shared" si="104"/>
        <v>641.00093630000003</v>
      </c>
      <c r="S637">
        <f t="shared" si="105"/>
        <v>230.00093630000001</v>
      </c>
      <c r="T637">
        <f t="shared" si="106"/>
        <v>201.00093630000001</v>
      </c>
      <c r="U637">
        <f t="shared" si="107"/>
        <v>210.00093630000001</v>
      </c>
      <c r="V637">
        <f t="shared" si="108"/>
        <v>-244.19906370000004</v>
      </c>
      <c r="W637">
        <f t="shared" si="109"/>
        <v>244.20093630000005</v>
      </c>
    </row>
    <row r="638" spans="1:23" ht="15" customHeight="1" x14ac:dyDescent="0.35">
      <c r="A638" t="str">
        <f>'Raw Data'!B636</f>
        <v>Calyxt Inc</v>
      </c>
      <c r="B638" t="str">
        <f>'Raw Data'!A636</f>
        <v>clxt</v>
      </c>
      <c r="C638" t="str">
        <f>IF('Raw Data'!E636="N/A","Unclassified",TRIM(SUBSTITUTE('Raw Data'!E636," and "," &amp; ")))</f>
        <v>Biotechnology</v>
      </c>
      <c r="D638" s="17">
        <f>'Raw Data'!N636</f>
        <v>535</v>
      </c>
      <c r="E638" s="17">
        <f>'Raw Data'!O636</f>
        <v>322</v>
      </c>
      <c r="F638" s="17">
        <f>'Raw Data'!P636</f>
        <v>325</v>
      </c>
      <c r="G638" s="17">
        <f>'Raw Data'!Q636</f>
        <v>1182</v>
      </c>
      <c r="H638" s="18">
        <f>INDEX('Industry Stats'!$F$2:$F$49,MATCH($C638,'Industry Stats'!$A$2:$A$49,0))</f>
        <v>866.91071428571433</v>
      </c>
      <c r="I638" s="19">
        <f t="shared" si="99"/>
        <v>315.08928571428567</v>
      </c>
      <c r="J638" s="20">
        <f t="shared" si="100"/>
        <v>0.36346221187714989</v>
      </c>
      <c r="K638" s="18">
        <f>INDEX('Industry Stats'!$C$2:$C$49,MATCH($C638,'Industry Stats'!$A$2:$A$49,0))</f>
        <v>306.53571428571428</v>
      </c>
      <c r="L638" s="19">
        <f t="shared" si="101"/>
        <v>228.46428571428572</v>
      </c>
      <c r="M638" s="18">
        <f>INDEX('Industry Stats'!$D$2:$D$49,MATCH($C638,'Industry Stats'!$A$2:$A$49,0))</f>
        <v>268.85714285714283</v>
      </c>
      <c r="N638" s="19">
        <f t="shared" si="102"/>
        <v>53.142857142857167</v>
      </c>
      <c r="O638" s="18">
        <f>INDEX('Industry Stats'!$E$2:$E$49,MATCH($C638,'Industry Stats'!$A$2:$A$49,0))</f>
        <v>291.51785714285717</v>
      </c>
      <c r="P638" s="19">
        <f t="shared" si="103"/>
        <v>33.482142857142833</v>
      </c>
      <c r="R638">
        <f t="shared" si="104"/>
        <v>1182.0009362000001</v>
      </c>
      <c r="S638">
        <f t="shared" si="105"/>
        <v>535.00093619999996</v>
      </c>
      <c r="T638">
        <f t="shared" si="106"/>
        <v>322.00093620000001</v>
      </c>
      <c r="U638">
        <f t="shared" si="107"/>
        <v>325.00093620000001</v>
      </c>
      <c r="V638">
        <f t="shared" si="108"/>
        <v>315.09022191428568</v>
      </c>
      <c r="W638">
        <f t="shared" si="109"/>
        <v>-315.08834951428565</v>
      </c>
    </row>
    <row r="639" spans="1:23" ht="15" customHeight="1" x14ac:dyDescent="0.35">
      <c r="A639" t="str">
        <f>'Raw Data'!B637</f>
        <v>Cambium Networks Corp</v>
      </c>
      <c r="B639" t="str">
        <f>'Raw Data'!A637</f>
        <v>cmbm</v>
      </c>
      <c r="C639" t="str">
        <f>IF('Raw Data'!E637="N/A","Unclassified",TRIM(SUBSTITUTE('Raw Data'!E637," and "," &amp; ")))</f>
        <v>Communications</v>
      </c>
      <c r="D639" s="17">
        <f>'Raw Data'!N637</f>
        <v>505</v>
      </c>
      <c r="E639" s="17">
        <f>'Raw Data'!O637</f>
        <v>337</v>
      </c>
      <c r="F639" s="17">
        <f>'Raw Data'!P637</f>
        <v>300</v>
      </c>
      <c r="G639" s="17">
        <f>'Raw Data'!Q637</f>
        <v>1142</v>
      </c>
      <c r="H639" s="18">
        <f>INDEX('Industry Stats'!$F$2:$F$49,MATCH($C639,'Industry Stats'!$A$2:$A$49,0))</f>
        <v>938.22222222222217</v>
      </c>
      <c r="I639" s="19">
        <f t="shared" si="99"/>
        <v>203.77777777777783</v>
      </c>
      <c r="J639" s="20">
        <f t="shared" si="100"/>
        <v>0.21719564187588827</v>
      </c>
      <c r="K639" s="18">
        <f>INDEX('Industry Stats'!$C$2:$C$49,MATCH($C639,'Industry Stats'!$A$2:$A$49,0))</f>
        <v>385</v>
      </c>
      <c r="L639" s="19">
        <f t="shared" si="101"/>
        <v>120</v>
      </c>
      <c r="M639" s="18">
        <f>INDEX('Industry Stats'!$D$2:$D$49,MATCH($C639,'Industry Stats'!$A$2:$A$49,0))</f>
        <v>278.77777777777777</v>
      </c>
      <c r="N639" s="19">
        <f t="shared" si="102"/>
        <v>58.222222222222229</v>
      </c>
      <c r="O639" s="18">
        <f>INDEX('Industry Stats'!$E$2:$E$49,MATCH($C639,'Industry Stats'!$A$2:$A$49,0))</f>
        <v>274.44444444444446</v>
      </c>
      <c r="P639" s="19">
        <f t="shared" si="103"/>
        <v>25.555555555555543</v>
      </c>
      <c r="R639">
        <f t="shared" si="104"/>
        <v>1142.0009361</v>
      </c>
      <c r="S639">
        <f t="shared" si="105"/>
        <v>505.00093609999999</v>
      </c>
      <c r="T639">
        <f t="shared" si="106"/>
        <v>337.00093609999999</v>
      </c>
      <c r="U639">
        <f t="shared" si="107"/>
        <v>300.00093609999999</v>
      </c>
      <c r="V639">
        <f t="shared" si="108"/>
        <v>203.77871387777782</v>
      </c>
      <c r="W639">
        <f t="shared" si="109"/>
        <v>-203.77684167777784</v>
      </c>
    </row>
    <row r="640" spans="1:23" ht="15" customHeight="1" x14ac:dyDescent="0.35">
      <c r="A640" t="str">
        <f>'Raw Data'!B638</f>
        <v>Columbus McKinnon Corp</v>
      </c>
      <c r="B640" t="str">
        <f>'Raw Data'!A638</f>
        <v>cmco</v>
      </c>
      <c r="C640" t="str">
        <f>IF('Raw Data'!E638="N/A","Unclassified",TRIM(SUBSTITUTE('Raw Data'!E638," and "," &amp; ")))</f>
        <v>Machinery</v>
      </c>
      <c r="D640" s="17">
        <f>'Raw Data'!N638</f>
        <v>200</v>
      </c>
      <c r="E640" s="17">
        <f>'Raw Data'!O638</f>
        <v>323</v>
      </c>
      <c r="F640" s="17">
        <f>'Raw Data'!P638</f>
        <v>240</v>
      </c>
      <c r="G640" s="17">
        <f>'Raw Data'!Q638</f>
        <v>763</v>
      </c>
      <c r="H640" s="18">
        <f>INDEX('Industry Stats'!$F$2:$F$49,MATCH($C640,'Industry Stats'!$A$2:$A$49,0))</f>
        <v>1048.047619047619</v>
      </c>
      <c r="I640" s="19">
        <f t="shared" si="99"/>
        <v>-285.04761904761904</v>
      </c>
      <c r="J640" s="20">
        <f t="shared" si="100"/>
        <v>-0.27197964469080832</v>
      </c>
      <c r="K640" s="18">
        <f>INDEX('Industry Stats'!$C$2:$C$49,MATCH($C640,'Industry Stats'!$A$2:$A$49,0))</f>
        <v>459.57142857142856</v>
      </c>
      <c r="L640" s="19">
        <f t="shared" si="101"/>
        <v>-259.57142857142856</v>
      </c>
      <c r="M640" s="18">
        <f>INDEX('Industry Stats'!$D$2:$D$49,MATCH($C640,'Industry Stats'!$A$2:$A$49,0))</f>
        <v>313.66666666666669</v>
      </c>
      <c r="N640" s="19">
        <f t="shared" si="102"/>
        <v>9.3333333333333144</v>
      </c>
      <c r="O640" s="18">
        <f>INDEX('Industry Stats'!$E$2:$E$49,MATCH($C640,'Industry Stats'!$A$2:$A$49,0))</f>
        <v>274.8095238095238</v>
      </c>
      <c r="P640" s="19">
        <f t="shared" si="103"/>
        <v>-34.809523809523796</v>
      </c>
      <c r="R640">
        <f t="shared" si="104"/>
        <v>763.00093600000002</v>
      </c>
      <c r="S640">
        <f t="shared" si="105"/>
        <v>200.000936</v>
      </c>
      <c r="T640">
        <f t="shared" si="106"/>
        <v>323.00093600000002</v>
      </c>
      <c r="U640">
        <f t="shared" si="107"/>
        <v>240.000936</v>
      </c>
      <c r="V640">
        <f t="shared" si="108"/>
        <v>-285.04668304761901</v>
      </c>
      <c r="W640">
        <f t="shared" si="109"/>
        <v>285.04855504761906</v>
      </c>
    </row>
    <row r="641" spans="1:23" ht="15" customHeight="1" x14ac:dyDescent="0.35">
      <c r="A641" t="str">
        <f>'Raw Data'!B639</f>
        <v>Ever-Glory International Group Inc</v>
      </c>
      <c r="B641" t="str">
        <f>'Raw Data'!A639</f>
        <v>evk</v>
      </c>
      <c r="C641" t="str">
        <f>IF('Raw Data'!E639="N/A","Unclassified",TRIM(SUBSTITUTE('Raw Data'!E639," and "," &amp; ")))</f>
        <v>Textiles Apparel &amp; Luxury Goods</v>
      </c>
      <c r="D641" s="17">
        <f>'Raw Data'!N639</f>
        <v>200</v>
      </c>
      <c r="E641" s="17">
        <f>'Raw Data'!O639</f>
        <v>211</v>
      </c>
      <c r="F641" s="17">
        <f>'Raw Data'!P639</f>
        <v>210</v>
      </c>
      <c r="G641" s="17">
        <f>'Raw Data'!Q639</f>
        <v>621</v>
      </c>
      <c r="H641" s="18">
        <f>INDEX('Industry Stats'!$F$2:$F$49,MATCH($C641,'Industry Stats'!$A$2:$A$49,0))</f>
        <v>944.44444444444446</v>
      </c>
      <c r="I641" s="19">
        <f t="shared" si="99"/>
        <v>-323.44444444444446</v>
      </c>
      <c r="J641" s="20">
        <f t="shared" si="100"/>
        <v>-0.34247058823529414</v>
      </c>
      <c r="K641" s="18">
        <f>INDEX('Industry Stats'!$C$2:$C$49,MATCH($C641,'Industry Stats'!$A$2:$A$49,0))</f>
        <v>382.11111111111109</v>
      </c>
      <c r="L641" s="19">
        <f t="shared" si="101"/>
        <v>-182.11111111111109</v>
      </c>
      <c r="M641" s="18">
        <f>INDEX('Industry Stats'!$D$2:$D$49,MATCH($C641,'Industry Stats'!$A$2:$A$49,0))</f>
        <v>280</v>
      </c>
      <c r="N641" s="19">
        <f t="shared" si="102"/>
        <v>-69</v>
      </c>
      <c r="O641" s="18">
        <f>INDEX('Industry Stats'!$E$2:$E$49,MATCH($C641,'Industry Stats'!$A$2:$A$49,0))</f>
        <v>282.33333333333331</v>
      </c>
      <c r="P641" s="19">
        <f t="shared" si="103"/>
        <v>-72.333333333333314</v>
      </c>
      <c r="R641">
        <f t="shared" si="104"/>
        <v>621.00093589999994</v>
      </c>
      <c r="S641">
        <f t="shared" si="105"/>
        <v>200.0009359</v>
      </c>
      <c r="T641">
        <f t="shared" si="106"/>
        <v>211.0009359</v>
      </c>
      <c r="U641">
        <f t="shared" si="107"/>
        <v>210.0009359</v>
      </c>
      <c r="V641">
        <f t="shared" si="108"/>
        <v>-323.44350854444446</v>
      </c>
      <c r="W641">
        <f t="shared" si="109"/>
        <v>323.44538034444446</v>
      </c>
    </row>
    <row r="642" spans="1:23" ht="15" customHeight="1" x14ac:dyDescent="0.35">
      <c r="A642" t="str">
        <f>'Raw Data'!B640</f>
        <v>Clovis Oncology Inc</v>
      </c>
      <c r="B642" t="str">
        <f>'Raw Data'!A640</f>
        <v>clvs</v>
      </c>
      <c r="C642" t="str">
        <f>IF('Raw Data'!E640="N/A","Unclassified",TRIM(SUBSTITUTE('Raw Data'!E640," and "," &amp; ")))</f>
        <v>Biotechnology</v>
      </c>
      <c r="D642" s="17">
        <f>'Raw Data'!N640</f>
        <v>225</v>
      </c>
      <c r="E642" s="17">
        <f>'Raw Data'!O640</f>
        <v>212</v>
      </c>
      <c r="F642" s="17">
        <f>'Raw Data'!P640</f>
        <v>300</v>
      </c>
      <c r="G642" s="17">
        <f>'Raw Data'!Q640</f>
        <v>737</v>
      </c>
      <c r="H642" s="18">
        <f>INDEX('Industry Stats'!$F$2:$F$49,MATCH($C642,'Industry Stats'!$A$2:$A$49,0))</f>
        <v>866.91071428571433</v>
      </c>
      <c r="I642" s="19">
        <f t="shared" si="99"/>
        <v>-129.91071428571433</v>
      </c>
      <c r="J642" s="20">
        <f t="shared" si="100"/>
        <v>-0.14985477990401058</v>
      </c>
      <c r="K642" s="18">
        <f>INDEX('Industry Stats'!$C$2:$C$49,MATCH($C642,'Industry Stats'!$A$2:$A$49,0))</f>
        <v>306.53571428571428</v>
      </c>
      <c r="L642" s="19">
        <f t="shared" si="101"/>
        <v>-81.535714285714278</v>
      </c>
      <c r="M642" s="18">
        <f>INDEX('Industry Stats'!$D$2:$D$49,MATCH($C642,'Industry Stats'!$A$2:$A$49,0))</f>
        <v>268.85714285714283</v>
      </c>
      <c r="N642" s="19">
        <f t="shared" si="102"/>
        <v>-56.857142857142833</v>
      </c>
      <c r="O642" s="18">
        <f>INDEX('Industry Stats'!$E$2:$E$49,MATCH($C642,'Industry Stats'!$A$2:$A$49,0))</f>
        <v>291.51785714285717</v>
      </c>
      <c r="P642" s="19">
        <f t="shared" si="103"/>
        <v>8.4821428571428328</v>
      </c>
      <c r="R642">
        <f t="shared" si="104"/>
        <v>737.00093579999998</v>
      </c>
      <c r="S642">
        <f t="shared" si="105"/>
        <v>225.00093580000001</v>
      </c>
      <c r="T642">
        <f t="shared" si="106"/>
        <v>212.00093580000001</v>
      </c>
      <c r="U642">
        <f t="shared" si="107"/>
        <v>300.00093579999998</v>
      </c>
      <c r="V642">
        <f t="shared" si="108"/>
        <v>-129.90977848571433</v>
      </c>
      <c r="W642">
        <f t="shared" si="109"/>
        <v>129.91165008571434</v>
      </c>
    </row>
    <row r="643" spans="1:23" ht="15" customHeight="1" x14ac:dyDescent="0.35">
      <c r="A643" t="str">
        <f>'Raw Data'!B641</f>
        <v>Clever Leaves Holdings Inc</v>
      </c>
      <c r="B643" t="str">
        <f>'Raw Data'!A641</f>
        <v>clvr</v>
      </c>
      <c r="C643" t="str">
        <f>IF('Raw Data'!E641="N/A","Unclassified",TRIM(SUBSTITUTE('Raw Data'!E641," and "," &amp; ")))</f>
        <v>Pharmaceuticals</v>
      </c>
      <c r="D643" s="17">
        <f>'Raw Data'!N641</f>
        <v>225</v>
      </c>
      <c r="E643" s="17">
        <f>'Raw Data'!O641</f>
        <v>243</v>
      </c>
      <c r="F643" s="17">
        <f>'Raw Data'!P641</f>
        <v>205</v>
      </c>
      <c r="G643" s="17">
        <f>'Raw Data'!Q641</f>
        <v>673</v>
      </c>
      <c r="H643" s="18">
        <f>INDEX('Industry Stats'!$F$2:$F$49,MATCH($C643,'Industry Stats'!$A$2:$A$49,0))</f>
        <v>903.66666666666663</v>
      </c>
      <c r="I643" s="19">
        <f t="shared" si="99"/>
        <v>-230.66666666666663</v>
      </c>
      <c r="J643" s="20">
        <f t="shared" si="100"/>
        <v>-0.25525636296569526</v>
      </c>
      <c r="K643" s="18">
        <f>INDEX('Industry Stats'!$C$2:$C$49,MATCH($C643,'Industry Stats'!$A$2:$A$49,0))</f>
        <v>360.04761904761904</v>
      </c>
      <c r="L643" s="19">
        <f t="shared" si="101"/>
        <v>-135.04761904761904</v>
      </c>
      <c r="M643" s="18">
        <f>INDEX('Industry Stats'!$D$2:$D$49,MATCH($C643,'Industry Stats'!$A$2:$A$49,0))</f>
        <v>269.66666666666669</v>
      </c>
      <c r="N643" s="19">
        <f t="shared" si="102"/>
        <v>-26.666666666666686</v>
      </c>
      <c r="O643" s="18">
        <f>INDEX('Industry Stats'!$E$2:$E$49,MATCH($C643,'Industry Stats'!$A$2:$A$49,0))</f>
        <v>273.95238095238096</v>
      </c>
      <c r="P643" s="19">
        <f t="shared" si="103"/>
        <v>-68.952380952380963</v>
      </c>
      <c r="R643">
        <f t="shared" si="104"/>
        <v>673.00093570000001</v>
      </c>
      <c r="S643">
        <f t="shared" si="105"/>
        <v>225.00093570000001</v>
      </c>
      <c r="T643">
        <f t="shared" si="106"/>
        <v>243.00093570000001</v>
      </c>
      <c r="U643">
        <f t="shared" si="107"/>
        <v>205.00093570000001</v>
      </c>
      <c r="V643">
        <f t="shared" si="108"/>
        <v>-230.66573096666662</v>
      </c>
      <c r="W643">
        <f t="shared" si="109"/>
        <v>230.66760236666664</v>
      </c>
    </row>
    <row r="644" spans="1:23" ht="15" customHeight="1" x14ac:dyDescent="0.35">
      <c r="A644" t="str">
        <f>'Raw Data'!B642</f>
        <v>Happiness Development Group Ltd</v>
      </c>
      <c r="B644" t="str">
        <f>'Raw Data'!A642</f>
        <v>happ</v>
      </c>
      <c r="C644" t="str">
        <f>IF('Raw Data'!E642="N/A","Unclassified",TRIM(SUBSTITUTE('Raw Data'!E642," and "," &amp; ")))</f>
        <v>Consumer products</v>
      </c>
      <c r="D644" s="17">
        <f>'Raw Data'!N642</f>
        <v>225</v>
      </c>
      <c r="E644" s="17">
        <f>'Raw Data'!O642</f>
        <v>207</v>
      </c>
      <c r="F644" s="17">
        <f>'Raw Data'!P642</f>
        <v>300</v>
      </c>
      <c r="G644" s="17">
        <f>'Raw Data'!Q642</f>
        <v>732</v>
      </c>
      <c r="H644" s="18">
        <f>INDEX('Industry Stats'!$F$2:$F$49,MATCH($C644,'Industry Stats'!$A$2:$A$49,0))</f>
        <v>945.55</v>
      </c>
      <c r="I644" s="19">
        <f t="shared" ref="I644:I707" si="110">G644-H644</f>
        <v>-213.54999999999995</v>
      </c>
      <c r="J644" s="20">
        <f t="shared" ref="J644:J707" si="111">I644/H644</f>
        <v>-0.22584739040769919</v>
      </c>
      <c r="K644" s="18">
        <f>INDEX('Industry Stats'!$C$2:$C$49,MATCH($C644,'Industry Stats'!$A$2:$A$49,0))</f>
        <v>384.9</v>
      </c>
      <c r="L644" s="19">
        <f t="shared" ref="L644:L707" si="112">D644-K644</f>
        <v>-159.89999999999998</v>
      </c>
      <c r="M644" s="18">
        <f>INDEX('Industry Stats'!$D$2:$D$49,MATCH($C644,'Industry Stats'!$A$2:$A$49,0))</f>
        <v>285.7</v>
      </c>
      <c r="N644" s="19">
        <f t="shared" ref="N644:N707" si="113">E644-M644</f>
        <v>-78.699999999999989</v>
      </c>
      <c r="O644" s="18">
        <f>INDEX('Industry Stats'!$E$2:$E$49,MATCH($C644,'Industry Stats'!$A$2:$A$49,0))</f>
        <v>274.95</v>
      </c>
      <c r="P644" s="19">
        <f t="shared" ref="P644:P707" si="114">F644-O644</f>
        <v>25.050000000000011</v>
      </c>
      <c r="R644">
        <f t="shared" ref="R644:R707" si="115">G644+(10000-ROW())/10000000</f>
        <v>732.00093560000005</v>
      </c>
      <c r="S644">
        <f t="shared" ref="S644:S707" si="116">D644+(10000-ROW())/10000000</f>
        <v>225.00093559999999</v>
      </c>
      <c r="T644">
        <f t="shared" ref="T644:T707" si="117">E644+(10000-ROW())/10000000</f>
        <v>207.00093559999999</v>
      </c>
      <c r="U644">
        <f t="shared" ref="U644:U707" si="118">F644+(10000-ROW())/10000000</f>
        <v>300.00093559999999</v>
      </c>
      <c r="V644">
        <f t="shared" ref="V644:V707" si="119">I644+(10000-ROW())/10000000</f>
        <v>-213.54906439999996</v>
      </c>
      <c r="W644">
        <f t="shared" ref="W644:W707" si="120">-I644+(10000-ROW())/10000000</f>
        <v>213.55093559999995</v>
      </c>
    </row>
    <row r="645" spans="1:23" ht="15" customHeight="1" x14ac:dyDescent="0.35">
      <c r="A645" t="str">
        <f>'Raw Data'!B643</f>
        <v>Home Bancorp Inc</v>
      </c>
      <c r="B645" t="str">
        <f>'Raw Data'!A643</f>
        <v>hbcp</v>
      </c>
      <c r="C645" t="str">
        <f>IF('Raw Data'!E643="N/A","Unclassified",TRIM(SUBSTITUTE('Raw Data'!E643," and "," &amp; ")))</f>
        <v>Financial Services</v>
      </c>
      <c r="D645" s="17">
        <f>'Raw Data'!N643</f>
        <v>230</v>
      </c>
      <c r="E645" s="17">
        <f>'Raw Data'!O643</f>
        <v>202</v>
      </c>
      <c r="F645" s="17">
        <f>'Raw Data'!P643</f>
        <v>200</v>
      </c>
      <c r="G645" s="17">
        <f>'Raw Data'!Q643</f>
        <v>632</v>
      </c>
      <c r="H645" s="18">
        <f>INDEX('Industry Stats'!$F$2:$F$49,MATCH($C645,'Industry Stats'!$A$2:$A$49,0))</f>
        <v>909.33333333333337</v>
      </c>
      <c r="I645" s="19">
        <f t="shared" si="110"/>
        <v>-277.33333333333337</v>
      </c>
      <c r="J645" s="20">
        <f t="shared" si="111"/>
        <v>-0.30498533724340177</v>
      </c>
      <c r="K645" s="18">
        <f>INDEX('Industry Stats'!$C$2:$C$49,MATCH($C645,'Industry Stats'!$A$2:$A$49,0))</f>
        <v>367.63636363636363</v>
      </c>
      <c r="L645" s="19">
        <f t="shared" si="112"/>
        <v>-137.63636363636363</v>
      </c>
      <c r="M645" s="18">
        <f>INDEX('Industry Stats'!$D$2:$D$49,MATCH($C645,'Industry Stats'!$A$2:$A$49,0))</f>
        <v>276.45454545454544</v>
      </c>
      <c r="N645" s="19">
        <f t="shared" si="113"/>
        <v>-74.454545454545439</v>
      </c>
      <c r="O645" s="18">
        <f>INDEX('Industry Stats'!$E$2:$E$49,MATCH($C645,'Industry Stats'!$A$2:$A$49,0))</f>
        <v>265.24242424242425</v>
      </c>
      <c r="P645" s="19">
        <f t="shared" si="114"/>
        <v>-65.242424242424249</v>
      </c>
      <c r="R645">
        <f t="shared" si="115"/>
        <v>632.00093549999997</v>
      </c>
      <c r="S645">
        <f t="shared" si="116"/>
        <v>230.0009355</v>
      </c>
      <c r="T645">
        <f t="shared" si="117"/>
        <v>202.0009355</v>
      </c>
      <c r="U645">
        <f t="shared" si="118"/>
        <v>200.0009355</v>
      </c>
      <c r="V645">
        <f t="shared" si="119"/>
        <v>-277.33239783333335</v>
      </c>
      <c r="W645">
        <f t="shared" si="120"/>
        <v>277.3342688333334</v>
      </c>
    </row>
    <row r="646" spans="1:23" ht="15" customHeight="1" x14ac:dyDescent="0.35">
      <c r="A646" t="str">
        <f>'Raw Data'!B644</f>
        <v>Harvard Bioscience Inc</v>
      </c>
      <c r="B646" t="str">
        <f>'Raw Data'!A644</f>
        <v>hbio</v>
      </c>
      <c r="C646" t="str">
        <f>IF('Raw Data'!E644="N/A","Unclassified",TRIM(SUBSTITUTE('Raw Data'!E644," and "," &amp; ")))</f>
        <v>Life Sciences Tools &amp; Services</v>
      </c>
      <c r="D646" s="17">
        <f>'Raw Data'!N644</f>
        <v>250</v>
      </c>
      <c r="E646" s="17">
        <f>'Raw Data'!O644</f>
        <v>221</v>
      </c>
      <c r="F646" s="17">
        <f>'Raw Data'!P644</f>
        <v>300</v>
      </c>
      <c r="G646" s="17">
        <f>'Raw Data'!Q644</f>
        <v>771</v>
      </c>
      <c r="H646" s="18">
        <f>INDEX('Industry Stats'!$F$2:$F$49,MATCH($C646,'Industry Stats'!$A$2:$A$49,0))</f>
        <v>993.125</v>
      </c>
      <c r="I646" s="19">
        <f t="shared" si="110"/>
        <v>-222.125</v>
      </c>
      <c r="J646" s="20">
        <f t="shared" si="111"/>
        <v>-0.2236626809314034</v>
      </c>
      <c r="K646" s="18">
        <f>INDEX('Industry Stats'!$C$2:$C$49,MATCH($C646,'Industry Stats'!$A$2:$A$49,0))</f>
        <v>421.375</v>
      </c>
      <c r="L646" s="19">
        <f t="shared" si="112"/>
        <v>-171.375</v>
      </c>
      <c r="M646" s="18">
        <f>INDEX('Industry Stats'!$D$2:$D$49,MATCH($C646,'Industry Stats'!$A$2:$A$49,0))</f>
        <v>294.5</v>
      </c>
      <c r="N646" s="19">
        <f t="shared" si="113"/>
        <v>-73.5</v>
      </c>
      <c r="O646" s="18">
        <f>INDEX('Industry Stats'!$E$2:$E$49,MATCH($C646,'Industry Stats'!$A$2:$A$49,0))</f>
        <v>277.25</v>
      </c>
      <c r="P646" s="19">
        <f t="shared" si="114"/>
        <v>22.75</v>
      </c>
      <c r="R646">
        <f t="shared" si="115"/>
        <v>771.0009354</v>
      </c>
      <c r="S646">
        <f t="shared" si="116"/>
        <v>250.0009354</v>
      </c>
      <c r="T646">
        <f t="shared" si="117"/>
        <v>221.0009354</v>
      </c>
      <c r="U646">
        <f t="shared" si="118"/>
        <v>300.0009354</v>
      </c>
      <c r="V646">
        <f t="shared" si="119"/>
        <v>-222.1240646</v>
      </c>
      <c r="W646">
        <f t="shared" si="120"/>
        <v>222.1259354</v>
      </c>
    </row>
    <row r="647" spans="1:23" ht="15" customHeight="1" x14ac:dyDescent="0.35">
      <c r="A647" t="str">
        <f>'Raw Data'!B645</f>
        <v>Horizon Bancorp Inc</v>
      </c>
      <c r="B647" t="str">
        <f>'Raw Data'!A645</f>
        <v>hbnc</v>
      </c>
      <c r="C647" t="str">
        <f>IF('Raw Data'!E645="N/A","Unclassified",TRIM(SUBSTITUTE('Raw Data'!E645," and "," &amp; ")))</f>
        <v>Banking</v>
      </c>
      <c r="D647" s="17">
        <f>'Raw Data'!N645</f>
        <v>255</v>
      </c>
      <c r="E647" s="17">
        <f>'Raw Data'!O645</f>
        <v>321</v>
      </c>
      <c r="F647" s="17">
        <f>'Raw Data'!P645</f>
        <v>233</v>
      </c>
      <c r="G647" s="17">
        <f>'Raw Data'!Q645</f>
        <v>809</v>
      </c>
      <c r="H647" s="18">
        <f>INDEX('Industry Stats'!$F$2:$F$49,MATCH($C647,'Industry Stats'!$A$2:$A$49,0))</f>
        <v>898.31034482758616</v>
      </c>
      <c r="I647" s="19">
        <f t="shared" si="110"/>
        <v>-89.310344827586164</v>
      </c>
      <c r="J647" s="20">
        <f t="shared" si="111"/>
        <v>-9.9420367740201868E-2</v>
      </c>
      <c r="K647" s="18">
        <f>INDEX('Industry Stats'!$C$2:$C$49,MATCH($C647,'Industry Stats'!$A$2:$A$49,0))</f>
        <v>341.48275862068965</v>
      </c>
      <c r="L647" s="19">
        <f t="shared" si="112"/>
        <v>-86.482758620689651</v>
      </c>
      <c r="M647" s="18">
        <f>INDEX('Industry Stats'!$D$2:$D$49,MATCH($C647,'Industry Stats'!$A$2:$A$49,0))</f>
        <v>292.34482758620692</v>
      </c>
      <c r="N647" s="19">
        <f t="shared" si="113"/>
        <v>28.655172413793082</v>
      </c>
      <c r="O647" s="18">
        <f>INDEX('Industry Stats'!$E$2:$E$49,MATCH($C647,'Industry Stats'!$A$2:$A$49,0))</f>
        <v>264.48275862068965</v>
      </c>
      <c r="P647" s="19">
        <f t="shared" si="114"/>
        <v>-31.482758620689651</v>
      </c>
      <c r="R647">
        <f t="shared" si="115"/>
        <v>809.00093530000004</v>
      </c>
      <c r="S647">
        <f t="shared" si="116"/>
        <v>255.00093530000001</v>
      </c>
      <c r="T647">
        <f t="shared" si="117"/>
        <v>321.00093529999998</v>
      </c>
      <c r="U647">
        <f t="shared" si="118"/>
        <v>233.00093530000001</v>
      </c>
      <c r="V647">
        <f t="shared" si="119"/>
        <v>-89.309409527586169</v>
      </c>
      <c r="W647">
        <f t="shared" si="120"/>
        <v>89.311280127586159</v>
      </c>
    </row>
    <row r="648" spans="1:23" ht="15" customHeight="1" x14ac:dyDescent="0.35">
      <c r="A648" t="str">
        <f>'Raw Data'!B646</f>
        <v>HBT Financial Inc</v>
      </c>
      <c r="B648" t="str">
        <f>'Raw Data'!A646</f>
        <v>hbt</v>
      </c>
      <c r="C648" t="str">
        <f>IF('Raw Data'!E646="N/A","Unclassified",TRIM(SUBSTITUTE('Raw Data'!E646," and "," &amp; ")))</f>
        <v>Banking</v>
      </c>
      <c r="D648" s="17">
        <f>'Raw Data'!N646</f>
        <v>245</v>
      </c>
      <c r="E648" s="17">
        <f>'Raw Data'!O646</f>
        <v>275</v>
      </c>
      <c r="F648" s="17">
        <f>'Raw Data'!P646</f>
        <v>300</v>
      </c>
      <c r="G648" s="17">
        <f>'Raw Data'!Q646</f>
        <v>820</v>
      </c>
      <c r="H648" s="18">
        <f>INDEX('Industry Stats'!$F$2:$F$49,MATCH($C648,'Industry Stats'!$A$2:$A$49,0))</f>
        <v>898.31034482758616</v>
      </c>
      <c r="I648" s="19">
        <f t="shared" si="110"/>
        <v>-78.310344827586164</v>
      </c>
      <c r="J648" s="20">
        <f t="shared" si="111"/>
        <v>-8.7175156423937611E-2</v>
      </c>
      <c r="K648" s="18">
        <f>INDEX('Industry Stats'!$C$2:$C$49,MATCH($C648,'Industry Stats'!$A$2:$A$49,0))</f>
        <v>341.48275862068965</v>
      </c>
      <c r="L648" s="19">
        <f t="shared" si="112"/>
        <v>-96.482758620689651</v>
      </c>
      <c r="M648" s="18">
        <f>INDEX('Industry Stats'!$D$2:$D$49,MATCH($C648,'Industry Stats'!$A$2:$A$49,0))</f>
        <v>292.34482758620692</v>
      </c>
      <c r="N648" s="19">
        <f t="shared" si="113"/>
        <v>-17.344827586206918</v>
      </c>
      <c r="O648" s="18">
        <f>INDEX('Industry Stats'!$E$2:$E$49,MATCH($C648,'Industry Stats'!$A$2:$A$49,0))</f>
        <v>264.48275862068965</v>
      </c>
      <c r="P648" s="19">
        <f t="shared" si="114"/>
        <v>35.517241379310349</v>
      </c>
      <c r="R648">
        <f t="shared" si="115"/>
        <v>820.00093519999996</v>
      </c>
      <c r="S648">
        <f t="shared" si="116"/>
        <v>245.00093519999999</v>
      </c>
      <c r="T648">
        <f t="shared" si="117"/>
        <v>275.00093520000001</v>
      </c>
      <c r="U648">
        <f t="shared" si="118"/>
        <v>300.00093520000001</v>
      </c>
      <c r="V648">
        <f t="shared" si="119"/>
        <v>-78.309409627586163</v>
      </c>
      <c r="W648">
        <f t="shared" si="120"/>
        <v>78.311280027586164</v>
      </c>
    </row>
    <row r="649" spans="1:23" ht="15" customHeight="1" x14ac:dyDescent="0.35">
      <c r="A649" t="str">
        <f>'Raw Data'!B647</f>
        <v>Health Catalyst Inc</v>
      </c>
      <c r="B649" t="str">
        <f>'Raw Data'!A647</f>
        <v>hcat</v>
      </c>
      <c r="C649" t="str">
        <f>IF('Raw Data'!E647="N/A","Unclassified",TRIM(SUBSTITUTE('Raw Data'!E647," and "," &amp; ")))</f>
        <v>Health Care</v>
      </c>
      <c r="D649" s="17">
        <f>'Raw Data'!N647</f>
        <v>545</v>
      </c>
      <c r="E649" s="17">
        <f>'Raw Data'!O647</f>
        <v>324</v>
      </c>
      <c r="F649" s="17">
        <f>'Raw Data'!P647</f>
        <v>320</v>
      </c>
      <c r="G649" s="17">
        <f>'Raw Data'!Q647</f>
        <v>1189</v>
      </c>
      <c r="H649" s="18">
        <f>INDEX('Industry Stats'!$F$2:$F$49,MATCH($C649,'Industry Stats'!$A$2:$A$49,0))</f>
        <v>938.76470588235293</v>
      </c>
      <c r="I649" s="19">
        <f t="shared" si="110"/>
        <v>250.23529411764707</v>
      </c>
      <c r="J649" s="20">
        <f t="shared" si="111"/>
        <v>0.26655805501597846</v>
      </c>
      <c r="K649" s="18">
        <f>INDEX('Industry Stats'!$C$2:$C$49,MATCH($C649,'Industry Stats'!$A$2:$A$49,0))</f>
        <v>374.52941176470586</v>
      </c>
      <c r="L649" s="19">
        <f t="shared" si="112"/>
        <v>170.47058823529414</v>
      </c>
      <c r="M649" s="18">
        <f>INDEX('Industry Stats'!$D$2:$D$49,MATCH($C649,'Industry Stats'!$A$2:$A$49,0))</f>
        <v>287.43137254901961</v>
      </c>
      <c r="N649" s="19">
        <f t="shared" si="113"/>
        <v>36.568627450980387</v>
      </c>
      <c r="O649" s="18">
        <f>INDEX('Industry Stats'!$E$2:$E$49,MATCH($C649,'Industry Stats'!$A$2:$A$49,0))</f>
        <v>276.80392156862746</v>
      </c>
      <c r="P649" s="19">
        <f t="shared" si="114"/>
        <v>43.196078431372541</v>
      </c>
      <c r="R649">
        <f t="shared" si="115"/>
        <v>1189.0009351000001</v>
      </c>
      <c r="S649">
        <f t="shared" si="116"/>
        <v>545.00093509999999</v>
      </c>
      <c r="T649">
        <f t="shared" si="117"/>
        <v>324.00093509999999</v>
      </c>
      <c r="U649">
        <f t="shared" si="118"/>
        <v>320.00093509999999</v>
      </c>
      <c r="V649">
        <f t="shared" si="119"/>
        <v>250.23622921764706</v>
      </c>
      <c r="W649">
        <f t="shared" si="120"/>
        <v>-250.23435901764708</v>
      </c>
    </row>
    <row r="650" spans="1:23" ht="15" customHeight="1" x14ac:dyDescent="0.35">
      <c r="A650" t="str">
        <f>'Raw Data'!B648</f>
        <v>Healthcare Services Acquisition Corp</v>
      </c>
      <c r="B650" t="str">
        <f>'Raw Data'!A648</f>
        <v>hcar</v>
      </c>
      <c r="C650" t="str">
        <f>IF('Raw Data'!E648="N/A","Unclassified",TRIM(SUBSTITUTE('Raw Data'!E648," and "," &amp; ")))</f>
        <v>Unclassified</v>
      </c>
      <c r="D650" s="17">
        <f>'Raw Data'!N648</f>
        <v>245</v>
      </c>
      <c r="E650" s="17">
        <f>'Raw Data'!O648</f>
        <v>205</v>
      </c>
      <c r="F650" s="17">
        <f>'Raw Data'!P648</f>
        <v>300</v>
      </c>
      <c r="G650" s="17">
        <f>'Raw Data'!Q648</f>
        <v>750</v>
      </c>
      <c r="H650" s="18">
        <f>INDEX('Industry Stats'!$F$2:$F$49,MATCH($C650,'Industry Stats'!$A$2:$A$49,0))</f>
        <v>709.30769230769226</v>
      </c>
      <c r="I650" s="19">
        <f t="shared" si="110"/>
        <v>40.692307692307736</v>
      </c>
      <c r="J650" s="20">
        <f t="shared" si="111"/>
        <v>5.7369048910096587E-2</v>
      </c>
      <c r="K650" s="18">
        <f>INDEX('Industry Stats'!$C$2:$C$49,MATCH($C650,'Industry Stats'!$A$2:$A$49,0))</f>
        <v>215.38461538461539</v>
      </c>
      <c r="L650" s="19">
        <f t="shared" si="112"/>
        <v>29.615384615384613</v>
      </c>
      <c r="M650" s="18">
        <f>INDEX('Industry Stats'!$D$2:$D$49,MATCH($C650,'Industry Stats'!$A$2:$A$49,0))</f>
        <v>231.15384615384616</v>
      </c>
      <c r="N650" s="19">
        <f t="shared" si="113"/>
        <v>-26.15384615384616</v>
      </c>
      <c r="O650" s="18">
        <f>INDEX('Industry Stats'!$E$2:$E$49,MATCH($C650,'Industry Stats'!$A$2:$A$49,0))</f>
        <v>262.76923076923077</v>
      </c>
      <c r="P650" s="19">
        <f t="shared" si="114"/>
        <v>37.230769230769226</v>
      </c>
      <c r="R650">
        <f t="shared" si="115"/>
        <v>750.00093500000003</v>
      </c>
      <c r="S650">
        <f t="shared" si="116"/>
        <v>245.000935</v>
      </c>
      <c r="T650">
        <f t="shared" si="117"/>
        <v>205.000935</v>
      </c>
      <c r="U650">
        <f t="shared" si="118"/>
        <v>300.00093500000003</v>
      </c>
      <c r="V650">
        <f t="shared" si="119"/>
        <v>40.693242692307734</v>
      </c>
      <c r="W650">
        <f t="shared" si="120"/>
        <v>-40.691372692307738</v>
      </c>
    </row>
    <row r="651" spans="1:23" ht="15" customHeight="1" x14ac:dyDescent="0.35">
      <c r="A651" t="str">
        <f>'Raw Data'!B649</f>
        <v>Harpoon Therapeutics Inc</v>
      </c>
      <c r="B651" t="str">
        <f>'Raw Data'!A649</f>
        <v>harp</v>
      </c>
      <c r="C651" t="str">
        <f>IF('Raw Data'!E649="N/A","Unclassified",TRIM(SUBSTITUTE('Raw Data'!E649," and "," &amp; ")))</f>
        <v>Biotechnology</v>
      </c>
      <c r="D651" s="17">
        <f>'Raw Data'!N649</f>
        <v>485</v>
      </c>
      <c r="E651" s="17">
        <f>'Raw Data'!O649</f>
        <v>300</v>
      </c>
      <c r="F651" s="17">
        <f>'Raw Data'!P649</f>
        <v>310</v>
      </c>
      <c r="G651" s="17">
        <f>'Raw Data'!Q649</f>
        <v>1095</v>
      </c>
      <c r="H651" s="18">
        <f>INDEX('Industry Stats'!$F$2:$F$49,MATCH($C651,'Industry Stats'!$A$2:$A$49,0))</f>
        <v>866.91071428571433</v>
      </c>
      <c r="I651" s="19">
        <f t="shared" si="110"/>
        <v>228.08928571428567</v>
      </c>
      <c r="J651" s="20">
        <f t="shared" si="111"/>
        <v>0.26310585618060839</v>
      </c>
      <c r="K651" s="18">
        <f>INDEX('Industry Stats'!$C$2:$C$49,MATCH($C651,'Industry Stats'!$A$2:$A$49,0))</f>
        <v>306.53571428571428</v>
      </c>
      <c r="L651" s="19">
        <f t="shared" si="112"/>
        <v>178.46428571428572</v>
      </c>
      <c r="M651" s="18">
        <f>INDEX('Industry Stats'!$D$2:$D$49,MATCH($C651,'Industry Stats'!$A$2:$A$49,0))</f>
        <v>268.85714285714283</v>
      </c>
      <c r="N651" s="19">
        <f t="shared" si="113"/>
        <v>31.142857142857167</v>
      </c>
      <c r="O651" s="18">
        <f>INDEX('Industry Stats'!$E$2:$E$49,MATCH($C651,'Industry Stats'!$A$2:$A$49,0))</f>
        <v>291.51785714285717</v>
      </c>
      <c r="P651" s="19">
        <f t="shared" si="114"/>
        <v>18.482142857142833</v>
      </c>
      <c r="R651">
        <f t="shared" si="115"/>
        <v>1095.0009348999999</v>
      </c>
      <c r="S651">
        <f t="shared" si="116"/>
        <v>485.0009349</v>
      </c>
      <c r="T651">
        <f t="shared" si="117"/>
        <v>300.0009349</v>
      </c>
      <c r="U651">
        <f t="shared" si="118"/>
        <v>310.0009349</v>
      </c>
      <c r="V651">
        <f t="shared" si="119"/>
        <v>228.09022061428567</v>
      </c>
      <c r="W651">
        <f t="shared" si="120"/>
        <v>-228.08835081428566</v>
      </c>
    </row>
    <row r="652" spans="1:23" ht="15" customHeight="1" x14ac:dyDescent="0.35">
      <c r="A652" t="str">
        <f>'Raw Data'!B650</f>
        <v>Haynes International Inc</v>
      </c>
      <c r="B652" t="str">
        <f>'Raw Data'!A650</f>
        <v>hayn</v>
      </c>
      <c r="C652" t="str">
        <f>IF('Raw Data'!E650="N/A","Unclassified",TRIM(SUBSTITUTE('Raw Data'!E650," and "," &amp; ")))</f>
        <v>Metals &amp; Mining</v>
      </c>
      <c r="D652" s="17">
        <f>'Raw Data'!N650</f>
        <v>500</v>
      </c>
      <c r="E652" s="17">
        <f>'Raw Data'!O650</f>
        <v>301</v>
      </c>
      <c r="F652" s="17">
        <f>'Raw Data'!P650</f>
        <v>300</v>
      </c>
      <c r="G652" s="17">
        <f>'Raw Data'!Q650</f>
        <v>1101</v>
      </c>
      <c r="H652" s="18">
        <f>INDEX('Industry Stats'!$F$2:$F$49,MATCH($C652,'Industry Stats'!$A$2:$A$49,0))</f>
        <v>987</v>
      </c>
      <c r="I652" s="19">
        <f t="shared" si="110"/>
        <v>114</v>
      </c>
      <c r="J652" s="20">
        <f t="shared" si="111"/>
        <v>0.11550151975683891</v>
      </c>
      <c r="K652" s="18">
        <f>INDEX('Industry Stats'!$C$2:$C$49,MATCH($C652,'Industry Stats'!$A$2:$A$49,0))</f>
        <v>427.3</v>
      </c>
      <c r="L652" s="19">
        <f t="shared" si="112"/>
        <v>72.699999999999989</v>
      </c>
      <c r="M652" s="18">
        <f>INDEX('Industry Stats'!$D$2:$D$49,MATCH($C652,'Industry Stats'!$A$2:$A$49,0))</f>
        <v>289.2</v>
      </c>
      <c r="N652" s="19">
        <f t="shared" si="113"/>
        <v>11.800000000000011</v>
      </c>
      <c r="O652" s="18">
        <f>INDEX('Industry Stats'!$E$2:$E$49,MATCH($C652,'Industry Stats'!$A$2:$A$49,0))</f>
        <v>270.5</v>
      </c>
      <c r="P652" s="19">
        <f t="shared" si="114"/>
        <v>29.5</v>
      </c>
      <c r="R652">
        <f t="shared" si="115"/>
        <v>1101.0009348000001</v>
      </c>
      <c r="S652">
        <f t="shared" si="116"/>
        <v>500.00093479999998</v>
      </c>
      <c r="T652">
        <f t="shared" si="117"/>
        <v>301.00093479999998</v>
      </c>
      <c r="U652">
        <f t="shared" si="118"/>
        <v>300.00093479999998</v>
      </c>
      <c r="V652">
        <f t="shared" si="119"/>
        <v>114.0009348</v>
      </c>
      <c r="W652">
        <f t="shared" si="120"/>
        <v>-113.9990652</v>
      </c>
    </row>
    <row r="653" spans="1:23" ht="15" customHeight="1" x14ac:dyDescent="0.35">
      <c r="A653" t="str">
        <f>'Raw Data'!B651</f>
        <v>Patriot National Bancorp Inc</v>
      </c>
      <c r="B653" t="str">
        <f>'Raw Data'!A651</f>
        <v>pnbk</v>
      </c>
      <c r="C653" t="str">
        <f>IF('Raw Data'!E651="N/A","Unclassified",TRIM(SUBSTITUTE('Raw Data'!E651," and "," &amp; ")))</f>
        <v>Banking</v>
      </c>
      <c r="D653" s="17">
        <f>'Raw Data'!N651</f>
        <v>205</v>
      </c>
      <c r="E653" s="17">
        <f>'Raw Data'!O651</f>
        <v>302</v>
      </c>
      <c r="F653" s="17">
        <f>'Raw Data'!P651</f>
        <v>210</v>
      </c>
      <c r="G653" s="17">
        <f>'Raw Data'!Q651</f>
        <v>717</v>
      </c>
      <c r="H653" s="18">
        <f>INDEX('Industry Stats'!$F$2:$F$49,MATCH($C653,'Industry Stats'!$A$2:$A$49,0))</f>
        <v>898.31034482758616</v>
      </c>
      <c r="I653" s="19">
        <f t="shared" si="110"/>
        <v>-181.31034482758616</v>
      </c>
      <c r="J653" s="20">
        <f t="shared" si="111"/>
        <v>-0.20183486238532106</v>
      </c>
      <c r="K653" s="18">
        <f>INDEX('Industry Stats'!$C$2:$C$49,MATCH($C653,'Industry Stats'!$A$2:$A$49,0))</f>
        <v>341.48275862068965</v>
      </c>
      <c r="L653" s="19">
        <f t="shared" si="112"/>
        <v>-136.48275862068965</v>
      </c>
      <c r="M653" s="18">
        <f>INDEX('Industry Stats'!$D$2:$D$49,MATCH($C653,'Industry Stats'!$A$2:$A$49,0))</f>
        <v>292.34482758620692</v>
      </c>
      <c r="N653" s="19">
        <f t="shared" si="113"/>
        <v>9.6551724137930819</v>
      </c>
      <c r="O653" s="18">
        <f>INDEX('Industry Stats'!$E$2:$E$49,MATCH($C653,'Industry Stats'!$A$2:$A$49,0))</f>
        <v>264.48275862068965</v>
      </c>
      <c r="P653" s="19">
        <f t="shared" si="114"/>
        <v>-54.482758620689651</v>
      </c>
      <c r="R653">
        <f t="shared" si="115"/>
        <v>717.00093470000002</v>
      </c>
      <c r="S653">
        <f t="shared" si="116"/>
        <v>205.00093469999999</v>
      </c>
      <c r="T653">
        <f t="shared" si="117"/>
        <v>302.00093470000002</v>
      </c>
      <c r="U653">
        <f t="shared" si="118"/>
        <v>210.00093469999999</v>
      </c>
      <c r="V653">
        <f t="shared" si="119"/>
        <v>-181.30941012758618</v>
      </c>
      <c r="W653">
        <f t="shared" si="120"/>
        <v>181.31127952758615</v>
      </c>
    </row>
    <row r="654" spans="1:23" ht="15" customHeight="1" x14ac:dyDescent="0.35">
      <c r="A654" t="str">
        <f>'Raw Data'!B652</f>
        <v>Harbor Custom Development Inc</v>
      </c>
      <c r="B654" t="str">
        <f>'Raw Data'!A652</f>
        <v>hcdi</v>
      </c>
      <c r="C654" t="str">
        <f>IF('Raw Data'!E652="N/A","Unclassified",TRIM(SUBSTITUTE('Raw Data'!E652," and "," &amp; ")))</f>
        <v>Consumer products</v>
      </c>
      <c r="D654" s="17">
        <f>'Raw Data'!N652</f>
        <v>222</v>
      </c>
      <c r="E654" s="17">
        <f>'Raw Data'!O652</f>
        <v>221</v>
      </c>
      <c r="F654" s="17">
        <f>'Raw Data'!P652</f>
        <v>208</v>
      </c>
      <c r="G654" s="17">
        <f>'Raw Data'!Q652</f>
        <v>651</v>
      </c>
      <c r="H654" s="18">
        <f>INDEX('Industry Stats'!$F$2:$F$49,MATCH($C654,'Industry Stats'!$A$2:$A$49,0))</f>
        <v>945.55</v>
      </c>
      <c r="I654" s="19">
        <f t="shared" si="110"/>
        <v>-294.54999999999995</v>
      </c>
      <c r="J654" s="20">
        <f t="shared" si="111"/>
        <v>-0.31151181851832266</v>
      </c>
      <c r="K654" s="18">
        <f>INDEX('Industry Stats'!$C$2:$C$49,MATCH($C654,'Industry Stats'!$A$2:$A$49,0))</f>
        <v>384.9</v>
      </c>
      <c r="L654" s="19">
        <f t="shared" si="112"/>
        <v>-162.89999999999998</v>
      </c>
      <c r="M654" s="18">
        <f>INDEX('Industry Stats'!$D$2:$D$49,MATCH($C654,'Industry Stats'!$A$2:$A$49,0))</f>
        <v>285.7</v>
      </c>
      <c r="N654" s="19">
        <f t="shared" si="113"/>
        <v>-64.699999999999989</v>
      </c>
      <c r="O654" s="18">
        <f>INDEX('Industry Stats'!$E$2:$E$49,MATCH($C654,'Industry Stats'!$A$2:$A$49,0))</f>
        <v>274.95</v>
      </c>
      <c r="P654" s="19">
        <f t="shared" si="114"/>
        <v>-66.949999999999989</v>
      </c>
      <c r="R654">
        <f t="shared" si="115"/>
        <v>651.00093460000005</v>
      </c>
      <c r="S654">
        <f t="shared" si="116"/>
        <v>222.00093459999999</v>
      </c>
      <c r="T654">
        <f t="shared" si="117"/>
        <v>221.00093459999999</v>
      </c>
      <c r="U654">
        <f t="shared" si="118"/>
        <v>208.00093459999999</v>
      </c>
      <c r="V654">
        <f t="shared" si="119"/>
        <v>-294.54906539999996</v>
      </c>
      <c r="W654">
        <f t="shared" si="120"/>
        <v>294.55093459999995</v>
      </c>
    </row>
    <row r="655" spans="1:23" ht="15" customHeight="1" x14ac:dyDescent="0.35">
      <c r="A655" t="str">
        <f>'Raw Data'!B653</f>
        <v>Heritage-Crystal Clean Inc</v>
      </c>
      <c r="B655" t="str">
        <f>'Raw Data'!A653</f>
        <v>hcci</v>
      </c>
      <c r="C655" t="str">
        <f>IF('Raw Data'!E653="N/A","Unclassified",TRIM(SUBSTITUTE('Raw Data'!E653," and "," &amp; ")))</f>
        <v>Commercial Services &amp; Supplies</v>
      </c>
      <c r="D655" s="17">
        <f>'Raw Data'!N653</f>
        <v>525</v>
      </c>
      <c r="E655" s="17">
        <f>'Raw Data'!O653</f>
        <v>400</v>
      </c>
      <c r="F655" s="17">
        <f>'Raw Data'!P653</f>
        <v>300</v>
      </c>
      <c r="G655" s="17">
        <f>'Raw Data'!Q653</f>
        <v>1225</v>
      </c>
      <c r="H655" s="18">
        <f>INDEX('Industry Stats'!$F$2:$F$49,MATCH($C655,'Industry Stats'!$A$2:$A$49,0))</f>
        <v>995.85714285714289</v>
      </c>
      <c r="I655" s="19">
        <f t="shared" si="110"/>
        <v>229.14285714285711</v>
      </c>
      <c r="J655" s="20">
        <f t="shared" si="111"/>
        <v>0.23009611246593023</v>
      </c>
      <c r="K655" s="18">
        <f>INDEX('Industry Stats'!$C$2:$C$49,MATCH($C655,'Industry Stats'!$A$2:$A$49,0))</f>
        <v>419.42857142857144</v>
      </c>
      <c r="L655" s="19">
        <f t="shared" si="112"/>
        <v>105.57142857142856</v>
      </c>
      <c r="M655" s="18">
        <f>INDEX('Industry Stats'!$D$2:$D$49,MATCH($C655,'Industry Stats'!$A$2:$A$49,0))</f>
        <v>301.28571428571428</v>
      </c>
      <c r="N655" s="19">
        <f t="shared" si="113"/>
        <v>98.714285714285722</v>
      </c>
      <c r="O655" s="18">
        <f>INDEX('Industry Stats'!$E$2:$E$49,MATCH($C655,'Industry Stats'!$A$2:$A$49,0))</f>
        <v>275.14285714285717</v>
      </c>
      <c r="P655" s="19">
        <f t="shared" si="114"/>
        <v>24.857142857142833</v>
      </c>
      <c r="R655">
        <f t="shared" si="115"/>
        <v>1225.0009345000001</v>
      </c>
      <c r="S655">
        <f t="shared" si="116"/>
        <v>525.00093449999997</v>
      </c>
      <c r="T655">
        <f t="shared" si="117"/>
        <v>400.00093450000003</v>
      </c>
      <c r="U655">
        <f t="shared" si="118"/>
        <v>300.00093450000003</v>
      </c>
      <c r="V655">
        <f t="shared" si="119"/>
        <v>229.14379164285711</v>
      </c>
      <c r="W655">
        <f t="shared" si="120"/>
        <v>-229.14192264285711</v>
      </c>
    </row>
    <row r="656" spans="1:23" ht="15" customHeight="1" x14ac:dyDescent="0.35">
      <c r="A656" t="str">
        <f>'Raw Data'!B654</f>
        <v>Pinnacle Financial Partners Inc</v>
      </c>
      <c r="B656" t="str">
        <f>'Raw Data'!A654</f>
        <v>pnfp</v>
      </c>
      <c r="C656" t="str">
        <f>IF('Raw Data'!E654="N/A","Unclassified",TRIM(SUBSTITUTE('Raw Data'!E654," and "," &amp; ")))</f>
        <v>Banking</v>
      </c>
      <c r="D656" s="17">
        <f>'Raw Data'!N654</f>
        <v>271</v>
      </c>
      <c r="E656" s="17">
        <f>'Raw Data'!O654</f>
        <v>328</v>
      </c>
      <c r="F656" s="17">
        <f>'Raw Data'!P654</f>
        <v>250</v>
      </c>
      <c r="G656" s="17">
        <f>'Raw Data'!Q654</f>
        <v>849</v>
      </c>
      <c r="H656" s="18">
        <f>INDEX('Industry Stats'!$F$2:$F$49,MATCH($C656,'Industry Stats'!$A$2:$A$49,0))</f>
        <v>898.31034482758616</v>
      </c>
      <c r="I656" s="19">
        <f t="shared" si="110"/>
        <v>-49.310344827586164</v>
      </c>
      <c r="J656" s="20">
        <f t="shared" si="111"/>
        <v>-5.4892326590150045E-2</v>
      </c>
      <c r="K656" s="18">
        <f>INDEX('Industry Stats'!$C$2:$C$49,MATCH($C656,'Industry Stats'!$A$2:$A$49,0))</f>
        <v>341.48275862068965</v>
      </c>
      <c r="L656" s="19">
        <f t="shared" si="112"/>
        <v>-70.482758620689651</v>
      </c>
      <c r="M656" s="18">
        <f>INDEX('Industry Stats'!$D$2:$D$49,MATCH($C656,'Industry Stats'!$A$2:$A$49,0))</f>
        <v>292.34482758620692</v>
      </c>
      <c r="N656" s="19">
        <f t="shared" si="113"/>
        <v>35.655172413793082</v>
      </c>
      <c r="O656" s="18">
        <f>INDEX('Industry Stats'!$E$2:$E$49,MATCH($C656,'Industry Stats'!$A$2:$A$49,0))</f>
        <v>264.48275862068965</v>
      </c>
      <c r="P656" s="19">
        <f t="shared" si="114"/>
        <v>-14.482758620689651</v>
      </c>
      <c r="R656">
        <f t="shared" si="115"/>
        <v>849.00093440000001</v>
      </c>
      <c r="S656">
        <f t="shared" si="116"/>
        <v>271.00093440000001</v>
      </c>
      <c r="T656">
        <f t="shared" si="117"/>
        <v>328.00093440000001</v>
      </c>
      <c r="U656">
        <f t="shared" si="118"/>
        <v>250.00093440000001</v>
      </c>
      <c r="V656">
        <f t="shared" si="119"/>
        <v>-49.309410427586165</v>
      </c>
      <c r="W656">
        <f t="shared" si="120"/>
        <v>49.311279227586162</v>
      </c>
    </row>
    <row r="657" spans="1:23" ht="15" customHeight="1" x14ac:dyDescent="0.35">
      <c r="A657" t="str">
        <f>'Raw Data'!B655</f>
        <v>POINT Biopharma Global Inc</v>
      </c>
      <c r="B657" t="str">
        <f>'Raw Data'!A655</f>
        <v>pnt</v>
      </c>
      <c r="C657" t="str">
        <f>IF('Raw Data'!E655="N/A","Unclassified",TRIM(SUBSTITUTE('Raw Data'!E655," and "," &amp; ")))</f>
        <v>Biotechnology</v>
      </c>
      <c r="D657" s="17">
        <f>'Raw Data'!N655</f>
        <v>320</v>
      </c>
      <c r="E657" s="17">
        <f>'Raw Data'!O655</f>
        <v>221</v>
      </c>
      <c r="F657" s="17">
        <f>'Raw Data'!P655</f>
        <v>285</v>
      </c>
      <c r="G657" s="17">
        <f>'Raw Data'!Q655</f>
        <v>826</v>
      </c>
      <c r="H657" s="18">
        <f>INDEX('Industry Stats'!$F$2:$F$49,MATCH($C657,'Industry Stats'!$A$2:$A$49,0))</f>
        <v>866.91071428571433</v>
      </c>
      <c r="I657" s="19">
        <f t="shared" si="110"/>
        <v>-40.910714285714334</v>
      </c>
      <c r="J657" s="20">
        <f t="shared" si="111"/>
        <v>-4.7191381547778494E-2</v>
      </c>
      <c r="K657" s="18">
        <f>INDEX('Industry Stats'!$C$2:$C$49,MATCH($C657,'Industry Stats'!$A$2:$A$49,0))</f>
        <v>306.53571428571428</v>
      </c>
      <c r="L657" s="19">
        <f t="shared" si="112"/>
        <v>13.464285714285722</v>
      </c>
      <c r="M657" s="18">
        <f>INDEX('Industry Stats'!$D$2:$D$49,MATCH($C657,'Industry Stats'!$A$2:$A$49,0))</f>
        <v>268.85714285714283</v>
      </c>
      <c r="N657" s="19">
        <f t="shared" si="113"/>
        <v>-47.857142857142833</v>
      </c>
      <c r="O657" s="18">
        <f>INDEX('Industry Stats'!$E$2:$E$49,MATCH($C657,'Industry Stats'!$A$2:$A$49,0))</f>
        <v>291.51785714285717</v>
      </c>
      <c r="P657" s="19">
        <f t="shared" si="114"/>
        <v>-6.5178571428571672</v>
      </c>
      <c r="R657">
        <f t="shared" si="115"/>
        <v>826.00093430000004</v>
      </c>
      <c r="S657">
        <f t="shared" si="116"/>
        <v>320.00093429999998</v>
      </c>
      <c r="T657">
        <f t="shared" si="117"/>
        <v>221.00093430000001</v>
      </c>
      <c r="U657">
        <f t="shared" si="118"/>
        <v>285.00093429999998</v>
      </c>
      <c r="V657">
        <f t="shared" si="119"/>
        <v>-40.909779985714337</v>
      </c>
      <c r="W657">
        <f t="shared" si="120"/>
        <v>40.911648585714332</v>
      </c>
    </row>
    <row r="658" spans="1:23" ht="15" customHeight="1" x14ac:dyDescent="0.35">
      <c r="A658" t="str">
        <f>'Raw Data'!B656</f>
        <v>Predictive Oncology Inc</v>
      </c>
      <c r="B658" t="str">
        <f>'Raw Data'!A656</f>
        <v>poai</v>
      </c>
      <c r="C658" t="str">
        <f>IF('Raw Data'!E656="N/A","Unclassified",TRIM(SUBSTITUTE('Raw Data'!E656," and "," &amp; ")))</f>
        <v>Health Care</v>
      </c>
      <c r="D658" s="17">
        <f>'Raw Data'!N656</f>
        <v>278</v>
      </c>
      <c r="E658" s="17">
        <f>'Raw Data'!O656</f>
        <v>297</v>
      </c>
      <c r="F658" s="17">
        <f>'Raw Data'!P656</f>
        <v>220</v>
      </c>
      <c r="G658" s="17">
        <f>'Raw Data'!Q656</f>
        <v>795</v>
      </c>
      <c r="H658" s="18">
        <f>INDEX('Industry Stats'!$F$2:$F$49,MATCH($C658,'Industry Stats'!$A$2:$A$49,0))</f>
        <v>938.76470588235293</v>
      </c>
      <c r="I658" s="19">
        <f t="shared" si="110"/>
        <v>-143.76470588235293</v>
      </c>
      <c r="J658" s="20">
        <f t="shared" si="111"/>
        <v>-0.15314242747039286</v>
      </c>
      <c r="K658" s="18">
        <f>INDEX('Industry Stats'!$C$2:$C$49,MATCH($C658,'Industry Stats'!$A$2:$A$49,0))</f>
        <v>374.52941176470586</v>
      </c>
      <c r="L658" s="19">
        <f t="shared" si="112"/>
        <v>-96.529411764705856</v>
      </c>
      <c r="M658" s="18">
        <f>INDEX('Industry Stats'!$D$2:$D$49,MATCH($C658,'Industry Stats'!$A$2:$A$49,0))</f>
        <v>287.43137254901961</v>
      </c>
      <c r="N658" s="19">
        <f t="shared" si="113"/>
        <v>9.5686274509803866</v>
      </c>
      <c r="O658" s="18">
        <f>INDEX('Industry Stats'!$E$2:$E$49,MATCH($C658,'Industry Stats'!$A$2:$A$49,0))</f>
        <v>276.80392156862746</v>
      </c>
      <c r="P658" s="19">
        <f t="shared" si="114"/>
        <v>-56.803921568627459</v>
      </c>
      <c r="R658">
        <f t="shared" si="115"/>
        <v>795.00093419999996</v>
      </c>
      <c r="S658">
        <f t="shared" si="116"/>
        <v>278.00093420000002</v>
      </c>
      <c r="T658">
        <f t="shared" si="117"/>
        <v>297.00093420000002</v>
      </c>
      <c r="U658">
        <f t="shared" si="118"/>
        <v>220.00093419999999</v>
      </c>
      <c r="V658">
        <f t="shared" si="119"/>
        <v>-143.76377168235294</v>
      </c>
      <c r="W658">
        <f t="shared" si="120"/>
        <v>143.76564008235292</v>
      </c>
    </row>
    <row r="659" spans="1:23" ht="15" customHeight="1" x14ac:dyDescent="0.35">
      <c r="A659" t="str">
        <f>'Raw Data'!B657</f>
        <v>Polar Power Inc</v>
      </c>
      <c r="B659" t="str">
        <f>'Raw Data'!A657</f>
        <v>pola</v>
      </c>
      <c r="C659" t="str">
        <f>IF('Raw Data'!E657="N/A","Unclassified",TRIM(SUBSTITUTE('Raw Data'!E657," and "," &amp; ")))</f>
        <v>Electrical Equipment</v>
      </c>
      <c r="D659" s="17">
        <f>'Raw Data'!N657</f>
        <v>200</v>
      </c>
      <c r="E659" s="17">
        <f>'Raw Data'!O657</f>
        <v>200</v>
      </c>
      <c r="F659" s="17">
        <f>'Raw Data'!P657</f>
        <v>200</v>
      </c>
      <c r="G659" s="17">
        <f>'Raw Data'!Q657</f>
        <v>600</v>
      </c>
      <c r="H659" s="18">
        <f>INDEX('Industry Stats'!$F$2:$F$49,MATCH($C659,'Industry Stats'!$A$2:$A$49,0))</f>
        <v>933</v>
      </c>
      <c r="I659" s="19">
        <f t="shared" si="110"/>
        <v>-333</v>
      </c>
      <c r="J659" s="20">
        <f t="shared" si="111"/>
        <v>-0.35691318327974275</v>
      </c>
      <c r="K659" s="18">
        <f>INDEX('Industry Stats'!$C$2:$C$49,MATCH($C659,'Industry Stats'!$A$2:$A$49,0))</f>
        <v>381.7037037037037</v>
      </c>
      <c r="L659" s="19">
        <f t="shared" si="112"/>
        <v>-181.7037037037037</v>
      </c>
      <c r="M659" s="18">
        <f>INDEX('Industry Stats'!$D$2:$D$49,MATCH($C659,'Industry Stats'!$A$2:$A$49,0))</f>
        <v>272.11111111111109</v>
      </c>
      <c r="N659" s="19">
        <f t="shared" si="113"/>
        <v>-72.111111111111086</v>
      </c>
      <c r="O659" s="18">
        <f>INDEX('Industry Stats'!$E$2:$E$49,MATCH($C659,'Industry Stats'!$A$2:$A$49,0))</f>
        <v>279.18518518518516</v>
      </c>
      <c r="P659" s="19">
        <f t="shared" si="114"/>
        <v>-79.185185185185162</v>
      </c>
      <c r="R659">
        <f t="shared" si="115"/>
        <v>600.00093409999999</v>
      </c>
      <c r="S659">
        <f t="shared" si="116"/>
        <v>200.00093409999999</v>
      </c>
      <c r="T659">
        <f t="shared" si="117"/>
        <v>200.00093409999999</v>
      </c>
      <c r="U659">
        <f t="shared" si="118"/>
        <v>200.00093409999999</v>
      </c>
      <c r="V659">
        <f t="shared" si="119"/>
        <v>-332.99906590000001</v>
      </c>
      <c r="W659">
        <f t="shared" si="120"/>
        <v>333.00093409999999</v>
      </c>
    </row>
    <row r="660" spans="1:23" ht="15" customHeight="1" x14ac:dyDescent="0.35">
      <c r="A660" t="str">
        <f>'Raw Data'!B658</f>
        <v>Insulet Corp</v>
      </c>
      <c r="B660" t="str">
        <f>'Raw Data'!A658</f>
        <v>podd</v>
      </c>
      <c r="C660" t="str">
        <f>IF('Raw Data'!E658="N/A","Unclassified",TRIM(SUBSTITUTE('Raw Data'!E658," and "," &amp; ")))</f>
        <v>Health Care</v>
      </c>
      <c r="D660" s="17">
        <f>'Raw Data'!N658</f>
        <v>215</v>
      </c>
      <c r="E660" s="17">
        <f>'Raw Data'!O658</f>
        <v>233</v>
      </c>
      <c r="F660" s="17">
        <f>'Raw Data'!P658</f>
        <v>205</v>
      </c>
      <c r="G660" s="17">
        <f>'Raw Data'!Q658</f>
        <v>653</v>
      </c>
      <c r="H660" s="18">
        <f>INDEX('Industry Stats'!$F$2:$F$49,MATCH($C660,'Industry Stats'!$A$2:$A$49,0))</f>
        <v>938.76470588235293</v>
      </c>
      <c r="I660" s="19">
        <f t="shared" si="110"/>
        <v>-285.76470588235293</v>
      </c>
      <c r="J660" s="20">
        <f t="shared" si="111"/>
        <v>-0.30440503790964346</v>
      </c>
      <c r="K660" s="18">
        <f>INDEX('Industry Stats'!$C$2:$C$49,MATCH($C660,'Industry Stats'!$A$2:$A$49,0))</f>
        <v>374.52941176470586</v>
      </c>
      <c r="L660" s="19">
        <f t="shared" si="112"/>
        <v>-159.52941176470586</v>
      </c>
      <c r="M660" s="18">
        <f>INDEX('Industry Stats'!$D$2:$D$49,MATCH($C660,'Industry Stats'!$A$2:$A$49,0))</f>
        <v>287.43137254901961</v>
      </c>
      <c r="N660" s="19">
        <f t="shared" si="113"/>
        <v>-54.431372549019613</v>
      </c>
      <c r="O660" s="18">
        <f>INDEX('Industry Stats'!$E$2:$E$49,MATCH($C660,'Industry Stats'!$A$2:$A$49,0))</f>
        <v>276.80392156862746</v>
      </c>
      <c r="P660" s="19">
        <f t="shared" si="114"/>
        <v>-71.803921568627459</v>
      </c>
      <c r="R660">
        <f t="shared" si="115"/>
        <v>653.00093400000003</v>
      </c>
      <c r="S660">
        <f t="shared" si="116"/>
        <v>215.000934</v>
      </c>
      <c r="T660">
        <f t="shared" si="117"/>
        <v>233.000934</v>
      </c>
      <c r="U660">
        <f t="shared" si="118"/>
        <v>205.000934</v>
      </c>
      <c r="V660">
        <f t="shared" si="119"/>
        <v>-285.76377188235296</v>
      </c>
      <c r="W660">
        <f t="shared" si="120"/>
        <v>285.7656398823529</v>
      </c>
    </row>
    <row r="661" spans="1:23" ht="15" customHeight="1" x14ac:dyDescent="0.35">
      <c r="A661" t="str">
        <f>'Raw Data'!B659</f>
        <v>Power Integrations Inc</v>
      </c>
      <c r="B661" t="str">
        <f>'Raw Data'!A659</f>
        <v>powi</v>
      </c>
      <c r="C661" t="str">
        <f>IF('Raw Data'!E659="N/A","Unclassified",TRIM(SUBSTITUTE('Raw Data'!E659," and "," &amp; ")))</f>
        <v>Semiconductors</v>
      </c>
      <c r="D661" s="17">
        <f>'Raw Data'!N659</f>
        <v>575</v>
      </c>
      <c r="E661" s="17">
        <f>'Raw Data'!O659</f>
        <v>285</v>
      </c>
      <c r="F661" s="17">
        <f>'Raw Data'!P659</f>
        <v>305</v>
      </c>
      <c r="G661" s="17">
        <f>'Raw Data'!Q659</f>
        <v>1165</v>
      </c>
      <c r="H661" s="18">
        <f>INDEX('Industry Stats'!$F$2:$F$49,MATCH($C661,'Industry Stats'!$A$2:$A$49,0))</f>
        <v>1030.5833333333333</v>
      </c>
      <c r="I661" s="19">
        <f t="shared" si="110"/>
        <v>134.41666666666674</v>
      </c>
      <c r="J661" s="20">
        <f t="shared" si="111"/>
        <v>0.13042775127355066</v>
      </c>
      <c r="K661" s="18">
        <f>INDEX('Industry Stats'!$C$2:$C$49,MATCH($C661,'Industry Stats'!$A$2:$A$49,0))</f>
        <v>448.45833333333331</v>
      </c>
      <c r="L661" s="19">
        <f t="shared" si="112"/>
        <v>126.54166666666669</v>
      </c>
      <c r="M661" s="18">
        <f>INDEX('Industry Stats'!$D$2:$D$49,MATCH($C661,'Industry Stats'!$A$2:$A$49,0))</f>
        <v>296.70833333333331</v>
      </c>
      <c r="N661" s="19">
        <f t="shared" si="113"/>
        <v>-11.708333333333314</v>
      </c>
      <c r="O661" s="18">
        <f>INDEX('Industry Stats'!$E$2:$E$49,MATCH($C661,'Industry Stats'!$A$2:$A$49,0))</f>
        <v>285.41666666666669</v>
      </c>
      <c r="P661" s="19">
        <f t="shared" si="114"/>
        <v>19.583333333333314</v>
      </c>
      <c r="R661">
        <f t="shared" si="115"/>
        <v>1165.0009339000001</v>
      </c>
      <c r="S661">
        <f t="shared" si="116"/>
        <v>575.00093389999995</v>
      </c>
      <c r="T661">
        <f t="shared" si="117"/>
        <v>285.00093390000001</v>
      </c>
      <c r="U661">
        <f t="shared" si="118"/>
        <v>305.00093390000001</v>
      </c>
      <c r="V661">
        <f t="shared" si="119"/>
        <v>134.41760056666675</v>
      </c>
      <c r="W661">
        <f t="shared" si="120"/>
        <v>-134.41573276666674</v>
      </c>
    </row>
    <row r="662" spans="1:23" ht="15" customHeight="1" x14ac:dyDescent="0.35">
      <c r="A662" t="str">
        <f>'Raw Data'!B660</f>
        <v>Ammo Inc</v>
      </c>
      <c r="B662" t="str">
        <f>'Raw Data'!A660</f>
        <v>poww</v>
      </c>
      <c r="C662" t="str">
        <f>IF('Raw Data'!E660="N/A","Unclassified",TRIM(SUBSTITUTE('Raw Data'!E660," and "," &amp; ")))</f>
        <v>Leisure Products</v>
      </c>
      <c r="D662" s="17">
        <f>'Raw Data'!N660</f>
        <v>233</v>
      </c>
      <c r="E662" s="17">
        <f>'Raw Data'!O660</f>
        <v>224</v>
      </c>
      <c r="F662" s="17">
        <f>'Raw Data'!P660</f>
        <v>200</v>
      </c>
      <c r="G662" s="17">
        <f>'Raw Data'!Q660</f>
        <v>657</v>
      </c>
      <c r="H662" s="18">
        <f>INDEX('Industry Stats'!$F$2:$F$49,MATCH($C662,'Industry Stats'!$A$2:$A$49,0))</f>
        <v>780</v>
      </c>
      <c r="I662" s="19">
        <f t="shared" si="110"/>
        <v>-123</v>
      </c>
      <c r="J662" s="20">
        <f t="shared" si="111"/>
        <v>-0.15769230769230769</v>
      </c>
      <c r="K662" s="18">
        <f>INDEX('Industry Stats'!$C$2:$C$49,MATCH($C662,'Industry Stats'!$A$2:$A$49,0))</f>
        <v>252.33333333333334</v>
      </c>
      <c r="L662" s="19">
        <f t="shared" si="112"/>
        <v>-19.333333333333343</v>
      </c>
      <c r="M662" s="18">
        <f>INDEX('Industry Stats'!$D$2:$D$49,MATCH($C662,'Industry Stats'!$A$2:$A$49,0))</f>
        <v>259.33333333333331</v>
      </c>
      <c r="N662" s="19">
        <f t="shared" si="113"/>
        <v>-35.333333333333314</v>
      </c>
      <c r="O662" s="18">
        <f>INDEX('Industry Stats'!$E$2:$E$49,MATCH($C662,'Industry Stats'!$A$2:$A$49,0))</f>
        <v>268.33333333333331</v>
      </c>
      <c r="P662" s="19">
        <f t="shared" si="114"/>
        <v>-68.333333333333314</v>
      </c>
      <c r="R662">
        <f t="shared" si="115"/>
        <v>657.00093379999998</v>
      </c>
      <c r="S662">
        <f t="shared" si="116"/>
        <v>233.00093380000001</v>
      </c>
      <c r="T662">
        <f t="shared" si="117"/>
        <v>224.00093380000001</v>
      </c>
      <c r="U662">
        <f t="shared" si="118"/>
        <v>200.00093380000001</v>
      </c>
      <c r="V662">
        <f t="shared" si="119"/>
        <v>-122.9990662</v>
      </c>
      <c r="W662">
        <f t="shared" si="120"/>
        <v>123.0009338</v>
      </c>
    </row>
    <row r="663" spans="1:23" ht="15" customHeight="1" x14ac:dyDescent="0.35">
      <c r="A663" t="str">
        <f>'Raw Data'!B661</f>
        <v>Primeenergy Resources Corp</v>
      </c>
      <c r="B663" t="str">
        <f>'Raw Data'!A661</f>
        <v>pnrg</v>
      </c>
      <c r="C663" t="str">
        <f>IF('Raw Data'!E661="N/A","Unclassified",TRIM(SUBSTITUTE('Raw Data'!E661," and "," &amp; ")))</f>
        <v>Energy</v>
      </c>
      <c r="D663" s="17">
        <f>'Raw Data'!N661</f>
        <v>200</v>
      </c>
      <c r="E663" s="17">
        <f>'Raw Data'!O661</f>
        <v>200</v>
      </c>
      <c r="F663" s="17">
        <f>'Raw Data'!P661</f>
        <v>260</v>
      </c>
      <c r="G663" s="17">
        <f>'Raw Data'!Q661</f>
        <v>660</v>
      </c>
      <c r="H663" s="18">
        <f>INDEX('Industry Stats'!$F$2:$F$49,MATCH($C663,'Industry Stats'!$A$2:$A$49,0))</f>
        <v>1117.7619047619048</v>
      </c>
      <c r="I663" s="19">
        <f t="shared" si="110"/>
        <v>-457.76190476190482</v>
      </c>
      <c r="J663" s="20">
        <f t="shared" si="111"/>
        <v>-0.40953435862480297</v>
      </c>
      <c r="K663" s="18">
        <f>INDEX('Industry Stats'!$C$2:$C$49,MATCH($C663,'Industry Stats'!$A$2:$A$49,0))</f>
        <v>515.09523809523807</v>
      </c>
      <c r="L663" s="19">
        <f t="shared" si="112"/>
        <v>-315.09523809523807</v>
      </c>
      <c r="M663" s="18">
        <f>INDEX('Industry Stats'!$D$2:$D$49,MATCH($C663,'Industry Stats'!$A$2:$A$49,0))</f>
        <v>308.95238095238096</v>
      </c>
      <c r="N663" s="19">
        <f t="shared" si="113"/>
        <v>-108.95238095238096</v>
      </c>
      <c r="O663" s="18">
        <f>INDEX('Industry Stats'!$E$2:$E$49,MATCH($C663,'Industry Stats'!$A$2:$A$49,0))</f>
        <v>293.71428571428572</v>
      </c>
      <c r="P663" s="19">
        <f t="shared" si="114"/>
        <v>-33.714285714285722</v>
      </c>
      <c r="R663">
        <f t="shared" si="115"/>
        <v>660.00093370000002</v>
      </c>
      <c r="S663">
        <f t="shared" si="116"/>
        <v>200.00093369999999</v>
      </c>
      <c r="T663">
        <f t="shared" si="117"/>
        <v>200.00093369999999</v>
      </c>
      <c r="U663">
        <f t="shared" si="118"/>
        <v>260.00093370000002</v>
      </c>
      <c r="V663">
        <f t="shared" si="119"/>
        <v>-457.7609710619048</v>
      </c>
      <c r="W663">
        <f t="shared" si="120"/>
        <v>457.76283846190483</v>
      </c>
    </row>
    <row r="664" spans="1:23" ht="15" customHeight="1" x14ac:dyDescent="0.35">
      <c r="A664" t="str">
        <f>'Raw Data'!B662</f>
        <v>Pennant Group Inc</v>
      </c>
      <c r="B664" t="str">
        <f>'Raw Data'!A662</f>
        <v>pntg</v>
      </c>
      <c r="C664" t="str">
        <f>IF('Raw Data'!E662="N/A","Unclassified",TRIM(SUBSTITUTE('Raw Data'!E662," and "," &amp; ")))</f>
        <v>Health Care</v>
      </c>
      <c r="D664" s="17">
        <f>'Raw Data'!N662</f>
        <v>245</v>
      </c>
      <c r="E664" s="17">
        <f>'Raw Data'!O662</f>
        <v>306</v>
      </c>
      <c r="F664" s="17">
        <f>'Raw Data'!P662</f>
        <v>200</v>
      </c>
      <c r="G664" s="17">
        <f>'Raw Data'!Q662</f>
        <v>751</v>
      </c>
      <c r="H664" s="18">
        <f>INDEX('Industry Stats'!$F$2:$F$49,MATCH($C664,'Industry Stats'!$A$2:$A$49,0))</f>
        <v>938.76470588235293</v>
      </c>
      <c r="I664" s="19">
        <f t="shared" si="110"/>
        <v>-187.76470588235293</v>
      </c>
      <c r="J664" s="20">
        <f t="shared" si="111"/>
        <v>-0.20001253211354095</v>
      </c>
      <c r="K664" s="18">
        <f>INDEX('Industry Stats'!$C$2:$C$49,MATCH($C664,'Industry Stats'!$A$2:$A$49,0))</f>
        <v>374.52941176470586</v>
      </c>
      <c r="L664" s="19">
        <f t="shared" si="112"/>
        <v>-129.52941176470586</v>
      </c>
      <c r="M664" s="18">
        <f>INDEX('Industry Stats'!$D$2:$D$49,MATCH($C664,'Industry Stats'!$A$2:$A$49,0))</f>
        <v>287.43137254901961</v>
      </c>
      <c r="N664" s="19">
        <f t="shared" si="113"/>
        <v>18.568627450980387</v>
      </c>
      <c r="O664" s="18">
        <f>INDEX('Industry Stats'!$E$2:$E$49,MATCH($C664,'Industry Stats'!$A$2:$A$49,0))</f>
        <v>276.80392156862746</v>
      </c>
      <c r="P664" s="19">
        <f t="shared" si="114"/>
        <v>-76.803921568627459</v>
      </c>
      <c r="R664">
        <f t="shared" si="115"/>
        <v>751.00093360000005</v>
      </c>
      <c r="S664">
        <f t="shared" si="116"/>
        <v>245.0009336</v>
      </c>
      <c r="T664">
        <f t="shared" si="117"/>
        <v>306.0009336</v>
      </c>
      <c r="U664">
        <f t="shared" si="118"/>
        <v>200.0009336</v>
      </c>
      <c r="V664">
        <f t="shared" si="119"/>
        <v>-187.76377228235293</v>
      </c>
      <c r="W664">
        <f t="shared" si="120"/>
        <v>187.76563948235292</v>
      </c>
    </row>
    <row r="665" spans="1:23" ht="15" customHeight="1" x14ac:dyDescent="0.35">
      <c r="A665" t="str">
        <f>'Raw Data'!B663</f>
        <v>Pacific Premier Bancorp Inc</v>
      </c>
      <c r="B665" t="str">
        <f>'Raw Data'!A663</f>
        <v>ppbi</v>
      </c>
      <c r="C665" t="str">
        <f>IF('Raw Data'!E663="N/A","Unclassified",TRIM(SUBSTITUTE('Raw Data'!E663," and "," &amp; ")))</f>
        <v>Banking</v>
      </c>
      <c r="D665" s="17">
        <f>'Raw Data'!N663</f>
        <v>565</v>
      </c>
      <c r="E665" s="17">
        <f>'Raw Data'!O663</f>
        <v>328</v>
      </c>
      <c r="F665" s="17">
        <f>'Raw Data'!P663</f>
        <v>315</v>
      </c>
      <c r="G665" s="17">
        <f>'Raw Data'!Q663</f>
        <v>1208</v>
      </c>
      <c r="H665" s="18">
        <f>INDEX('Industry Stats'!$F$2:$F$49,MATCH($C665,'Industry Stats'!$A$2:$A$49,0))</f>
        <v>898.31034482758616</v>
      </c>
      <c r="I665" s="19">
        <f t="shared" si="110"/>
        <v>309.68965517241384</v>
      </c>
      <c r="J665" s="20">
        <f t="shared" si="111"/>
        <v>0.34474684273156508</v>
      </c>
      <c r="K665" s="18">
        <f>INDEX('Industry Stats'!$C$2:$C$49,MATCH($C665,'Industry Stats'!$A$2:$A$49,0))</f>
        <v>341.48275862068965</v>
      </c>
      <c r="L665" s="19">
        <f t="shared" si="112"/>
        <v>223.51724137931035</v>
      </c>
      <c r="M665" s="18">
        <f>INDEX('Industry Stats'!$D$2:$D$49,MATCH($C665,'Industry Stats'!$A$2:$A$49,0))</f>
        <v>292.34482758620692</v>
      </c>
      <c r="N665" s="19">
        <f t="shared" si="113"/>
        <v>35.655172413793082</v>
      </c>
      <c r="O665" s="18">
        <f>INDEX('Industry Stats'!$E$2:$E$49,MATCH($C665,'Industry Stats'!$A$2:$A$49,0))</f>
        <v>264.48275862068965</v>
      </c>
      <c r="P665" s="19">
        <f t="shared" si="114"/>
        <v>50.517241379310349</v>
      </c>
      <c r="R665">
        <f t="shared" si="115"/>
        <v>1208.0009335</v>
      </c>
      <c r="S665">
        <f t="shared" si="116"/>
        <v>565.00093349999997</v>
      </c>
      <c r="T665">
        <f t="shared" si="117"/>
        <v>328.00093349999997</v>
      </c>
      <c r="U665">
        <f t="shared" si="118"/>
        <v>315.00093349999997</v>
      </c>
      <c r="V665">
        <f t="shared" si="119"/>
        <v>309.69058867241381</v>
      </c>
      <c r="W665">
        <f t="shared" si="120"/>
        <v>-309.68872167241386</v>
      </c>
    </row>
    <row r="666" spans="1:23" ht="15" customHeight="1" x14ac:dyDescent="0.35">
      <c r="A666" t="str">
        <f>'Raw Data'!B664</f>
        <v>Perma-Pipe International Holdings Inc</v>
      </c>
      <c r="B666" t="str">
        <f>'Raw Data'!A664</f>
        <v>ppih</v>
      </c>
      <c r="C666" t="str">
        <f>IF('Raw Data'!E664="N/A","Unclassified",TRIM(SUBSTITUTE('Raw Data'!E664," and "," &amp; ")))</f>
        <v>Machinery</v>
      </c>
      <c r="D666" s="17">
        <f>'Raw Data'!N664</f>
        <v>500</v>
      </c>
      <c r="E666" s="17">
        <f>'Raw Data'!O664</f>
        <v>260</v>
      </c>
      <c r="F666" s="17">
        <f>'Raw Data'!P664</f>
        <v>300</v>
      </c>
      <c r="G666" s="17">
        <f>'Raw Data'!Q664</f>
        <v>1060</v>
      </c>
      <c r="H666" s="18">
        <f>INDEX('Industry Stats'!$F$2:$F$49,MATCH($C666,'Industry Stats'!$A$2:$A$49,0))</f>
        <v>1048.047619047619</v>
      </c>
      <c r="I666" s="19">
        <f t="shared" si="110"/>
        <v>11.952380952380963</v>
      </c>
      <c r="J666" s="20">
        <f t="shared" si="111"/>
        <v>1.1404425462310883E-2</v>
      </c>
      <c r="K666" s="18">
        <f>INDEX('Industry Stats'!$C$2:$C$49,MATCH($C666,'Industry Stats'!$A$2:$A$49,0))</f>
        <v>459.57142857142856</v>
      </c>
      <c r="L666" s="19">
        <f t="shared" si="112"/>
        <v>40.428571428571445</v>
      </c>
      <c r="M666" s="18">
        <f>INDEX('Industry Stats'!$D$2:$D$49,MATCH($C666,'Industry Stats'!$A$2:$A$49,0))</f>
        <v>313.66666666666669</v>
      </c>
      <c r="N666" s="19">
        <f t="shared" si="113"/>
        <v>-53.666666666666686</v>
      </c>
      <c r="O666" s="18">
        <f>INDEX('Industry Stats'!$E$2:$E$49,MATCH($C666,'Industry Stats'!$A$2:$A$49,0))</f>
        <v>274.8095238095238</v>
      </c>
      <c r="P666" s="19">
        <f t="shared" si="114"/>
        <v>25.190476190476204</v>
      </c>
      <c r="R666">
        <f t="shared" si="115"/>
        <v>1060.0009333999999</v>
      </c>
      <c r="S666">
        <f t="shared" si="116"/>
        <v>500.00093340000001</v>
      </c>
      <c r="T666">
        <f t="shared" si="117"/>
        <v>260.00093340000001</v>
      </c>
      <c r="U666">
        <f t="shared" si="118"/>
        <v>300.00093340000001</v>
      </c>
      <c r="V666">
        <f t="shared" si="119"/>
        <v>11.953314352380962</v>
      </c>
      <c r="W666">
        <f t="shared" si="120"/>
        <v>-11.951447552380964</v>
      </c>
    </row>
    <row r="667" spans="1:23" ht="15" customHeight="1" x14ac:dyDescent="0.35">
      <c r="A667" t="str">
        <f>'Raw Data'!B665</f>
        <v>Pilgrims Pride Corp</v>
      </c>
      <c r="B667" t="str">
        <f>'Raw Data'!A665</f>
        <v>ppc</v>
      </c>
      <c r="C667" t="str">
        <f>IF('Raw Data'!E665="N/A","Unclassified",TRIM(SUBSTITUTE('Raw Data'!E665," and "," &amp; ")))</f>
        <v>Food Products</v>
      </c>
      <c r="D667" s="17">
        <f>'Raw Data'!N665</f>
        <v>500</v>
      </c>
      <c r="E667" s="17">
        <f>'Raw Data'!O665</f>
        <v>302</v>
      </c>
      <c r="F667" s="17">
        <f>'Raw Data'!P665</f>
        <v>220</v>
      </c>
      <c r="G667" s="17">
        <f>'Raw Data'!Q665</f>
        <v>1022</v>
      </c>
      <c r="H667" s="18">
        <f>INDEX('Industry Stats'!$F$2:$F$49,MATCH($C667,'Industry Stats'!$A$2:$A$49,0))</f>
        <v>1131.0714285714287</v>
      </c>
      <c r="I667" s="19">
        <f t="shared" si="110"/>
        <v>-109.07142857142867</v>
      </c>
      <c r="J667" s="20">
        <f t="shared" si="111"/>
        <v>-9.6431954531102065E-2</v>
      </c>
      <c r="K667" s="18">
        <f>INDEX('Industry Stats'!$C$2:$C$49,MATCH($C667,'Industry Stats'!$A$2:$A$49,0))</f>
        <v>516.57142857142856</v>
      </c>
      <c r="L667" s="19">
        <f t="shared" si="112"/>
        <v>-16.571428571428555</v>
      </c>
      <c r="M667" s="18">
        <f>INDEX('Industry Stats'!$D$2:$D$49,MATCH($C667,'Industry Stats'!$A$2:$A$49,0))</f>
        <v>311.28571428571428</v>
      </c>
      <c r="N667" s="19">
        <f t="shared" si="113"/>
        <v>-9.2857142857142776</v>
      </c>
      <c r="O667" s="18">
        <f>INDEX('Industry Stats'!$E$2:$E$49,MATCH($C667,'Industry Stats'!$A$2:$A$49,0))</f>
        <v>303.21428571428572</v>
      </c>
      <c r="P667" s="19">
        <f t="shared" si="114"/>
        <v>-83.214285714285722</v>
      </c>
      <c r="R667">
        <f t="shared" si="115"/>
        <v>1022.0009333</v>
      </c>
      <c r="S667">
        <f t="shared" si="116"/>
        <v>500.00093329999999</v>
      </c>
      <c r="T667">
        <f t="shared" si="117"/>
        <v>302.00093329999999</v>
      </c>
      <c r="U667">
        <f t="shared" si="118"/>
        <v>220.00093330000001</v>
      </c>
      <c r="V667">
        <f t="shared" si="119"/>
        <v>-109.07049527142867</v>
      </c>
      <c r="W667">
        <f t="shared" si="120"/>
        <v>109.07236187142867</v>
      </c>
    </row>
    <row r="668" spans="1:23" ht="15" customHeight="1" x14ac:dyDescent="0.35">
      <c r="A668" t="str">
        <f>'Raw Data'!B666</f>
        <v>PRA Group Inc</v>
      </c>
      <c r="B668" t="str">
        <f>'Raw Data'!A666</f>
        <v>praa</v>
      </c>
      <c r="C668" t="str">
        <f>IF('Raw Data'!E666="N/A","Unclassified",TRIM(SUBSTITUTE('Raw Data'!E666," and "," &amp; ")))</f>
        <v>Financial Services</v>
      </c>
      <c r="D668" s="17">
        <f>'Raw Data'!N666</f>
        <v>473</v>
      </c>
      <c r="E668" s="17">
        <f>'Raw Data'!O666</f>
        <v>321</v>
      </c>
      <c r="F668" s="17">
        <f>'Raw Data'!P666</f>
        <v>310</v>
      </c>
      <c r="G668" s="17">
        <f>'Raw Data'!Q666</f>
        <v>1104</v>
      </c>
      <c r="H668" s="18">
        <f>INDEX('Industry Stats'!$F$2:$F$49,MATCH($C668,'Industry Stats'!$A$2:$A$49,0))</f>
        <v>909.33333333333337</v>
      </c>
      <c r="I668" s="19">
        <f t="shared" si="110"/>
        <v>194.66666666666663</v>
      </c>
      <c r="J668" s="20">
        <f t="shared" si="111"/>
        <v>0.2140762463343108</v>
      </c>
      <c r="K668" s="18">
        <f>INDEX('Industry Stats'!$C$2:$C$49,MATCH($C668,'Industry Stats'!$A$2:$A$49,0))</f>
        <v>367.63636363636363</v>
      </c>
      <c r="L668" s="19">
        <f t="shared" si="112"/>
        <v>105.36363636363637</v>
      </c>
      <c r="M668" s="18">
        <f>INDEX('Industry Stats'!$D$2:$D$49,MATCH($C668,'Industry Stats'!$A$2:$A$49,0))</f>
        <v>276.45454545454544</v>
      </c>
      <c r="N668" s="19">
        <f t="shared" si="113"/>
        <v>44.545454545454561</v>
      </c>
      <c r="O668" s="18">
        <f>INDEX('Industry Stats'!$E$2:$E$49,MATCH($C668,'Industry Stats'!$A$2:$A$49,0))</f>
        <v>265.24242424242425</v>
      </c>
      <c r="P668" s="19">
        <f t="shared" si="114"/>
        <v>44.757575757575751</v>
      </c>
      <c r="R668">
        <f t="shared" si="115"/>
        <v>1104.0009332</v>
      </c>
      <c r="S668">
        <f t="shared" si="116"/>
        <v>473.00093320000002</v>
      </c>
      <c r="T668">
        <f t="shared" si="117"/>
        <v>321.00093320000002</v>
      </c>
      <c r="U668">
        <f t="shared" si="118"/>
        <v>310.00093320000002</v>
      </c>
      <c r="V668">
        <f t="shared" si="119"/>
        <v>194.66759986666662</v>
      </c>
      <c r="W668">
        <f t="shared" si="120"/>
        <v>-194.66573346666664</v>
      </c>
    </row>
    <row r="669" spans="1:23" ht="15" customHeight="1" x14ac:dyDescent="0.35">
      <c r="A669" t="str">
        <f>'Raw Data'!B667</f>
        <v>Pioneer Power Solutions Inc</v>
      </c>
      <c r="B669" t="str">
        <f>'Raw Data'!A667</f>
        <v>ppsi</v>
      </c>
      <c r="C669" t="str">
        <f>IF('Raw Data'!E667="N/A","Unclassified",TRIM(SUBSTITUTE('Raw Data'!E667," and "," &amp; ")))</f>
        <v>Electrical Equipment</v>
      </c>
      <c r="D669" s="17">
        <f>'Raw Data'!N667</f>
        <v>299</v>
      </c>
      <c r="E669" s="17">
        <f>'Raw Data'!O667</f>
        <v>305</v>
      </c>
      <c r="F669" s="17">
        <f>'Raw Data'!P667</f>
        <v>315</v>
      </c>
      <c r="G669" s="17">
        <f>'Raw Data'!Q667</f>
        <v>919</v>
      </c>
      <c r="H669" s="18">
        <f>INDEX('Industry Stats'!$F$2:$F$49,MATCH($C669,'Industry Stats'!$A$2:$A$49,0))</f>
        <v>933</v>
      </c>
      <c r="I669" s="19">
        <f t="shared" si="110"/>
        <v>-14</v>
      </c>
      <c r="J669" s="20">
        <f t="shared" si="111"/>
        <v>-1.5005359056806002E-2</v>
      </c>
      <c r="K669" s="18">
        <f>INDEX('Industry Stats'!$C$2:$C$49,MATCH($C669,'Industry Stats'!$A$2:$A$49,0))</f>
        <v>381.7037037037037</v>
      </c>
      <c r="L669" s="19">
        <f t="shared" si="112"/>
        <v>-82.703703703703695</v>
      </c>
      <c r="M669" s="18">
        <f>INDEX('Industry Stats'!$D$2:$D$49,MATCH($C669,'Industry Stats'!$A$2:$A$49,0))</f>
        <v>272.11111111111109</v>
      </c>
      <c r="N669" s="19">
        <f t="shared" si="113"/>
        <v>32.888888888888914</v>
      </c>
      <c r="O669" s="18">
        <f>INDEX('Industry Stats'!$E$2:$E$49,MATCH($C669,'Industry Stats'!$A$2:$A$49,0))</f>
        <v>279.18518518518516</v>
      </c>
      <c r="P669" s="19">
        <f t="shared" si="114"/>
        <v>35.814814814814838</v>
      </c>
      <c r="R669">
        <f t="shared" si="115"/>
        <v>919.0009331</v>
      </c>
      <c r="S669">
        <f t="shared" si="116"/>
        <v>299.0009331</v>
      </c>
      <c r="T669">
        <f t="shared" si="117"/>
        <v>305.0009331</v>
      </c>
      <c r="U669">
        <f t="shared" si="118"/>
        <v>315.0009331</v>
      </c>
      <c r="V669">
        <f t="shared" si="119"/>
        <v>-13.999066900000001</v>
      </c>
      <c r="W669">
        <f t="shared" si="120"/>
        <v>14.000933099999999</v>
      </c>
    </row>
    <row r="670" spans="1:23" ht="15" customHeight="1" x14ac:dyDescent="0.35">
      <c r="A670" t="str">
        <f>'Raw Data'!B668</f>
        <v>Praxis Precision Medicines Inc</v>
      </c>
      <c r="B670" t="str">
        <f>'Raw Data'!A668</f>
        <v>prax</v>
      </c>
      <c r="C670" t="str">
        <f>IF('Raw Data'!E668="N/A","Unclassified",TRIM(SUBSTITUTE('Raw Data'!E668," and "," &amp; ")))</f>
        <v>Biotechnology</v>
      </c>
      <c r="D670" s="17">
        <f>'Raw Data'!N668</f>
        <v>200</v>
      </c>
      <c r="E670" s="17">
        <f>'Raw Data'!O668</f>
        <v>215</v>
      </c>
      <c r="F670" s="17">
        <f>'Raw Data'!P668</f>
        <v>215</v>
      </c>
      <c r="G670" s="17">
        <f>'Raw Data'!Q668</f>
        <v>630</v>
      </c>
      <c r="H670" s="18">
        <f>INDEX('Industry Stats'!$F$2:$F$49,MATCH($C670,'Industry Stats'!$A$2:$A$49,0))</f>
        <v>866.91071428571433</v>
      </c>
      <c r="I670" s="19">
        <f t="shared" si="110"/>
        <v>-236.91071428571433</v>
      </c>
      <c r="J670" s="20">
        <f t="shared" si="111"/>
        <v>-0.27328156219745819</v>
      </c>
      <c r="K670" s="18">
        <f>INDEX('Industry Stats'!$C$2:$C$49,MATCH($C670,'Industry Stats'!$A$2:$A$49,0))</f>
        <v>306.53571428571428</v>
      </c>
      <c r="L670" s="19">
        <f t="shared" si="112"/>
        <v>-106.53571428571428</v>
      </c>
      <c r="M670" s="18">
        <f>INDEX('Industry Stats'!$D$2:$D$49,MATCH($C670,'Industry Stats'!$A$2:$A$49,0))</f>
        <v>268.85714285714283</v>
      </c>
      <c r="N670" s="19">
        <f t="shared" si="113"/>
        <v>-53.857142857142833</v>
      </c>
      <c r="O670" s="18">
        <f>INDEX('Industry Stats'!$E$2:$E$49,MATCH($C670,'Industry Stats'!$A$2:$A$49,0))</f>
        <v>291.51785714285717</v>
      </c>
      <c r="P670" s="19">
        <f t="shared" si="114"/>
        <v>-76.517857142857167</v>
      </c>
      <c r="R670">
        <f t="shared" si="115"/>
        <v>630.00093300000003</v>
      </c>
      <c r="S670">
        <f t="shared" si="116"/>
        <v>200.000933</v>
      </c>
      <c r="T670">
        <f t="shared" si="117"/>
        <v>215.000933</v>
      </c>
      <c r="U670">
        <f t="shared" si="118"/>
        <v>215.000933</v>
      </c>
      <c r="V670">
        <f t="shared" si="119"/>
        <v>-236.90978128571433</v>
      </c>
      <c r="W670">
        <f t="shared" si="120"/>
        <v>236.91164728571434</v>
      </c>
    </row>
    <row r="671" spans="1:23" ht="15" customHeight="1" x14ac:dyDescent="0.35">
      <c r="A671" t="str">
        <f>'Raw Data'!B669</f>
        <v>Procept Biorobotics Corp</v>
      </c>
      <c r="B671" t="str">
        <f>'Raw Data'!A669</f>
        <v>prct</v>
      </c>
      <c r="C671" t="str">
        <f>IF('Raw Data'!E669="N/A","Unclassified",TRIM(SUBSTITUTE('Raw Data'!E669," and "," &amp; ")))</f>
        <v>Health Care</v>
      </c>
      <c r="D671" s="17">
        <f>'Raw Data'!N669</f>
        <v>200</v>
      </c>
      <c r="E671" s="17">
        <f>'Raw Data'!O669</f>
        <v>224</v>
      </c>
      <c r="F671" s="17">
        <f>'Raw Data'!P669</f>
        <v>300</v>
      </c>
      <c r="G671" s="17">
        <f>'Raw Data'!Q669</f>
        <v>724</v>
      </c>
      <c r="H671" s="18">
        <f>INDEX('Industry Stats'!$F$2:$F$49,MATCH($C671,'Industry Stats'!$A$2:$A$49,0))</f>
        <v>938.76470588235293</v>
      </c>
      <c r="I671" s="19">
        <f t="shared" si="110"/>
        <v>-214.76470588235293</v>
      </c>
      <c r="J671" s="20">
        <f t="shared" si="111"/>
        <v>-0.22877373269001816</v>
      </c>
      <c r="K671" s="18">
        <f>INDEX('Industry Stats'!$C$2:$C$49,MATCH($C671,'Industry Stats'!$A$2:$A$49,0))</f>
        <v>374.52941176470586</v>
      </c>
      <c r="L671" s="19">
        <f t="shared" si="112"/>
        <v>-174.52941176470586</v>
      </c>
      <c r="M671" s="18">
        <f>INDEX('Industry Stats'!$D$2:$D$49,MATCH($C671,'Industry Stats'!$A$2:$A$49,0))</f>
        <v>287.43137254901961</v>
      </c>
      <c r="N671" s="19">
        <f t="shared" si="113"/>
        <v>-63.431372549019613</v>
      </c>
      <c r="O671" s="18">
        <f>INDEX('Industry Stats'!$E$2:$E$49,MATCH($C671,'Industry Stats'!$A$2:$A$49,0))</f>
        <v>276.80392156862746</v>
      </c>
      <c r="P671" s="19">
        <f t="shared" si="114"/>
        <v>23.196078431372541</v>
      </c>
      <c r="R671">
        <f t="shared" si="115"/>
        <v>724.00093289999995</v>
      </c>
      <c r="S671">
        <f t="shared" si="116"/>
        <v>200.00093290000001</v>
      </c>
      <c r="T671">
        <f t="shared" si="117"/>
        <v>224.00093290000001</v>
      </c>
      <c r="U671">
        <f t="shared" si="118"/>
        <v>300.00093290000001</v>
      </c>
      <c r="V671">
        <f t="shared" si="119"/>
        <v>-214.76377298235292</v>
      </c>
      <c r="W671">
        <f t="shared" si="120"/>
        <v>214.76563878235294</v>
      </c>
    </row>
    <row r="672" spans="1:23" ht="15" customHeight="1" x14ac:dyDescent="0.35">
      <c r="A672" t="str">
        <f>'Raw Data'!B670</f>
        <v>Porch Group Inc</v>
      </c>
      <c r="B672" t="str">
        <f>'Raw Data'!A670</f>
        <v>prch</v>
      </c>
      <c r="C672" t="str">
        <f>IF('Raw Data'!E670="N/A","Unclassified",TRIM(SUBSTITUTE('Raw Data'!E670," and "," &amp; ")))</f>
        <v>Retail</v>
      </c>
      <c r="D672" s="17">
        <f>'Raw Data'!N670</f>
        <v>225</v>
      </c>
      <c r="E672" s="17">
        <f>'Raw Data'!O670</f>
        <v>227</v>
      </c>
      <c r="F672" s="17">
        <f>'Raw Data'!P670</f>
        <v>215</v>
      </c>
      <c r="G672" s="17">
        <f>'Raw Data'!Q670</f>
        <v>667</v>
      </c>
      <c r="H672" s="18">
        <f>INDEX('Industry Stats'!$F$2:$F$49,MATCH($C672,'Industry Stats'!$A$2:$A$49,0))</f>
        <v>918.57692307692309</v>
      </c>
      <c r="I672" s="19">
        <f t="shared" si="110"/>
        <v>-251.57692307692309</v>
      </c>
      <c r="J672" s="20">
        <f t="shared" si="111"/>
        <v>-0.2738768161453754</v>
      </c>
      <c r="K672" s="18">
        <f>INDEX('Industry Stats'!$C$2:$C$49,MATCH($C672,'Industry Stats'!$A$2:$A$49,0))</f>
        <v>380.30769230769232</v>
      </c>
      <c r="L672" s="19">
        <f t="shared" si="112"/>
        <v>-155.30769230769232</v>
      </c>
      <c r="M672" s="18">
        <f>INDEX('Industry Stats'!$D$2:$D$49,MATCH($C672,'Industry Stats'!$A$2:$A$49,0))</f>
        <v>274.96153846153845</v>
      </c>
      <c r="N672" s="19">
        <f t="shared" si="113"/>
        <v>-47.961538461538453</v>
      </c>
      <c r="O672" s="18">
        <f>INDEX('Industry Stats'!$E$2:$E$49,MATCH($C672,'Industry Stats'!$A$2:$A$49,0))</f>
        <v>263.30769230769232</v>
      </c>
      <c r="P672" s="19">
        <f t="shared" si="114"/>
        <v>-48.307692307692321</v>
      </c>
      <c r="R672">
        <f t="shared" si="115"/>
        <v>667.00093279999999</v>
      </c>
      <c r="S672">
        <f t="shared" si="116"/>
        <v>225.00093279999999</v>
      </c>
      <c r="T672">
        <f t="shared" si="117"/>
        <v>227.00093279999999</v>
      </c>
      <c r="U672">
        <f t="shared" si="118"/>
        <v>215.00093279999999</v>
      </c>
      <c r="V672">
        <f t="shared" si="119"/>
        <v>-251.57599027692311</v>
      </c>
      <c r="W672">
        <f t="shared" si="120"/>
        <v>251.57785587692308</v>
      </c>
    </row>
    <row r="673" spans="1:23" ht="15" customHeight="1" x14ac:dyDescent="0.35">
      <c r="A673" t="str">
        <f>'Raw Data'!B671</f>
        <v>Artisan Acquisition Corp</v>
      </c>
      <c r="B673" t="str">
        <f>'Raw Data'!A671</f>
        <v>pre</v>
      </c>
      <c r="C673" t="str">
        <f>IF('Raw Data'!E671="N/A","Unclassified",TRIM(SUBSTITUTE('Raw Data'!E671," and "," &amp; ")))</f>
        <v>Unclassified</v>
      </c>
      <c r="D673" s="17">
        <f>'Raw Data'!N671</f>
        <v>245</v>
      </c>
      <c r="E673" s="17">
        <f>'Raw Data'!O671</f>
        <v>203</v>
      </c>
      <c r="F673" s="17">
        <f>'Raw Data'!P671</f>
        <v>265</v>
      </c>
      <c r="G673" s="17">
        <f>'Raw Data'!Q671</f>
        <v>713</v>
      </c>
      <c r="H673" s="18">
        <f>INDEX('Industry Stats'!$F$2:$F$49,MATCH($C673,'Industry Stats'!$A$2:$A$49,0))</f>
        <v>709.30769230769226</v>
      </c>
      <c r="I673" s="19">
        <f t="shared" si="110"/>
        <v>3.692307692307736</v>
      </c>
      <c r="J673" s="20">
        <f t="shared" si="111"/>
        <v>5.2055091638651529E-3</v>
      </c>
      <c r="K673" s="18">
        <f>INDEX('Industry Stats'!$C$2:$C$49,MATCH($C673,'Industry Stats'!$A$2:$A$49,0))</f>
        <v>215.38461538461539</v>
      </c>
      <c r="L673" s="19">
        <f t="shared" si="112"/>
        <v>29.615384615384613</v>
      </c>
      <c r="M673" s="18">
        <f>INDEX('Industry Stats'!$D$2:$D$49,MATCH($C673,'Industry Stats'!$A$2:$A$49,0))</f>
        <v>231.15384615384616</v>
      </c>
      <c r="N673" s="19">
        <f t="shared" si="113"/>
        <v>-28.15384615384616</v>
      </c>
      <c r="O673" s="18">
        <f>INDEX('Industry Stats'!$E$2:$E$49,MATCH($C673,'Industry Stats'!$A$2:$A$49,0))</f>
        <v>262.76923076923077</v>
      </c>
      <c r="P673" s="19">
        <f t="shared" si="114"/>
        <v>2.2307692307692264</v>
      </c>
      <c r="R673">
        <f t="shared" si="115"/>
        <v>713.00093270000002</v>
      </c>
      <c r="S673">
        <f t="shared" si="116"/>
        <v>245.00093269999999</v>
      </c>
      <c r="T673">
        <f t="shared" si="117"/>
        <v>203.00093269999999</v>
      </c>
      <c r="U673">
        <f t="shared" si="118"/>
        <v>265.00093270000002</v>
      </c>
      <c r="V673">
        <f t="shared" si="119"/>
        <v>3.6932403923077359</v>
      </c>
      <c r="W673">
        <f t="shared" si="120"/>
        <v>-3.6913749923077361</v>
      </c>
    </row>
    <row r="674" spans="1:23" ht="15" customHeight="1" x14ac:dyDescent="0.35">
      <c r="A674" t="str">
        <f>'Raw Data'!B672</f>
        <v>Perdoceo Education Corp</v>
      </c>
      <c r="B674" t="str">
        <f>'Raw Data'!A672</f>
        <v>prdo</v>
      </c>
      <c r="C674" t="str">
        <f>IF('Raw Data'!E672="N/A","Unclassified",TRIM(SUBSTITUTE('Raw Data'!E672," and "," &amp; ")))</f>
        <v>Diversified Consumer Services</v>
      </c>
      <c r="D674" s="17">
        <f>'Raw Data'!N672</f>
        <v>365</v>
      </c>
      <c r="E674" s="17">
        <f>'Raw Data'!O672</f>
        <v>297</v>
      </c>
      <c r="F674" s="17">
        <f>'Raw Data'!P672</f>
        <v>250</v>
      </c>
      <c r="G674" s="17">
        <f>'Raw Data'!Q672</f>
        <v>912</v>
      </c>
      <c r="H674" s="18">
        <f>INDEX('Industry Stats'!$F$2:$F$49,MATCH($C674,'Industry Stats'!$A$2:$A$49,0))</f>
        <v>739.33333333333337</v>
      </c>
      <c r="I674" s="19">
        <f t="shared" si="110"/>
        <v>172.66666666666663</v>
      </c>
      <c r="J674" s="20">
        <f t="shared" si="111"/>
        <v>0.2335437330928764</v>
      </c>
      <c r="K674" s="18">
        <f>INDEX('Industry Stats'!$C$2:$C$49,MATCH($C674,'Industry Stats'!$A$2:$A$49,0))</f>
        <v>286</v>
      </c>
      <c r="L674" s="19">
        <f t="shared" si="112"/>
        <v>79</v>
      </c>
      <c r="M674" s="18">
        <f>INDEX('Industry Stats'!$D$2:$D$49,MATCH($C674,'Industry Stats'!$A$2:$A$49,0))</f>
        <v>233.33333333333334</v>
      </c>
      <c r="N674" s="19">
        <f t="shared" si="113"/>
        <v>63.666666666666657</v>
      </c>
      <c r="O674" s="18">
        <f>INDEX('Industry Stats'!$E$2:$E$49,MATCH($C674,'Industry Stats'!$A$2:$A$49,0))</f>
        <v>220</v>
      </c>
      <c r="P674" s="19">
        <f t="shared" si="114"/>
        <v>30</v>
      </c>
      <c r="R674">
        <f t="shared" si="115"/>
        <v>912.00093260000006</v>
      </c>
      <c r="S674">
        <f t="shared" si="116"/>
        <v>365.0009326</v>
      </c>
      <c r="T674">
        <f t="shared" si="117"/>
        <v>297.0009326</v>
      </c>
      <c r="U674">
        <f t="shared" si="118"/>
        <v>250.0009326</v>
      </c>
      <c r="V674">
        <f t="shared" si="119"/>
        <v>172.66759926666663</v>
      </c>
      <c r="W674">
        <f t="shared" si="120"/>
        <v>-172.66573406666663</v>
      </c>
    </row>
    <row r="675" spans="1:23" ht="15" customHeight="1" x14ac:dyDescent="0.35">
      <c r="A675" t="str">
        <f>'Raw Data'!B673</f>
        <v>Shineco Inc</v>
      </c>
      <c r="B675" t="str">
        <f>'Raw Data'!A673</f>
        <v>sisi</v>
      </c>
      <c r="C675" t="str">
        <f>IF('Raw Data'!E673="N/A","Unclassified",TRIM(SUBSTITUTE('Raw Data'!E673," and "," &amp; ")))</f>
        <v>Consumer products</v>
      </c>
      <c r="D675" s="17">
        <f>'Raw Data'!N673</f>
        <v>340</v>
      </c>
      <c r="E675" s="17">
        <f>'Raw Data'!O673</f>
        <v>346</v>
      </c>
      <c r="F675" s="17">
        <f>'Raw Data'!P673</f>
        <v>305</v>
      </c>
      <c r="G675" s="17">
        <f>'Raw Data'!Q673</f>
        <v>991</v>
      </c>
      <c r="H675" s="18">
        <f>INDEX('Industry Stats'!$F$2:$F$49,MATCH($C675,'Industry Stats'!$A$2:$A$49,0))</f>
        <v>945.55</v>
      </c>
      <c r="I675" s="19">
        <f t="shared" si="110"/>
        <v>45.450000000000045</v>
      </c>
      <c r="J675" s="20">
        <f t="shared" si="111"/>
        <v>4.8067262439849871E-2</v>
      </c>
      <c r="K675" s="18">
        <f>INDEX('Industry Stats'!$C$2:$C$49,MATCH($C675,'Industry Stats'!$A$2:$A$49,0))</f>
        <v>384.9</v>
      </c>
      <c r="L675" s="19">
        <f t="shared" si="112"/>
        <v>-44.899999999999977</v>
      </c>
      <c r="M675" s="18">
        <f>INDEX('Industry Stats'!$D$2:$D$49,MATCH($C675,'Industry Stats'!$A$2:$A$49,0))</f>
        <v>285.7</v>
      </c>
      <c r="N675" s="19">
        <f t="shared" si="113"/>
        <v>60.300000000000011</v>
      </c>
      <c r="O675" s="18">
        <f>INDEX('Industry Stats'!$E$2:$E$49,MATCH($C675,'Industry Stats'!$A$2:$A$49,0))</f>
        <v>274.95</v>
      </c>
      <c r="P675" s="19">
        <f t="shared" si="114"/>
        <v>30.050000000000011</v>
      </c>
      <c r="R675">
        <f t="shared" si="115"/>
        <v>991.00093249999998</v>
      </c>
      <c r="S675">
        <f t="shared" si="116"/>
        <v>340.00093249999998</v>
      </c>
      <c r="T675">
        <f t="shared" si="117"/>
        <v>346.00093249999998</v>
      </c>
      <c r="U675">
        <f t="shared" si="118"/>
        <v>305.00093249999998</v>
      </c>
      <c r="V675">
        <f t="shared" si="119"/>
        <v>45.450932500000043</v>
      </c>
      <c r="W675">
        <f t="shared" si="120"/>
        <v>-45.449067500000048</v>
      </c>
    </row>
    <row r="676" spans="1:23" ht="15" customHeight="1" x14ac:dyDescent="0.35">
      <c r="A676" t="str">
        <f>'Raw Data'!B674</f>
        <v>SiTime Corp</v>
      </c>
      <c r="B676" t="str">
        <f>'Raw Data'!A674</f>
        <v>sitm</v>
      </c>
      <c r="C676" t="str">
        <f>IF('Raw Data'!E674="N/A","Unclassified",TRIM(SUBSTITUTE('Raw Data'!E674," and "," &amp; ")))</f>
        <v>Semiconductors</v>
      </c>
      <c r="D676" s="17">
        <f>'Raw Data'!N674</f>
        <v>505</v>
      </c>
      <c r="E676" s="17">
        <f>'Raw Data'!O674</f>
        <v>304</v>
      </c>
      <c r="F676" s="17">
        <f>'Raw Data'!P674</f>
        <v>300</v>
      </c>
      <c r="G676" s="17">
        <f>'Raw Data'!Q674</f>
        <v>1109</v>
      </c>
      <c r="H676" s="18">
        <f>INDEX('Industry Stats'!$F$2:$F$49,MATCH($C676,'Industry Stats'!$A$2:$A$49,0))</f>
        <v>1030.5833333333333</v>
      </c>
      <c r="I676" s="19">
        <f t="shared" si="110"/>
        <v>78.416666666666742</v>
      </c>
      <c r="J676" s="20">
        <f t="shared" si="111"/>
        <v>7.6089593272418612E-2</v>
      </c>
      <c r="K676" s="18">
        <f>INDEX('Industry Stats'!$C$2:$C$49,MATCH($C676,'Industry Stats'!$A$2:$A$49,0))</f>
        <v>448.45833333333331</v>
      </c>
      <c r="L676" s="19">
        <f t="shared" si="112"/>
        <v>56.541666666666686</v>
      </c>
      <c r="M676" s="18">
        <f>INDEX('Industry Stats'!$D$2:$D$49,MATCH($C676,'Industry Stats'!$A$2:$A$49,0))</f>
        <v>296.70833333333331</v>
      </c>
      <c r="N676" s="19">
        <f t="shared" si="113"/>
        <v>7.2916666666666856</v>
      </c>
      <c r="O676" s="18">
        <f>INDEX('Industry Stats'!$E$2:$E$49,MATCH($C676,'Industry Stats'!$A$2:$A$49,0))</f>
        <v>285.41666666666669</v>
      </c>
      <c r="P676" s="19">
        <f t="shared" si="114"/>
        <v>14.583333333333314</v>
      </c>
      <c r="R676">
        <f t="shared" si="115"/>
        <v>1109.0009324</v>
      </c>
      <c r="S676">
        <f t="shared" si="116"/>
        <v>505.00093240000001</v>
      </c>
      <c r="T676">
        <f t="shared" si="117"/>
        <v>304.00093240000001</v>
      </c>
      <c r="U676">
        <f t="shared" si="118"/>
        <v>300.00093240000001</v>
      </c>
      <c r="V676">
        <f t="shared" si="119"/>
        <v>78.417599066666739</v>
      </c>
      <c r="W676">
        <f t="shared" si="120"/>
        <v>-78.415734266666746</v>
      </c>
    </row>
    <row r="677" spans="1:23" ht="15" customHeight="1" x14ac:dyDescent="0.35">
      <c r="A677" t="str">
        <f>'Raw Data'!B675</f>
        <v>Sirius XM Holdings Inc</v>
      </c>
      <c r="B677" t="str">
        <f>'Raw Data'!A675</f>
        <v>siri</v>
      </c>
      <c r="C677" t="str">
        <f>IF('Raw Data'!E675="N/A","Unclassified",TRIM(SUBSTITUTE('Raw Data'!E675," and "," &amp; ")))</f>
        <v>Media</v>
      </c>
      <c r="D677" s="17">
        <f>'Raw Data'!N675</f>
        <v>240</v>
      </c>
      <c r="E677" s="17">
        <f>'Raw Data'!O675</f>
        <v>302</v>
      </c>
      <c r="F677" s="17">
        <f>'Raw Data'!P675</f>
        <v>205</v>
      </c>
      <c r="G677" s="17">
        <f>'Raw Data'!Q675</f>
        <v>747</v>
      </c>
      <c r="H677" s="18">
        <f>INDEX('Industry Stats'!$F$2:$F$49,MATCH($C677,'Industry Stats'!$A$2:$A$49,0))</f>
        <v>935.26086956521738</v>
      </c>
      <c r="I677" s="19">
        <f t="shared" si="110"/>
        <v>-188.26086956521738</v>
      </c>
      <c r="J677" s="20">
        <f t="shared" si="111"/>
        <v>-0.20129236204732462</v>
      </c>
      <c r="K677" s="18">
        <f>INDEX('Industry Stats'!$C$2:$C$49,MATCH($C677,'Industry Stats'!$A$2:$A$49,0))</f>
        <v>346.91304347826087</v>
      </c>
      <c r="L677" s="19">
        <f t="shared" si="112"/>
        <v>-106.91304347826087</v>
      </c>
      <c r="M677" s="18">
        <f>INDEX('Industry Stats'!$D$2:$D$49,MATCH($C677,'Industry Stats'!$A$2:$A$49,0))</f>
        <v>313</v>
      </c>
      <c r="N677" s="19">
        <f t="shared" si="113"/>
        <v>-11</v>
      </c>
      <c r="O677" s="18">
        <f>INDEX('Industry Stats'!$E$2:$E$49,MATCH($C677,'Industry Stats'!$A$2:$A$49,0))</f>
        <v>275.3478260869565</v>
      </c>
      <c r="P677" s="19">
        <f t="shared" si="114"/>
        <v>-70.347826086956502</v>
      </c>
      <c r="R677">
        <f t="shared" si="115"/>
        <v>747.00093230000004</v>
      </c>
      <c r="S677">
        <f t="shared" si="116"/>
        <v>240.00093229999999</v>
      </c>
      <c r="T677">
        <f t="shared" si="117"/>
        <v>302.00093229999999</v>
      </c>
      <c r="U677">
        <f t="shared" si="118"/>
        <v>205.00093229999999</v>
      </c>
      <c r="V677">
        <f t="shared" si="119"/>
        <v>-188.25993726521739</v>
      </c>
      <c r="W677">
        <f t="shared" si="120"/>
        <v>188.26180186521736</v>
      </c>
    </row>
    <row r="678" spans="1:23" ht="15" customHeight="1" x14ac:dyDescent="0.35">
      <c r="A678" t="str">
        <f>'Raw Data'!B676</f>
        <v>Scienjoy Holding Corp</v>
      </c>
      <c r="B678" t="str">
        <f>'Raw Data'!A676</f>
        <v>sj</v>
      </c>
      <c r="C678" t="str">
        <f>IF('Raw Data'!E676="N/A","Unclassified",TRIM(SUBSTITUTE('Raw Data'!E676," and "," &amp; ")))</f>
        <v>Media</v>
      </c>
      <c r="D678" s="17">
        <f>'Raw Data'!N676</f>
        <v>260</v>
      </c>
      <c r="E678" s="17">
        <f>'Raw Data'!O676</f>
        <v>320</v>
      </c>
      <c r="F678" s="17">
        <f>'Raw Data'!P676</f>
        <v>240</v>
      </c>
      <c r="G678" s="17">
        <f>'Raw Data'!Q676</f>
        <v>820</v>
      </c>
      <c r="H678" s="18">
        <f>INDEX('Industry Stats'!$F$2:$F$49,MATCH($C678,'Industry Stats'!$A$2:$A$49,0))</f>
        <v>935.26086956521738</v>
      </c>
      <c r="I678" s="19">
        <f t="shared" si="110"/>
        <v>-115.26086956521738</v>
      </c>
      <c r="J678" s="20">
        <f t="shared" si="111"/>
        <v>-0.12323927293012876</v>
      </c>
      <c r="K678" s="18">
        <f>INDEX('Industry Stats'!$C$2:$C$49,MATCH($C678,'Industry Stats'!$A$2:$A$49,0))</f>
        <v>346.91304347826087</v>
      </c>
      <c r="L678" s="19">
        <f t="shared" si="112"/>
        <v>-86.913043478260875</v>
      </c>
      <c r="M678" s="18">
        <f>INDEX('Industry Stats'!$D$2:$D$49,MATCH($C678,'Industry Stats'!$A$2:$A$49,0))</f>
        <v>313</v>
      </c>
      <c r="N678" s="19">
        <f t="shared" si="113"/>
        <v>7</v>
      </c>
      <c r="O678" s="18">
        <f>INDEX('Industry Stats'!$E$2:$E$49,MATCH($C678,'Industry Stats'!$A$2:$A$49,0))</f>
        <v>275.3478260869565</v>
      </c>
      <c r="P678" s="19">
        <f t="shared" si="114"/>
        <v>-35.347826086956502</v>
      </c>
      <c r="R678">
        <f t="shared" si="115"/>
        <v>820.00093219999997</v>
      </c>
      <c r="S678">
        <f t="shared" si="116"/>
        <v>260.00093220000002</v>
      </c>
      <c r="T678">
        <f t="shared" si="117"/>
        <v>320.00093220000002</v>
      </c>
      <c r="U678">
        <f t="shared" si="118"/>
        <v>240.00093219999999</v>
      </c>
      <c r="V678">
        <f t="shared" si="119"/>
        <v>-115.25993736521738</v>
      </c>
      <c r="W678">
        <f t="shared" si="120"/>
        <v>115.26180176521737</v>
      </c>
    </row>
    <row r="679" spans="1:23" ht="15" customHeight="1" x14ac:dyDescent="0.35">
      <c r="A679" t="str">
        <f>'Raw Data'!B677</f>
        <v>Powered Brands</v>
      </c>
      <c r="B679" t="str">
        <f>'Raw Data'!A677</f>
        <v>pow</v>
      </c>
      <c r="C679" t="str">
        <f>IF('Raw Data'!E677="N/A","Unclassified",TRIM(SUBSTITUTE('Raw Data'!E677," and "," &amp; ")))</f>
        <v>Unclassified</v>
      </c>
      <c r="D679" s="17">
        <f>'Raw Data'!N677</f>
        <v>235</v>
      </c>
      <c r="E679" s="17">
        <f>'Raw Data'!O677</f>
        <v>231</v>
      </c>
      <c r="F679" s="17">
        <f>'Raw Data'!P677</f>
        <v>250</v>
      </c>
      <c r="G679" s="17">
        <f>'Raw Data'!Q677</f>
        <v>716</v>
      </c>
      <c r="H679" s="18">
        <f>INDEX('Industry Stats'!$F$2:$F$49,MATCH($C679,'Industry Stats'!$A$2:$A$49,0))</f>
        <v>709.30769230769226</v>
      </c>
      <c r="I679" s="19">
        <f t="shared" si="110"/>
        <v>6.692307692307736</v>
      </c>
      <c r="J679" s="20">
        <f t="shared" si="111"/>
        <v>9.4349853595055381E-3</v>
      </c>
      <c r="K679" s="18">
        <f>INDEX('Industry Stats'!$C$2:$C$49,MATCH($C679,'Industry Stats'!$A$2:$A$49,0))</f>
        <v>215.38461538461539</v>
      </c>
      <c r="L679" s="19">
        <f t="shared" si="112"/>
        <v>19.615384615384613</v>
      </c>
      <c r="M679" s="18">
        <f>INDEX('Industry Stats'!$D$2:$D$49,MATCH($C679,'Industry Stats'!$A$2:$A$49,0))</f>
        <v>231.15384615384616</v>
      </c>
      <c r="N679" s="19">
        <f t="shared" si="113"/>
        <v>-0.15384615384616041</v>
      </c>
      <c r="O679" s="18">
        <f>INDEX('Industry Stats'!$E$2:$E$49,MATCH($C679,'Industry Stats'!$A$2:$A$49,0))</f>
        <v>262.76923076923077</v>
      </c>
      <c r="P679" s="19">
        <f t="shared" si="114"/>
        <v>-12.769230769230774</v>
      </c>
      <c r="R679">
        <f t="shared" si="115"/>
        <v>716.0009321</v>
      </c>
      <c r="S679">
        <f t="shared" si="116"/>
        <v>235.0009321</v>
      </c>
      <c r="T679">
        <f t="shared" si="117"/>
        <v>231.0009321</v>
      </c>
      <c r="U679">
        <f t="shared" si="118"/>
        <v>250.0009321</v>
      </c>
      <c r="V679">
        <f t="shared" si="119"/>
        <v>6.693239792307736</v>
      </c>
      <c r="W679">
        <f t="shared" si="120"/>
        <v>-6.691375592307736</v>
      </c>
    </row>
    <row r="680" spans="1:23" ht="15" customHeight="1" x14ac:dyDescent="0.35">
      <c r="A680" t="str">
        <f>'Raw Data'!B678</f>
        <v>Powell Industries Inc</v>
      </c>
      <c r="B680" t="str">
        <f>'Raw Data'!A678</f>
        <v>powl</v>
      </c>
      <c r="C680" t="str">
        <f>IF('Raw Data'!E678="N/A","Unclassified",TRIM(SUBSTITUTE('Raw Data'!E678," and "," &amp; ")))</f>
        <v>Electrical Equipment</v>
      </c>
      <c r="D680" s="17">
        <f>'Raw Data'!N678</f>
        <v>500</v>
      </c>
      <c r="E680" s="17">
        <f>'Raw Data'!O678</f>
        <v>240</v>
      </c>
      <c r="F680" s="17">
        <f>'Raw Data'!P678</f>
        <v>215</v>
      </c>
      <c r="G680" s="17">
        <f>'Raw Data'!Q678</f>
        <v>955</v>
      </c>
      <c r="H680" s="18">
        <f>INDEX('Industry Stats'!$F$2:$F$49,MATCH($C680,'Industry Stats'!$A$2:$A$49,0))</f>
        <v>933</v>
      </c>
      <c r="I680" s="19">
        <f t="shared" si="110"/>
        <v>22</v>
      </c>
      <c r="J680" s="20">
        <f t="shared" si="111"/>
        <v>2.3579849946409433E-2</v>
      </c>
      <c r="K680" s="18">
        <f>INDEX('Industry Stats'!$C$2:$C$49,MATCH($C680,'Industry Stats'!$A$2:$A$49,0))</f>
        <v>381.7037037037037</v>
      </c>
      <c r="L680" s="19">
        <f t="shared" si="112"/>
        <v>118.2962962962963</v>
      </c>
      <c r="M680" s="18">
        <f>INDEX('Industry Stats'!$D$2:$D$49,MATCH($C680,'Industry Stats'!$A$2:$A$49,0))</f>
        <v>272.11111111111109</v>
      </c>
      <c r="N680" s="19">
        <f t="shared" si="113"/>
        <v>-32.111111111111086</v>
      </c>
      <c r="O680" s="18">
        <f>INDEX('Industry Stats'!$E$2:$E$49,MATCH($C680,'Industry Stats'!$A$2:$A$49,0))</f>
        <v>279.18518518518516</v>
      </c>
      <c r="P680" s="19">
        <f t="shared" si="114"/>
        <v>-64.185185185185162</v>
      </c>
      <c r="R680">
        <f t="shared" si="115"/>
        <v>955.00093200000003</v>
      </c>
      <c r="S680">
        <f t="shared" si="116"/>
        <v>500.00093199999998</v>
      </c>
      <c r="T680">
        <f t="shared" si="117"/>
        <v>240.00093200000001</v>
      </c>
      <c r="U680">
        <f t="shared" si="118"/>
        <v>215.00093200000001</v>
      </c>
      <c r="V680">
        <f t="shared" si="119"/>
        <v>22.000931999999999</v>
      </c>
      <c r="W680">
        <f t="shared" si="120"/>
        <v>-21.999068000000001</v>
      </c>
    </row>
    <row r="681" spans="1:23" ht="15" customHeight="1" x14ac:dyDescent="0.35">
      <c r="A681" t="str">
        <f>'Raw Data'!B679</f>
        <v>Upwork Inc</v>
      </c>
      <c r="B681" t="str">
        <f>'Raw Data'!A679</f>
        <v>upwk</v>
      </c>
      <c r="C681" t="str">
        <f>IF('Raw Data'!E679="N/A","Unclassified",TRIM(SUBSTITUTE('Raw Data'!E679," and "," &amp; ")))</f>
        <v>Professional Services</v>
      </c>
      <c r="D681" s="17">
        <f>'Raw Data'!N679</f>
        <v>275</v>
      </c>
      <c r="E681" s="17">
        <f>'Raw Data'!O679</f>
        <v>264</v>
      </c>
      <c r="F681" s="17">
        <f>'Raw Data'!P679</f>
        <v>278</v>
      </c>
      <c r="G681" s="17">
        <f>'Raw Data'!Q679</f>
        <v>817</v>
      </c>
      <c r="H681" s="18">
        <f>INDEX('Industry Stats'!$F$2:$F$49,MATCH($C681,'Industry Stats'!$A$2:$A$49,0))</f>
        <v>1047.8571428571429</v>
      </c>
      <c r="I681" s="19">
        <f t="shared" si="110"/>
        <v>-230.85714285714289</v>
      </c>
      <c r="J681" s="20">
        <f t="shared" si="111"/>
        <v>-0.2203135650988412</v>
      </c>
      <c r="K681" s="18">
        <f>INDEX('Industry Stats'!$C$2:$C$49,MATCH($C681,'Industry Stats'!$A$2:$A$49,0))</f>
        <v>435</v>
      </c>
      <c r="L681" s="19">
        <f t="shared" si="112"/>
        <v>-160</v>
      </c>
      <c r="M681" s="18">
        <f>INDEX('Industry Stats'!$D$2:$D$49,MATCH($C681,'Industry Stats'!$A$2:$A$49,0))</f>
        <v>312.42857142857144</v>
      </c>
      <c r="N681" s="19">
        <f t="shared" si="113"/>
        <v>-48.428571428571445</v>
      </c>
      <c r="O681" s="18">
        <f>INDEX('Industry Stats'!$E$2:$E$49,MATCH($C681,'Industry Stats'!$A$2:$A$49,0))</f>
        <v>300.42857142857144</v>
      </c>
      <c r="P681" s="19">
        <f t="shared" si="114"/>
        <v>-22.428571428571445</v>
      </c>
      <c r="R681">
        <f t="shared" si="115"/>
        <v>817.00093189999996</v>
      </c>
      <c r="S681">
        <f t="shared" si="116"/>
        <v>275.00093190000001</v>
      </c>
      <c r="T681">
        <f t="shared" si="117"/>
        <v>264.00093190000001</v>
      </c>
      <c r="U681">
        <f t="shared" si="118"/>
        <v>278.00093190000001</v>
      </c>
      <c r="V681">
        <f t="shared" si="119"/>
        <v>-230.85621095714288</v>
      </c>
      <c r="W681">
        <f t="shared" si="120"/>
        <v>230.8580747571429</v>
      </c>
    </row>
    <row r="682" spans="1:23" ht="15" customHeight="1" x14ac:dyDescent="0.35">
      <c r="A682" t="str">
        <f>'Raw Data'!B680</f>
        <v>USA Truck Inc</v>
      </c>
      <c r="B682" t="str">
        <f>'Raw Data'!A680</f>
        <v>usak</v>
      </c>
      <c r="C682" t="str">
        <f>IF('Raw Data'!E680="N/A","Unclassified",TRIM(SUBSTITUTE('Raw Data'!E680," and "," &amp; ")))</f>
        <v>Road &amp; Rail</v>
      </c>
      <c r="D682" s="17">
        <f>'Raw Data'!N680</f>
        <v>532</v>
      </c>
      <c r="E682" s="17">
        <f>'Raw Data'!O680</f>
        <v>311</v>
      </c>
      <c r="F682" s="17">
        <f>'Raw Data'!P680</f>
        <v>303</v>
      </c>
      <c r="G682" s="17">
        <f>'Raw Data'!Q680</f>
        <v>1146</v>
      </c>
      <c r="H682" s="18">
        <f>INDEX('Industry Stats'!$F$2:$F$49,MATCH($C682,'Industry Stats'!$A$2:$A$49,0))</f>
        <v>1076.3333333333333</v>
      </c>
      <c r="I682" s="19">
        <f t="shared" si="110"/>
        <v>69.666666666666742</v>
      </c>
      <c r="J682" s="20">
        <f t="shared" si="111"/>
        <v>6.472592133787558E-2</v>
      </c>
      <c r="K682" s="18">
        <f>INDEX('Industry Stats'!$C$2:$C$49,MATCH($C682,'Industry Stats'!$A$2:$A$49,0))</f>
        <v>452.83333333333331</v>
      </c>
      <c r="L682" s="19">
        <f t="shared" si="112"/>
        <v>79.166666666666686</v>
      </c>
      <c r="M682" s="18">
        <f>INDEX('Industry Stats'!$D$2:$D$49,MATCH($C682,'Industry Stats'!$A$2:$A$49,0))</f>
        <v>326.33333333333331</v>
      </c>
      <c r="N682" s="19">
        <f t="shared" si="113"/>
        <v>-15.333333333333314</v>
      </c>
      <c r="O682" s="18">
        <f>INDEX('Industry Stats'!$E$2:$E$49,MATCH($C682,'Industry Stats'!$A$2:$A$49,0))</f>
        <v>297.16666666666669</v>
      </c>
      <c r="P682" s="19">
        <f t="shared" si="114"/>
        <v>5.8333333333333144</v>
      </c>
      <c r="R682">
        <f t="shared" si="115"/>
        <v>1146.0009318</v>
      </c>
      <c r="S682">
        <f t="shared" si="116"/>
        <v>532.00093179999999</v>
      </c>
      <c r="T682">
        <f t="shared" si="117"/>
        <v>311.00093179999999</v>
      </c>
      <c r="U682">
        <f t="shared" si="118"/>
        <v>303.00093179999999</v>
      </c>
      <c r="V682">
        <f t="shared" si="119"/>
        <v>69.667598466666746</v>
      </c>
      <c r="W682">
        <f t="shared" si="120"/>
        <v>-69.665734866666739</v>
      </c>
    </row>
    <row r="683" spans="1:23" ht="15" customHeight="1" x14ac:dyDescent="0.35">
      <c r="A683" t="str">
        <f>'Raw Data'!B681</f>
        <v>US Gold Corp</v>
      </c>
      <c r="B683" t="str">
        <f>'Raw Data'!A681</f>
        <v>usau</v>
      </c>
      <c r="C683" t="str">
        <f>IF('Raw Data'!E681="N/A","Unclassified",TRIM(SUBSTITUTE('Raw Data'!E681," and "," &amp; ")))</f>
        <v>Metals &amp; Mining</v>
      </c>
      <c r="D683" s="17">
        <f>'Raw Data'!N681</f>
        <v>400</v>
      </c>
      <c r="E683" s="17">
        <f>'Raw Data'!O681</f>
        <v>240</v>
      </c>
      <c r="F683" s="17">
        <f>'Raw Data'!P681</f>
        <v>300</v>
      </c>
      <c r="G683" s="17">
        <f>'Raw Data'!Q681</f>
        <v>940</v>
      </c>
      <c r="H683" s="18">
        <f>INDEX('Industry Stats'!$F$2:$F$49,MATCH($C683,'Industry Stats'!$A$2:$A$49,0))</f>
        <v>987</v>
      </c>
      <c r="I683" s="19">
        <f t="shared" si="110"/>
        <v>-47</v>
      </c>
      <c r="J683" s="20">
        <f t="shared" si="111"/>
        <v>-4.7619047619047616E-2</v>
      </c>
      <c r="K683" s="18">
        <f>INDEX('Industry Stats'!$C$2:$C$49,MATCH($C683,'Industry Stats'!$A$2:$A$49,0))</f>
        <v>427.3</v>
      </c>
      <c r="L683" s="19">
        <f t="shared" si="112"/>
        <v>-27.300000000000011</v>
      </c>
      <c r="M683" s="18">
        <f>INDEX('Industry Stats'!$D$2:$D$49,MATCH($C683,'Industry Stats'!$A$2:$A$49,0))</f>
        <v>289.2</v>
      </c>
      <c r="N683" s="19">
        <f t="shared" si="113"/>
        <v>-49.199999999999989</v>
      </c>
      <c r="O683" s="18">
        <f>INDEX('Industry Stats'!$E$2:$E$49,MATCH($C683,'Industry Stats'!$A$2:$A$49,0))</f>
        <v>270.5</v>
      </c>
      <c r="P683" s="19">
        <f t="shared" si="114"/>
        <v>29.5</v>
      </c>
      <c r="R683">
        <f t="shared" si="115"/>
        <v>940.00093170000002</v>
      </c>
      <c r="S683">
        <f t="shared" si="116"/>
        <v>400.00093170000002</v>
      </c>
      <c r="T683">
        <f t="shared" si="117"/>
        <v>240.0009317</v>
      </c>
      <c r="U683">
        <f t="shared" si="118"/>
        <v>300.00093170000002</v>
      </c>
      <c r="V683">
        <f t="shared" si="119"/>
        <v>-46.999068299999998</v>
      </c>
      <c r="W683">
        <f t="shared" si="120"/>
        <v>47.000931700000002</v>
      </c>
    </row>
    <row r="684" spans="1:23" ht="15" customHeight="1" x14ac:dyDescent="0.35">
      <c r="A684" t="str">
        <f>'Raw Data'!B682</f>
        <v>Universal Stainless &amp; Alloy Products Inc</v>
      </c>
      <c r="B684" t="str">
        <f>'Raw Data'!A682</f>
        <v>usap</v>
      </c>
      <c r="C684" t="str">
        <f>IF('Raw Data'!E682="N/A","Unclassified",TRIM(SUBSTITUTE('Raw Data'!E682," and "," &amp; ")))</f>
        <v>Metals &amp; Mining</v>
      </c>
      <c r="D684" s="17">
        <f>'Raw Data'!N682</f>
        <v>238</v>
      </c>
      <c r="E684" s="17">
        <f>'Raw Data'!O682</f>
        <v>231</v>
      </c>
      <c r="F684" s="17">
        <f>'Raw Data'!P682</f>
        <v>200</v>
      </c>
      <c r="G684" s="17">
        <f>'Raw Data'!Q682</f>
        <v>669</v>
      </c>
      <c r="H684" s="18">
        <f>INDEX('Industry Stats'!$F$2:$F$49,MATCH($C684,'Industry Stats'!$A$2:$A$49,0))</f>
        <v>987</v>
      </c>
      <c r="I684" s="19">
        <f t="shared" si="110"/>
        <v>-318</v>
      </c>
      <c r="J684" s="20">
        <f t="shared" si="111"/>
        <v>-0.32218844984802431</v>
      </c>
      <c r="K684" s="18">
        <f>INDEX('Industry Stats'!$C$2:$C$49,MATCH($C684,'Industry Stats'!$A$2:$A$49,0))</f>
        <v>427.3</v>
      </c>
      <c r="L684" s="19">
        <f t="shared" si="112"/>
        <v>-189.3</v>
      </c>
      <c r="M684" s="18">
        <f>INDEX('Industry Stats'!$D$2:$D$49,MATCH($C684,'Industry Stats'!$A$2:$A$49,0))</f>
        <v>289.2</v>
      </c>
      <c r="N684" s="19">
        <f t="shared" si="113"/>
        <v>-58.199999999999989</v>
      </c>
      <c r="O684" s="18">
        <f>INDEX('Industry Stats'!$E$2:$E$49,MATCH($C684,'Industry Stats'!$A$2:$A$49,0))</f>
        <v>270.5</v>
      </c>
      <c r="P684" s="19">
        <f t="shared" si="114"/>
        <v>-70.5</v>
      </c>
      <c r="R684">
        <f t="shared" si="115"/>
        <v>669.00093159999994</v>
      </c>
      <c r="S684">
        <f t="shared" si="116"/>
        <v>238.0009316</v>
      </c>
      <c r="T684">
        <f t="shared" si="117"/>
        <v>231.0009316</v>
      </c>
      <c r="U684">
        <f t="shared" si="118"/>
        <v>200.0009316</v>
      </c>
      <c r="V684">
        <f t="shared" si="119"/>
        <v>-317.9990684</v>
      </c>
      <c r="W684">
        <f t="shared" si="120"/>
        <v>318.0009316</v>
      </c>
    </row>
    <row r="685" spans="1:23" ht="15" customHeight="1" x14ac:dyDescent="0.35">
      <c r="A685" t="str">
        <f>'Raw Data'!B683</f>
        <v>US Energy Corp</v>
      </c>
      <c r="B685" t="str">
        <f>'Raw Data'!A683</f>
        <v>useg</v>
      </c>
      <c r="C685" t="str">
        <f>IF('Raw Data'!E683="N/A","Unclassified",TRIM(SUBSTITUTE('Raw Data'!E683," and "," &amp; ")))</f>
        <v>Energy</v>
      </c>
      <c r="D685" s="17">
        <f>'Raw Data'!N683</f>
        <v>438</v>
      </c>
      <c r="E685" s="17">
        <f>'Raw Data'!O683</f>
        <v>265</v>
      </c>
      <c r="F685" s="17">
        <f>'Raw Data'!P683</f>
        <v>315</v>
      </c>
      <c r="G685" s="17">
        <f>'Raw Data'!Q683</f>
        <v>1018</v>
      </c>
      <c r="H685" s="18">
        <f>INDEX('Industry Stats'!$F$2:$F$49,MATCH($C685,'Industry Stats'!$A$2:$A$49,0))</f>
        <v>1117.7619047619048</v>
      </c>
      <c r="I685" s="19">
        <f t="shared" si="110"/>
        <v>-99.761904761904816</v>
      </c>
      <c r="J685" s="20">
        <f t="shared" si="111"/>
        <v>-8.9251480424317339E-2</v>
      </c>
      <c r="K685" s="18">
        <f>INDEX('Industry Stats'!$C$2:$C$49,MATCH($C685,'Industry Stats'!$A$2:$A$49,0))</f>
        <v>515.09523809523807</v>
      </c>
      <c r="L685" s="19">
        <f t="shared" si="112"/>
        <v>-77.095238095238074</v>
      </c>
      <c r="M685" s="18">
        <f>INDEX('Industry Stats'!$D$2:$D$49,MATCH($C685,'Industry Stats'!$A$2:$A$49,0))</f>
        <v>308.95238095238096</v>
      </c>
      <c r="N685" s="19">
        <f t="shared" si="113"/>
        <v>-43.952380952380963</v>
      </c>
      <c r="O685" s="18">
        <f>INDEX('Industry Stats'!$E$2:$E$49,MATCH($C685,'Industry Stats'!$A$2:$A$49,0))</f>
        <v>293.71428571428572</v>
      </c>
      <c r="P685" s="19">
        <f t="shared" si="114"/>
        <v>21.285714285714278</v>
      </c>
      <c r="R685">
        <f t="shared" si="115"/>
        <v>1018.0009315</v>
      </c>
      <c r="S685">
        <f t="shared" si="116"/>
        <v>438.00093149999998</v>
      </c>
      <c r="T685">
        <f t="shared" si="117"/>
        <v>265.00093149999998</v>
      </c>
      <c r="U685">
        <f t="shared" si="118"/>
        <v>315.00093149999998</v>
      </c>
      <c r="V685">
        <f t="shared" si="119"/>
        <v>-99.760973261904823</v>
      </c>
      <c r="W685">
        <f t="shared" si="120"/>
        <v>99.762836261904809</v>
      </c>
    </row>
    <row r="686" spans="1:23" ht="15" customHeight="1" x14ac:dyDescent="0.35">
      <c r="A686" t="str">
        <f>'Raw Data'!B684</f>
        <v>Usio Inc</v>
      </c>
      <c r="B686" t="str">
        <f>'Raw Data'!A684</f>
        <v>usio</v>
      </c>
      <c r="C686" t="str">
        <f>IF('Raw Data'!E684="N/A","Unclassified",TRIM(SUBSTITUTE('Raw Data'!E684," and "," &amp; ")))</f>
        <v>Technology</v>
      </c>
      <c r="D686" s="17">
        <f>'Raw Data'!N684</f>
        <v>285</v>
      </c>
      <c r="E686" s="17">
        <f>'Raw Data'!O684</f>
        <v>245</v>
      </c>
      <c r="F686" s="17">
        <f>'Raw Data'!P684</f>
        <v>240</v>
      </c>
      <c r="G686" s="17">
        <f>'Raw Data'!Q684</f>
        <v>770</v>
      </c>
      <c r="H686" s="18">
        <f>INDEX('Industry Stats'!$F$2:$F$49,MATCH($C686,'Industry Stats'!$A$2:$A$49,0))</f>
        <v>1031.3174603174602</v>
      </c>
      <c r="I686" s="19">
        <f t="shared" si="110"/>
        <v>-261.31746031746025</v>
      </c>
      <c r="J686" s="20">
        <f t="shared" si="111"/>
        <v>-0.25338217413387093</v>
      </c>
      <c r="K686" s="18">
        <f>INDEX('Industry Stats'!$C$2:$C$49,MATCH($C686,'Industry Stats'!$A$2:$A$49,0))</f>
        <v>438.11111111111109</v>
      </c>
      <c r="L686" s="19">
        <f t="shared" si="112"/>
        <v>-153.11111111111109</v>
      </c>
      <c r="M686" s="18">
        <f>INDEX('Industry Stats'!$D$2:$D$49,MATCH($C686,'Industry Stats'!$A$2:$A$49,0))</f>
        <v>307.90476190476193</v>
      </c>
      <c r="N686" s="19">
        <f t="shared" si="113"/>
        <v>-62.904761904761926</v>
      </c>
      <c r="O686" s="18">
        <f>INDEX('Industry Stats'!$E$2:$E$49,MATCH($C686,'Industry Stats'!$A$2:$A$49,0))</f>
        <v>285.30158730158729</v>
      </c>
      <c r="P686" s="19">
        <f t="shared" si="114"/>
        <v>-45.30158730158729</v>
      </c>
      <c r="R686">
        <f t="shared" si="115"/>
        <v>770.00093140000001</v>
      </c>
      <c r="S686">
        <f t="shared" si="116"/>
        <v>285.00093140000001</v>
      </c>
      <c r="T686">
        <f t="shared" si="117"/>
        <v>245.00093140000001</v>
      </c>
      <c r="U686">
        <f t="shared" si="118"/>
        <v>240.00093140000001</v>
      </c>
      <c r="V686">
        <f t="shared" si="119"/>
        <v>-261.31652891746023</v>
      </c>
      <c r="W686">
        <f t="shared" si="120"/>
        <v>261.31839171746026</v>
      </c>
    </row>
    <row r="687" spans="1:23" ht="15" customHeight="1" x14ac:dyDescent="0.35">
      <c r="A687" t="str">
        <f>'Raw Data'!B685</f>
        <v>United Therapeutics Corp</v>
      </c>
      <c r="B687" t="str">
        <f>'Raw Data'!A685</f>
        <v>uthr</v>
      </c>
      <c r="C687" t="str">
        <f>IF('Raw Data'!E685="N/A","Unclassified",TRIM(SUBSTITUTE('Raw Data'!E685," and "," &amp; ")))</f>
        <v>Biotechnology</v>
      </c>
      <c r="D687" s="17">
        <f>'Raw Data'!N685</f>
        <v>233</v>
      </c>
      <c r="E687" s="17">
        <f>'Raw Data'!O685</f>
        <v>259</v>
      </c>
      <c r="F687" s="17">
        <f>'Raw Data'!P685</f>
        <v>300</v>
      </c>
      <c r="G687" s="17">
        <f>'Raw Data'!Q685</f>
        <v>792</v>
      </c>
      <c r="H687" s="18">
        <f>INDEX('Industry Stats'!$F$2:$F$49,MATCH($C687,'Industry Stats'!$A$2:$A$49,0))</f>
        <v>866.91071428571433</v>
      </c>
      <c r="I687" s="19">
        <f t="shared" si="110"/>
        <v>-74.910714285714334</v>
      </c>
      <c r="J687" s="20">
        <f t="shared" si="111"/>
        <v>-8.6411106762518841E-2</v>
      </c>
      <c r="K687" s="18">
        <f>INDEX('Industry Stats'!$C$2:$C$49,MATCH($C687,'Industry Stats'!$A$2:$A$49,0))</f>
        <v>306.53571428571428</v>
      </c>
      <c r="L687" s="19">
        <f t="shared" si="112"/>
        <v>-73.535714285714278</v>
      </c>
      <c r="M687" s="18">
        <f>INDEX('Industry Stats'!$D$2:$D$49,MATCH($C687,'Industry Stats'!$A$2:$A$49,0))</f>
        <v>268.85714285714283</v>
      </c>
      <c r="N687" s="19">
        <f t="shared" si="113"/>
        <v>-9.8571428571428328</v>
      </c>
      <c r="O687" s="18">
        <f>INDEX('Industry Stats'!$E$2:$E$49,MATCH($C687,'Industry Stats'!$A$2:$A$49,0))</f>
        <v>291.51785714285717</v>
      </c>
      <c r="P687" s="19">
        <f t="shared" si="114"/>
        <v>8.4821428571428328</v>
      </c>
      <c r="R687">
        <f t="shared" si="115"/>
        <v>792.00093130000005</v>
      </c>
      <c r="S687">
        <f t="shared" si="116"/>
        <v>233.00093129999999</v>
      </c>
      <c r="T687">
        <f t="shared" si="117"/>
        <v>259.00093129999999</v>
      </c>
      <c r="U687">
        <f t="shared" si="118"/>
        <v>300.00093129999999</v>
      </c>
      <c r="V687">
        <f t="shared" si="119"/>
        <v>-74.90978298571433</v>
      </c>
      <c r="W687">
        <f t="shared" si="120"/>
        <v>74.911645585714339</v>
      </c>
    </row>
    <row r="688" spans="1:23" ht="15" customHeight="1" x14ac:dyDescent="0.35">
      <c r="A688" t="str">
        <f>'Raw Data'!B686</f>
        <v>Urogen Pharma Ltd</v>
      </c>
      <c r="B688" t="str">
        <f>'Raw Data'!A686</f>
        <v>urgn</v>
      </c>
      <c r="C688" t="str">
        <f>IF('Raw Data'!E686="N/A","Unclassified",TRIM(SUBSTITUTE('Raw Data'!E686," and "," &amp; ")))</f>
        <v>Biotechnology</v>
      </c>
      <c r="D688" s="17">
        <f>'Raw Data'!N686</f>
        <v>210</v>
      </c>
      <c r="E688" s="17">
        <f>'Raw Data'!O686</f>
        <v>251</v>
      </c>
      <c r="F688" s="17">
        <f>'Raw Data'!P686</f>
        <v>290</v>
      </c>
      <c r="G688" s="17">
        <f>'Raw Data'!Q686</f>
        <v>751</v>
      </c>
      <c r="H688" s="18">
        <f>INDEX('Industry Stats'!$F$2:$F$49,MATCH($C688,'Industry Stats'!$A$2:$A$49,0))</f>
        <v>866.91071428571433</v>
      </c>
      <c r="I688" s="19">
        <f t="shared" si="110"/>
        <v>-115.91071428571433</v>
      </c>
      <c r="J688" s="20">
        <f t="shared" si="111"/>
        <v>-0.13370548128617632</v>
      </c>
      <c r="K688" s="18">
        <f>INDEX('Industry Stats'!$C$2:$C$49,MATCH($C688,'Industry Stats'!$A$2:$A$49,0))</f>
        <v>306.53571428571428</v>
      </c>
      <c r="L688" s="19">
        <f t="shared" si="112"/>
        <v>-96.535714285714278</v>
      </c>
      <c r="M688" s="18">
        <f>INDEX('Industry Stats'!$D$2:$D$49,MATCH($C688,'Industry Stats'!$A$2:$A$49,0))</f>
        <v>268.85714285714283</v>
      </c>
      <c r="N688" s="19">
        <f t="shared" si="113"/>
        <v>-17.857142857142833</v>
      </c>
      <c r="O688" s="18">
        <f>INDEX('Industry Stats'!$E$2:$E$49,MATCH($C688,'Industry Stats'!$A$2:$A$49,0))</f>
        <v>291.51785714285717</v>
      </c>
      <c r="P688" s="19">
        <f t="shared" si="114"/>
        <v>-1.5178571428571672</v>
      </c>
      <c r="R688">
        <f t="shared" si="115"/>
        <v>751.00093119999997</v>
      </c>
      <c r="S688">
        <f t="shared" si="116"/>
        <v>210.0009312</v>
      </c>
      <c r="T688">
        <f t="shared" si="117"/>
        <v>251.0009312</v>
      </c>
      <c r="U688">
        <f t="shared" si="118"/>
        <v>290.00093120000003</v>
      </c>
      <c r="V688">
        <f t="shared" si="119"/>
        <v>-115.90978308571434</v>
      </c>
      <c r="W688">
        <f t="shared" si="120"/>
        <v>115.91164548571433</v>
      </c>
    </row>
    <row r="689" spans="1:23" ht="15" customHeight="1" x14ac:dyDescent="0.35">
      <c r="A689" t="str">
        <f>'Raw Data'!B687</f>
        <v>Urban Outfitters Inc</v>
      </c>
      <c r="B689" t="str">
        <f>'Raw Data'!A687</f>
        <v>urbn</v>
      </c>
      <c r="C689" t="str">
        <f>IF('Raw Data'!E687="N/A","Unclassified",TRIM(SUBSTITUTE('Raw Data'!E687," and "," &amp; ")))</f>
        <v>Retail</v>
      </c>
      <c r="D689" s="17">
        <f>'Raw Data'!N687</f>
        <v>335</v>
      </c>
      <c r="E689" s="17">
        <f>'Raw Data'!O687</f>
        <v>300</v>
      </c>
      <c r="F689" s="17">
        <f>'Raw Data'!P687</f>
        <v>300</v>
      </c>
      <c r="G689" s="17">
        <f>'Raw Data'!Q687</f>
        <v>935</v>
      </c>
      <c r="H689" s="18">
        <f>INDEX('Industry Stats'!$F$2:$F$49,MATCH($C689,'Industry Stats'!$A$2:$A$49,0))</f>
        <v>918.57692307692309</v>
      </c>
      <c r="I689" s="19">
        <f t="shared" si="110"/>
        <v>16.423076923076906</v>
      </c>
      <c r="J689" s="20">
        <f t="shared" si="111"/>
        <v>1.7878825943139453E-2</v>
      </c>
      <c r="K689" s="18">
        <f>INDEX('Industry Stats'!$C$2:$C$49,MATCH($C689,'Industry Stats'!$A$2:$A$49,0))</f>
        <v>380.30769230769232</v>
      </c>
      <c r="L689" s="19">
        <f t="shared" si="112"/>
        <v>-45.307692307692321</v>
      </c>
      <c r="M689" s="18">
        <f>INDEX('Industry Stats'!$D$2:$D$49,MATCH($C689,'Industry Stats'!$A$2:$A$49,0))</f>
        <v>274.96153846153845</v>
      </c>
      <c r="N689" s="19">
        <f t="shared" si="113"/>
        <v>25.038461538461547</v>
      </c>
      <c r="O689" s="18">
        <f>INDEX('Industry Stats'!$E$2:$E$49,MATCH($C689,'Industry Stats'!$A$2:$A$49,0))</f>
        <v>263.30769230769232</v>
      </c>
      <c r="P689" s="19">
        <f t="shared" si="114"/>
        <v>36.692307692307679</v>
      </c>
      <c r="R689">
        <f t="shared" si="115"/>
        <v>935.0009311</v>
      </c>
      <c r="S689">
        <f t="shared" si="116"/>
        <v>335.0009311</v>
      </c>
      <c r="T689">
        <f t="shared" si="117"/>
        <v>300.0009311</v>
      </c>
      <c r="U689">
        <f t="shared" si="118"/>
        <v>300.0009311</v>
      </c>
      <c r="V689">
        <f t="shared" si="119"/>
        <v>16.424008023076905</v>
      </c>
      <c r="W689">
        <f t="shared" si="120"/>
        <v>-16.422145823076907</v>
      </c>
    </row>
    <row r="690" spans="1:23" ht="15" customHeight="1" x14ac:dyDescent="0.35">
      <c r="A690" t="str">
        <f>'Raw Data'!B688</f>
        <v>Utime Ltd</v>
      </c>
      <c r="B690" t="str">
        <f>'Raw Data'!A688</f>
        <v>utme</v>
      </c>
      <c r="C690" t="str">
        <f>IF('Raw Data'!E688="N/A","Unclassified",TRIM(SUBSTITUTE('Raw Data'!E688," and "," &amp; ")))</f>
        <v>Electrical Equipment</v>
      </c>
      <c r="D690" s="17">
        <f>'Raw Data'!N688</f>
        <v>217</v>
      </c>
      <c r="E690" s="17">
        <f>'Raw Data'!O688</f>
        <v>200</v>
      </c>
      <c r="F690" s="17">
        <f>'Raw Data'!P688</f>
        <v>200</v>
      </c>
      <c r="G690" s="17">
        <f>'Raw Data'!Q688</f>
        <v>617</v>
      </c>
      <c r="H690" s="18">
        <f>INDEX('Industry Stats'!$F$2:$F$49,MATCH($C690,'Industry Stats'!$A$2:$A$49,0))</f>
        <v>933</v>
      </c>
      <c r="I690" s="19">
        <f t="shared" si="110"/>
        <v>-316</v>
      </c>
      <c r="J690" s="20">
        <f t="shared" si="111"/>
        <v>-0.3386923901393355</v>
      </c>
      <c r="K690" s="18">
        <f>INDEX('Industry Stats'!$C$2:$C$49,MATCH($C690,'Industry Stats'!$A$2:$A$49,0))</f>
        <v>381.7037037037037</v>
      </c>
      <c r="L690" s="19">
        <f t="shared" si="112"/>
        <v>-164.7037037037037</v>
      </c>
      <c r="M690" s="18">
        <f>INDEX('Industry Stats'!$D$2:$D$49,MATCH($C690,'Industry Stats'!$A$2:$A$49,0))</f>
        <v>272.11111111111109</v>
      </c>
      <c r="N690" s="19">
        <f t="shared" si="113"/>
        <v>-72.111111111111086</v>
      </c>
      <c r="O690" s="18">
        <f>INDEX('Industry Stats'!$E$2:$E$49,MATCH($C690,'Industry Stats'!$A$2:$A$49,0))</f>
        <v>279.18518518518516</v>
      </c>
      <c r="P690" s="19">
        <f t="shared" si="114"/>
        <v>-79.185185185185162</v>
      </c>
      <c r="R690">
        <f t="shared" si="115"/>
        <v>617.00093100000004</v>
      </c>
      <c r="S690">
        <f t="shared" si="116"/>
        <v>217.00093100000001</v>
      </c>
      <c r="T690">
        <f t="shared" si="117"/>
        <v>200.00093100000001</v>
      </c>
      <c r="U690">
        <f t="shared" si="118"/>
        <v>200.00093100000001</v>
      </c>
      <c r="V690">
        <f t="shared" si="119"/>
        <v>-315.99906900000002</v>
      </c>
      <c r="W690">
        <f t="shared" si="120"/>
        <v>316.00093099999998</v>
      </c>
    </row>
    <row r="691" spans="1:23" ht="15" customHeight="1" x14ac:dyDescent="0.35">
      <c r="A691" t="str">
        <f>'Raw Data'!B689</f>
        <v>Minerva Surgical Inc</v>
      </c>
      <c r="B691" t="str">
        <f>'Raw Data'!A689</f>
        <v>utrs</v>
      </c>
      <c r="C691" t="str">
        <f>IF('Raw Data'!E689="N/A","Unclassified",TRIM(SUBSTITUTE('Raw Data'!E689," and "," &amp; ")))</f>
        <v>Health Care</v>
      </c>
      <c r="D691" s="17">
        <f>'Raw Data'!N689</f>
        <v>205</v>
      </c>
      <c r="E691" s="17">
        <f>'Raw Data'!O689</f>
        <v>201</v>
      </c>
      <c r="F691" s="17">
        <f>'Raw Data'!P689</f>
        <v>210</v>
      </c>
      <c r="G691" s="17">
        <f>'Raw Data'!Q689</f>
        <v>616</v>
      </c>
      <c r="H691" s="18">
        <f>INDEX('Industry Stats'!$F$2:$F$49,MATCH($C691,'Industry Stats'!$A$2:$A$49,0))</f>
        <v>938.76470588235293</v>
      </c>
      <c r="I691" s="19">
        <f t="shared" si="110"/>
        <v>-322.76470588235293</v>
      </c>
      <c r="J691" s="20">
        <f t="shared" si="111"/>
        <v>-0.34381853499592707</v>
      </c>
      <c r="K691" s="18">
        <f>INDEX('Industry Stats'!$C$2:$C$49,MATCH($C691,'Industry Stats'!$A$2:$A$49,0))</f>
        <v>374.52941176470586</v>
      </c>
      <c r="L691" s="19">
        <f t="shared" si="112"/>
        <v>-169.52941176470586</v>
      </c>
      <c r="M691" s="18">
        <f>INDEX('Industry Stats'!$D$2:$D$49,MATCH($C691,'Industry Stats'!$A$2:$A$49,0))</f>
        <v>287.43137254901961</v>
      </c>
      <c r="N691" s="19">
        <f t="shared" si="113"/>
        <v>-86.431372549019613</v>
      </c>
      <c r="O691" s="18">
        <f>INDEX('Industry Stats'!$E$2:$E$49,MATCH($C691,'Industry Stats'!$A$2:$A$49,0))</f>
        <v>276.80392156862746</v>
      </c>
      <c r="P691" s="19">
        <f t="shared" si="114"/>
        <v>-66.803921568627459</v>
      </c>
      <c r="R691">
        <f t="shared" si="115"/>
        <v>616.00093089999996</v>
      </c>
      <c r="S691">
        <f t="shared" si="116"/>
        <v>205.00093089999999</v>
      </c>
      <c r="T691">
        <f t="shared" si="117"/>
        <v>201.00093089999999</v>
      </c>
      <c r="U691">
        <f t="shared" si="118"/>
        <v>210.00093089999999</v>
      </c>
      <c r="V691">
        <f t="shared" si="119"/>
        <v>-322.76377498235291</v>
      </c>
      <c r="W691">
        <f t="shared" si="120"/>
        <v>322.76563678235294</v>
      </c>
    </row>
    <row r="692" spans="1:23" ht="15" customHeight="1" x14ac:dyDescent="0.35">
      <c r="A692" t="str">
        <f>'Raw Data'!B690</f>
        <v>UTStarcom Holdings Corp</v>
      </c>
      <c r="B692" t="str">
        <f>'Raw Data'!A690</f>
        <v>utsi</v>
      </c>
      <c r="C692" t="str">
        <f>IF('Raw Data'!E690="N/A","Unclassified",TRIM(SUBSTITUTE('Raw Data'!E690," and "," &amp; ")))</f>
        <v>Communications</v>
      </c>
      <c r="D692" s="17">
        <f>'Raw Data'!N690</f>
        <v>340</v>
      </c>
      <c r="E692" s="17">
        <f>'Raw Data'!O690</f>
        <v>310</v>
      </c>
      <c r="F692" s="17">
        <f>'Raw Data'!P690</f>
        <v>365</v>
      </c>
      <c r="G692" s="17">
        <f>'Raw Data'!Q690</f>
        <v>1015</v>
      </c>
      <c r="H692" s="18">
        <f>INDEX('Industry Stats'!$F$2:$F$49,MATCH($C692,'Industry Stats'!$A$2:$A$49,0))</f>
        <v>938.22222222222217</v>
      </c>
      <c r="I692" s="19">
        <f t="shared" si="110"/>
        <v>76.777777777777828</v>
      </c>
      <c r="J692" s="20">
        <f t="shared" si="111"/>
        <v>8.1833254381809634E-2</v>
      </c>
      <c r="K692" s="18">
        <f>INDEX('Industry Stats'!$C$2:$C$49,MATCH($C692,'Industry Stats'!$A$2:$A$49,0))</f>
        <v>385</v>
      </c>
      <c r="L692" s="19">
        <f t="shared" si="112"/>
        <v>-45</v>
      </c>
      <c r="M692" s="18">
        <f>INDEX('Industry Stats'!$D$2:$D$49,MATCH($C692,'Industry Stats'!$A$2:$A$49,0))</f>
        <v>278.77777777777777</v>
      </c>
      <c r="N692" s="19">
        <f t="shared" si="113"/>
        <v>31.222222222222229</v>
      </c>
      <c r="O692" s="18">
        <f>INDEX('Industry Stats'!$E$2:$E$49,MATCH($C692,'Industry Stats'!$A$2:$A$49,0))</f>
        <v>274.44444444444446</v>
      </c>
      <c r="P692" s="19">
        <f t="shared" si="114"/>
        <v>90.555555555555543</v>
      </c>
      <c r="R692">
        <f t="shared" si="115"/>
        <v>1015.0009308</v>
      </c>
      <c r="S692">
        <f t="shared" si="116"/>
        <v>340.00093079999999</v>
      </c>
      <c r="T692">
        <f t="shared" si="117"/>
        <v>310.00093079999999</v>
      </c>
      <c r="U692">
        <f t="shared" si="118"/>
        <v>365.00093079999999</v>
      </c>
      <c r="V692">
        <f t="shared" si="119"/>
        <v>76.778708577777834</v>
      </c>
      <c r="W692">
        <f t="shared" si="120"/>
        <v>-76.776846977777822</v>
      </c>
    </row>
    <row r="693" spans="1:23" ht="15" customHeight="1" x14ac:dyDescent="0.35">
      <c r="A693" t="str">
        <f>'Raw Data'!B691</f>
        <v>Uxin Ltd</v>
      </c>
      <c r="B693" t="str">
        <f>'Raw Data'!A691</f>
        <v>uxin</v>
      </c>
      <c r="C693" t="str">
        <f>IF('Raw Data'!E691="N/A","Unclassified",TRIM(SUBSTITUTE('Raw Data'!E691," and "," &amp; ")))</f>
        <v>Retail</v>
      </c>
      <c r="D693" s="17">
        <f>'Raw Data'!N691</f>
        <v>203</v>
      </c>
      <c r="E693" s="17">
        <f>'Raw Data'!O691</f>
        <v>202</v>
      </c>
      <c r="F693" s="17">
        <f>'Raw Data'!P691</f>
        <v>225</v>
      </c>
      <c r="G693" s="17">
        <f>'Raw Data'!Q691</f>
        <v>630</v>
      </c>
      <c r="H693" s="18">
        <f>INDEX('Industry Stats'!$F$2:$F$49,MATCH($C693,'Industry Stats'!$A$2:$A$49,0))</f>
        <v>918.57692307692309</v>
      </c>
      <c r="I693" s="19">
        <f t="shared" si="110"/>
        <v>-288.57692307692309</v>
      </c>
      <c r="J693" s="20">
        <f t="shared" si="111"/>
        <v>-0.31415651300087932</v>
      </c>
      <c r="K693" s="18">
        <f>INDEX('Industry Stats'!$C$2:$C$49,MATCH($C693,'Industry Stats'!$A$2:$A$49,0))</f>
        <v>380.30769230769232</v>
      </c>
      <c r="L693" s="19">
        <f t="shared" si="112"/>
        <v>-177.30769230769232</v>
      </c>
      <c r="M693" s="18">
        <f>INDEX('Industry Stats'!$D$2:$D$49,MATCH($C693,'Industry Stats'!$A$2:$A$49,0))</f>
        <v>274.96153846153845</v>
      </c>
      <c r="N693" s="19">
        <f t="shared" si="113"/>
        <v>-72.961538461538453</v>
      </c>
      <c r="O693" s="18">
        <f>INDEX('Industry Stats'!$E$2:$E$49,MATCH($C693,'Industry Stats'!$A$2:$A$49,0))</f>
        <v>263.30769230769232</v>
      </c>
      <c r="P693" s="19">
        <f t="shared" si="114"/>
        <v>-38.307692307692321</v>
      </c>
      <c r="R693">
        <f t="shared" si="115"/>
        <v>630.00093070000003</v>
      </c>
      <c r="S693">
        <f t="shared" si="116"/>
        <v>203.0009307</v>
      </c>
      <c r="T693">
        <f t="shared" si="117"/>
        <v>202.0009307</v>
      </c>
      <c r="U693">
        <f t="shared" si="118"/>
        <v>225.0009307</v>
      </c>
      <c r="V693">
        <f t="shared" si="119"/>
        <v>-288.57599237692307</v>
      </c>
      <c r="W693">
        <f t="shared" si="120"/>
        <v>288.57785377692312</v>
      </c>
    </row>
    <row r="694" spans="1:23" ht="15" customHeight="1" x14ac:dyDescent="0.35">
      <c r="A694" t="str">
        <f>'Raw Data'!B692</f>
        <v>Univest Financial Corp</v>
      </c>
      <c r="B694" t="str">
        <f>'Raw Data'!A692</f>
        <v>uvsp</v>
      </c>
      <c r="C694" t="str">
        <f>IF('Raw Data'!E692="N/A","Unclassified",TRIM(SUBSTITUTE('Raw Data'!E692," and "," &amp; ")))</f>
        <v>Banking</v>
      </c>
      <c r="D694" s="17">
        <f>'Raw Data'!N692</f>
        <v>331</v>
      </c>
      <c r="E694" s="17">
        <f>'Raw Data'!O692</f>
        <v>322</v>
      </c>
      <c r="F694" s="17">
        <f>'Raw Data'!P692</f>
        <v>305</v>
      </c>
      <c r="G694" s="17">
        <f>'Raw Data'!Q692</f>
        <v>958</v>
      </c>
      <c r="H694" s="18">
        <f>INDEX('Industry Stats'!$F$2:$F$49,MATCH($C694,'Industry Stats'!$A$2:$A$49,0))</f>
        <v>898.31034482758616</v>
      </c>
      <c r="I694" s="19">
        <f t="shared" si="110"/>
        <v>59.689655172413836</v>
      </c>
      <c r="J694" s="20">
        <f t="shared" si="111"/>
        <v>6.644658554374118E-2</v>
      </c>
      <c r="K694" s="18">
        <f>INDEX('Industry Stats'!$C$2:$C$49,MATCH($C694,'Industry Stats'!$A$2:$A$49,0))</f>
        <v>341.48275862068965</v>
      </c>
      <c r="L694" s="19">
        <f t="shared" si="112"/>
        <v>-10.482758620689651</v>
      </c>
      <c r="M694" s="18">
        <f>INDEX('Industry Stats'!$D$2:$D$49,MATCH($C694,'Industry Stats'!$A$2:$A$49,0))</f>
        <v>292.34482758620692</v>
      </c>
      <c r="N694" s="19">
        <f t="shared" si="113"/>
        <v>29.655172413793082</v>
      </c>
      <c r="O694" s="18">
        <f>INDEX('Industry Stats'!$E$2:$E$49,MATCH($C694,'Industry Stats'!$A$2:$A$49,0))</f>
        <v>264.48275862068965</v>
      </c>
      <c r="P694" s="19">
        <f t="shared" si="114"/>
        <v>40.517241379310349</v>
      </c>
      <c r="R694">
        <f t="shared" si="115"/>
        <v>958.00093059999995</v>
      </c>
      <c r="S694">
        <f t="shared" si="116"/>
        <v>331.0009306</v>
      </c>
      <c r="T694">
        <f t="shared" si="117"/>
        <v>322.0009306</v>
      </c>
      <c r="U694">
        <f t="shared" si="118"/>
        <v>305.0009306</v>
      </c>
      <c r="V694">
        <f t="shared" si="119"/>
        <v>59.690585772413833</v>
      </c>
      <c r="W694">
        <f t="shared" si="120"/>
        <v>-59.68872457241384</v>
      </c>
    </row>
    <row r="695" spans="1:23" ht="15" customHeight="1" x14ac:dyDescent="0.35">
      <c r="A695" t="str">
        <f>'Raw Data'!B693</f>
        <v>Cheetah Mobile Inc</v>
      </c>
      <c r="B695" t="str">
        <f>'Raw Data'!A693</f>
        <v>cmcm</v>
      </c>
      <c r="C695" t="str">
        <f>IF('Raw Data'!E693="N/A","Unclassified",TRIM(SUBSTITUTE('Raw Data'!E693," and "," &amp; ")))</f>
        <v>Technology</v>
      </c>
      <c r="D695" s="17">
        <f>'Raw Data'!N693</f>
        <v>205</v>
      </c>
      <c r="E695" s="17">
        <f>'Raw Data'!O693</f>
        <v>214</v>
      </c>
      <c r="F695" s="17">
        <f>'Raw Data'!P693</f>
        <v>215</v>
      </c>
      <c r="G695" s="17">
        <f>'Raw Data'!Q693</f>
        <v>634</v>
      </c>
      <c r="H695" s="18">
        <f>INDEX('Industry Stats'!$F$2:$F$49,MATCH($C695,'Industry Stats'!$A$2:$A$49,0))</f>
        <v>1031.3174603174602</v>
      </c>
      <c r="I695" s="19">
        <f t="shared" si="110"/>
        <v>-397.31746031746025</v>
      </c>
      <c r="J695" s="20">
        <f t="shared" si="111"/>
        <v>-0.38525233558555089</v>
      </c>
      <c r="K695" s="18">
        <f>INDEX('Industry Stats'!$C$2:$C$49,MATCH($C695,'Industry Stats'!$A$2:$A$49,0))</f>
        <v>438.11111111111109</v>
      </c>
      <c r="L695" s="19">
        <f t="shared" si="112"/>
        <v>-233.11111111111109</v>
      </c>
      <c r="M695" s="18">
        <f>INDEX('Industry Stats'!$D$2:$D$49,MATCH($C695,'Industry Stats'!$A$2:$A$49,0))</f>
        <v>307.90476190476193</v>
      </c>
      <c r="N695" s="19">
        <f t="shared" si="113"/>
        <v>-93.904761904761926</v>
      </c>
      <c r="O695" s="18">
        <f>INDEX('Industry Stats'!$E$2:$E$49,MATCH($C695,'Industry Stats'!$A$2:$A$49,0))</f>
        <v>285.30158730158729</v>
      </c>
      <c r="P695" s="19">
        <f t="shared" si="114"/>
        <v>-70.30158730158729</v>
      </c>
      <c r="R695">
        <f t="shared" si="115"/>
        <v>634.00093049999998</v>
      </c>
      <c r="S695">
        <f t="shared" si="116"/>
        <v>205.00093050000001</v>
      </c>
      <c r="T695">
        <f t="shared" si="117"/>
        <v>214.00093050000001</v>
      </c>
      <c r="U695">
        <f t="shared" si="118"/>
        <v>215.00093050000001</v>
      </c>
      <c r="V695">
        <f t="shared" si="119"/>
        <v>-397.31652981746026</v>
      </c>
      <c r="W695">
        <f t="shared" si="120"/>
        <v>397.31839081746023</v>
      </c>
    </row>
    <row r="696" spans="1:23" ht="15" customHeight="1" x14ac:dyDescent="0.35">
      <c r="A696" t="str">
        <f>'Raw Data'!B694</f>
        <v>Commercial Metals Co</v>
      </c>
      <c r="B696" t="str">
        <f>'Raw Data'!A694</f>
        <v>cmc</v>
      </c>
      <c r="C696" t="str">
        <f>IF('Raw Data'!E694="N/A","Unclassified",TRIM(SUBSTITUTE('Raw Data'!E694," and "," &amp; ")))</f>
        <v>Metals &amp; Mining</v>
      </c>
      <c r="D696" s="17">
        <f>'Raw Data'!N694</f>
        <v>223</v>
      </c>
      <c r="E696" s="17">
        <f>'Raw Data'!O694</f>
        <v>212</v>
      </c>
      <c r="F696" s="17">
        <f>'Raw Data'!P694</f>
        <v>200</v>
      </c>
      <c r="G696" s="17">
        <f>'Raw Data'!Q694</f>
        <v>635</v>
      </c>
      <c r="H696" s="18">
        <f>INDEX('Industry Stats'!$F$2:$F$49,MATCH($C696,'Industry Stats'!$A$2:$A$49,0))</f>
        <v>987</v>
      </c>
      <c r="I696" s="19">
        <f t="shared" si="110"/>
        <v>-352</v>
      </c>
      <c r="J696" s="20">
        <f t="shared" si="111"/>
        <v>-0.35663627152988853</v>
      </c>
      <c r="K696" s="18">
        <f>INDEX('Industry Stats'!$C$2:$C$49,MATCH($C696,'Industry Stats'!$A$2:$A$49,0))</f>
        <v>427.3</v>
      </c>
      <c r="L696" s="19">
        <f t="shared" si="112"/>
        <v>-204.3</v>
      </c>
      <c r="M696" s="18">
        <f>INDEX('Industry Stats'!$D$2:$D$49,MATCH($C696,'Industry Stats'!$A$2:$A$49,0))</f>
        <v>289.2</v>
      </c>
      <c r="N696" s="19">
        <f t="shared" si="113"/>
        <v>-77.199999999999989</v>
      </c>
      <c r="O696" s="18">
        <f>INDEX('Industry Stats'!$E$2:$E$49,MATCH($C696,'Industry Stats'!$A$2:$A$49,0))</f>
        <v>270.5</v>
      </c>
      <c r="P696" s="19">
        <f t="shared" si="114"/>
        <v>-70.5</v>
      </c>
      <c r="R696">
        <f t="shared" si="115"/>
        <v>635.00093040000002</v>
      </c>
      <c r="S696">
        <f t="shared" si="116"/>
        <v>223.00093039999999</v>
      </c>
      <c r="T696">
        <f t="shared" si="117"/>
        <v>212.00093039999999</v>
      </c>
      <c r="U696">
        <f t="shared" si="118"/>
        <v>200.00093039999999</v>
      </c>
      <c r="V696">
        <f t="shared" si="119"/>
        <v>-351.99906959999998</v>
      </c>
      <c r="W696">
        <f t="shared" si="120"/>
        <v>352.00093040000002</v>
      </c>
    </row>
    <row r="697" spans="1:23" ht="15" customHeight="1" x14ac:dyDescent="0.35">
      <c r="A697" t="str">
        <f>'Raw Data'!B695</f>
        <v>United States Lime &amp; Minerals Inc</v>
      </c>
      <c r="B697" t="str">
        <f>'Raw Data'!A695</f>
        <v>uslm</v>
      </c>
      <c r="C697" t="str">
        <f>IF('Raw Data'!E695="N/A","Unclassified",TRIM(SUBSTITUTE('Raw Data'!E695," and "," &amp; ")))</f>
        <v>Construction</v>
      </c>
      <c r="D697" s="17">
        <f>'Raw Data'!N695</f>
        <v>500</v>
      </c>
      <c r="E697" s="17">
        <f>'Raw Data'!O695</f>
        <v>233</v>
      </c>
      <c r="F697" s="17">
        <f>'Raw Data'!P695</f>
        <v>300</v>
      </c>
      <c r="G697" s="17">
        <f>'Raw Data'!Q695</f>
        <v>1033</v>
      </c>
      <c r="H697" s="18">
        <f>INDEX('Industry Stats'!$F$2:$F$49,MATCH($C697,'Industry Stats'!$A$2:$A$49,0))</f>
        <v>1082.6666666666667</v>
      </c>
      <c r="I697" s="19">
        <f t="shared" si="110"/>
        <v>-49.666666666666742</v>
      </c>
      <c r="J697" s="20">
        <f t="shared" si="111"/>
        <v>-4.5874384236453271E-2</v>
      </c>
      <c r="K697" s="18">
        <f>INDEX('Industry Stats'!$C$2:$C$49,MATCH($C697,'Industry Stats'!$A$2:$A$49,0))</f>
        <v>495.33333333333331</v>
      </c>
      <c r="L697" s="19">
        <f t="shared" si="112"/>
        <v>4.6666666666666856</v>
      </c>
      <c r="M697" s="18">
        <f>INDEX('Industry Stats'!$D$2:$D$49,MATCH($C697,'Industry Stats'!$A$2:$A$49,0))</f>
        <v>306.16666666666669</v>
      </c>
      <c r="N697" s="19">
        <f t="shared" si="113"/>
        <v>-73.166666666666686</v>
      </c>
      <c r="O697" s="18">
        <f>INDEX('Industry Stats'!$E$2:$E$49,MATCH($C697,'Industry Stats'!$A$2:$A$49,0))</f>
        <v>281.16666666666669</v>
      </c>
      <c r="P697" s="19">
        <f t="shared" si="114"/>
        <v>18.833333333333314</v>
      </c>
      <c r="R697">
        <f t="shared" si="115"/>
        <v>1033.0009302999999</v>
      </c>
      <c r="S697">
        <f t="shared" si="116"/>
        <v>500.00093029999999</v>
      </c>
      <c r="T697">
        <f t="shared" si="117"/>
        <v>233.00093029999999</v>
      </c>
      <c r="U697">
        <f t="shared" si="118"/>
        <v>300.00093029999999</v>
      </c>
      <c r="V697">
        <f t="shared" si="119"/>
        <v>-49.665736366666742</v>
      </c>
      <c r="W697">
        <f t="shared" si="120"/>
        <v>49.667596966666743</v>
      </c>
    </row>
    <row r="698" spans="1:23" ht="15" customHeight="1" x14ac:dyDescent="0.35">
      <c r="A698" t="str">
        <f>'Raw Data'!B696</f>
        <v>Utah Medical Products Inc</v>
      </c>
      <c r="B698" t="str">
        <f>'Raw Data'!A696</f>
        <v>utmd</v>
      </c>
      <c r="C698" t="str">
        <f>IF('Raw Data'!E696="N/A","Unclassified",TRIM(SUBSTITUTE('Raw Data'!E696," and "," &amp; ")))</f>
        <v>Health Care</v>
      </c>
      <c r="D698" s="17">
        <f>'Raw Data'!N696</f>
        <v>240</v>
      </c>
      <c r="E698" s="17">
        <f>'Raw Data'!O696</f>
        <v>236</v>
      </c>
      <c r="F698" s="17">
        <f>'Raw Data'!P696</f>
        <v>250</v>
      </c>
      <c r="G698" s="17">
        <f>'Raw Data'!Q696</f>
        <v>726</v>
      </c>
      <c r="H698" s="18">
        <f>INDEX('Industry Stats'!$F$2:$F$49,MATCH($C698,'Industry Stats'!$A$2:$A$49,0))</f>
        <v>938.76470588235293</v>
      </c>
      <c r="I698" s="19">
        <f t="shared" si="110"/>
        <v>-212.76470588235293</v>
      </c>
      <c r="J698" s="20">
        <f t="shared" si="111"/>
        <v>-0.2266432733880569</v>
      </c>
      <c r="K698" s="18">
        <f>INDEX('Industry Stats'!$C$2:$C$49,MATCH($C698,'Industry Stats'!$A$2:$A$49,0))</f>
        <v>374.52941176470586</v>
      </c>
      <c r="L698" s="19">
        <f t="shared" si="112"/>
        <v>-134.52941176470586</v>
      </c>
      <c r="M698" s="18">
        <f>INDEX('Industry Stats'!$D$2:$D$49,MATCH($C698,'Industry Stats'!$A$2:$A$49,0))</f>
        <v>287.43137254901961</v>
      </c>
      <c r="N698" s="19">
        <f t="shared" si="113"/>
        <v>-51.431372549019613</v>
      </c>
      <c r="O698" s="18">
        <f>INDEX('Industry Stats'!$E$2:$E$49,MATCH($C698,'Industry Stats'!$A$2:$A$49,0))</f>
        <v>276.80392156862746</v>
      </c>
      <c r="P698" s="19">
        <f t="shared" si="114"/>
        <v>-26.803921568627459</v>
      </c>
      <c r="R698">
        <f t="shared" si="115"/>
        <v>726.00093019999997</v>
      </c>
      <c r="S698">
        <f t="shared" si="116"/>
        <v>240.0009302</v>
      </c>
      <c r="T698">
        <f t="shared" si="117"/>
        <v>236.0009302</v>
      </c>
      <c r="U698">
        <f t="shared" si="118"/>
        <v>250.0009302</v>
      </c>
      <c r="V698">
        <f t="shared" si="119"/>
        <v>-212.76377568235293</v>
      </c>
      <c r="W698">
        <f t="shared" si="120"/>
        <v>212.76563608235293</v>
      </c>
    </row>
    <row r="699" spans="1:23" ht="15" customHeight="1" x14ac:dyDescent="0.35">
      <c r="A699" t="str">
        <f>'Raw Data'!B697</f>
        <v>Compass Minerals International Inc</v>
      </c>
      <c r="B699" t="str">
        <f>'Raw Data'!A697</f>
        <v>cmp</v>
      </c>
      <c r="C699" t="str">
        <f>IF('Raw Data'!E697="N/A","Unclassified",TRIM(SUBSTITUTE('Raw Data'!E697," and "," &amp; ")))</f>
        <v>Metals &amp; Mining</v>
      </c>
      <c r="D699" s="17">
        <f>'Raw Data'!N697</f>
        <v>505</v>
      </c>
      <c r="E699" s="17">
        <f>'Raw Data'!O697</f>
        <v>302</v>
      </c>
      <c r="F699" s="17">
        <f>'Raw Data'!P697</f>
        <v>320</v>
      </c>
      <c r="G699" s="17">
        <f>'Raw Data'!Q697</f>
        <v>1127</v>
      </c>
      <c r="H699" s="18">
        <f>INDEX('Industry Stats'!$F$2:$F$49,MATCH($C699,'Industry Stats'!$A$2:$A$49,0))</f>
        <v>987</v>
      </c>
      <c r="I699" s="19">
        <f t="shared" si="110"/>
        <v>140</v>
      </c>
      <c r="J699" s="20">
        <f t="shared" si="111"/>
        <v>0.14184397163120568</v>
      </c>
      <c r="K699" s="18">
        <f>INDEX('Industry Stats'!$C$2:$C$49,MATCH($C699,'Industry Stats'!$A$2:$A$49,0))</f>
        <v>427.3</v>
      </c>
      <c r="L699" s="19">
        <f t="shared" si="112"/>
        <v>77.699999999999989</v>
      </c>
      <c r="M699" s="18">
        <f>INDEX('Industry Stats'!$D$2:$D$49,MATCH($C699,'Industry Stats'!$A$2:$A$49,0))</f>
        <v>289.2</v>
      </c>
      <c r="N699" s="19">
        <f t="shared" si="113"/>
        <v>12.800000000000011</v>
      </c>
      <c r="O699" s="18">
        <f>INDEX('Industry Stats'!$E$2:$E$49,MATCH($C699,'Industry Stats'!$A$2:$A$49,0))</f>
        <v>270.5</v>
      </c>
      <c r="P699" s="19">
        <f t="shared" si="114"/>
        <v>49.5</v>
      </c>
      <c r="R699">
        <f t="shared" si="115"/>
        <v>1127.0009301</v>
      </c>
      <c r="S699">
        <f t="shared" si="116"/>
        <v>505.00093010000001</v>
      </c>
      <c r="T699">
        <f t="shared" si="117"/>
        <v>302.00093010000001</v>
      </c>
      <c r="U699">
        <f t="shared" si="118"/>
        <v>320.00093010000001</v>
      </c>
      <c r="V699">
        <f t="shared" si="119"/>
        <v>140.00093010000001</v>
      </c>
      <c r="W699">
        <f t="shared" si="120"/>
        <v>-139.99906989999999</v>
      </c>
    </row>
    <row r="700" spans="1:23" ht="15" customHeight="1" x14ac:dyDescent="0.35">
      <c r="A700" t="str">
        <f>'Raw Data'!B698</f>
        <v>Concord Acquisition Corp</v>
      </c>
      <c r="B700" t="str">
        <f>'Raw Data'!A698</f>
        <v>cnd</v>
      </c>
      <c r="C700" t="str">
        <f>IF('Raw Data'!E698="N/A","Unclassified",TRIM(SUBSTITUTE('Raw Data'!E698," and "," &amp; ")))</f>
        <v>Unclassified</v>
      </c>
      <c r="D700" s="17">
        <f>'Raw Data'!N698</f>
        <v>205</v>
      </c>
      <c r="E700" s="17">
        <f>'Raw Data'!O698</f>
        <v>257</v>
      </c>
      <c r="F700" s="17">
        <f>'Raw Data'!P698</f>
        <v>300</v>
      </c>
      <c r="G700" s="17">
        <f>'Raw Data'!Q698</f>
        <v>762</v>
      </c>
      <c r="H700" s="18">
        <f>INDEX('Industry Stats'!$F$2:$F$49,MATCH($C700,'Industry Stats'!$A$2:$A$49,0))</f>
        <v>709.30769230769226</v>
      </c>
      <c r="I700" s="19">
        <f t="shared" si="110"/>
        <v>52.692307692307736</v>
      </c>
      <c r="J700" s="20">
        <f t="shared" si="111"/>
        <v>7.4286953692658128E-2</v>
      </c>
      <c r="K700" s="18">
        <f>INDEX('Industry Stats'!$C$2:$C$49,MATCH($C700,'Industry Stats'!$A$2:$A$49,0))</f>
        <v>215.38461538461539</v>
      </c>
      <c r="L700" s="19">
        <f t="shared" si="112"/>
        <v>-10.384615384615387</v>
      </c>
      <c r="M700" s="18">
        <f>INDEX('Industry Stats'!$D$2:$D$49,MATCH($C700,'Industry Stats'!$A$2:$A$49,0))</f>
        <v>231.15384615384616</v>
      </c>
      <c r="N700" s="19">
        <f t="shared" si="113"/>
        <v>25.84615384615384</v>
      </c>
      <c r="O700" s="18">
        <f>INDEX('Industry Stats'!$E$2:$E$49,MATCH($C700,'Industry Stats'!$A$2:$A$49,0))</f>
        <v>262.76923076923077</v>
      </c>
      <c r="P700" s="19">
        <f t="shared" si="114"/>
        <v>37.230769230769226</v>
      </c>
      <c r="R700">
        <f t="shared" si="115"/>
        <v>762.00093000000004</v>
      </c>
      <c r="S700">
        <f t="shared" si="116"/>
        <v>205.00093000000001</v>
      </c>
      <c r="T700">
        <f t="shared" si="117"/>
        <v>257.00092999999998</v>
      </c>
      <c r="U700">
        <f t="shared" si="118"/>
        <v>300.00092999999998</v>
      </c>
      <c r="V700">
        <f t="shared" si="119"/>
        <v>52.693237692307733</v>
      </c>
      <c r="W700">
        <f t="shared" si="120"/>
        <v>-52.691377692307739</v>
      </c>
    </row>
    <row r="701" spans="1:23" ht="15" customHeight="1" x14ac:dyDescent="0.35">
      <c r="A701" t="str">
        <f>'Raw Data'!B699</f>
        <v>CNFinance Holdings Ltd</v>
      </c>
      <c r="B701" t="str">
        <f>'Raw Data'!A699</f>
        <v>cnf</v>
      </c>
      <c r="C701" t="str">
        <f>IF('Raw Data'!E699="N/A","Unclassified",TRIM(SUBSTITUTE('Raw Data'!E699," and "," &amp; ")))</f>
        <v>Financial Services</v>
      </c>
      <c r="D701" s="17">
        <f>'Raw Data'!N699</f>
        <v>200</v>
      </c>
      <c r="E701" s="17">
        <f>'Raw Data'!O699</f>
        <v>200</v>
      </c>
      <c r="F701" s="17">
        <f>'Raw Data'!P699</f>
        <v>220</v>
      </c>
      <c r="G701" s="17">
        <f>'Raw Data'!Q699</f>
        <v>620</v>
      </c>
      <c r="H701" s="18">
        <f>INDEX('Industry Stats'!$F$2:$F$49,MATCH($C701,'Industry Stats'!$A$2:$A$49,0))</f>
        <v>909.33333333333337</v>
      </c>
      <c r="I701" s="19">
        <f t="shared" si="110"/>
        <v>-289.33333333333337</v>
      </c>
      <c r="J701" s="20">
        <f t="shared" si="111"/>
        <v>-0.31818181818181823</v>
      </c>
      <c r="K701" s="18">
        <f>INDEX('Industry Stats'!$C$2:$C$49,MATCH($C701,'Industry Stats'!$A$2:$A$49,0))</f>
        <v>367.63636363636363</v>
      </c>
      <c r="L701" s="19">
        <f t="shared" si="112"/>
        <v>-167.63636363636363</v>
      </c>
      <c r="M701" s="18">
        <f>INDEX('Industry Stats'!$D$2:$D$49,MATCH($C701,'Industry Stats'!$A$2:$A$49,0))</f>
        <v>276.45454545454544</v>
      </c>
      <c r="N701" s="19">
        <f t="shared" si="113"/>
        <v>-76.454545454545439</v>
      </c>
      <c r="O701" s="18">
        <f>INDEX('Industry Stats'!$E$2:$E$49,MATCH($C701,'Industry Stats'!$A$2:$A$49,0))</f>
        <v>265.24242424242425</v>
      </c>
      <c r="P701" s="19">
        <f t="shared" si="114"/>
        <v>-45.242424242424249</v>
      </c>
      <c r="R701">
        <f t="shared" si="115"/>
        <v>620.00092989999996</v>
      </c>
      <c r="S701">
        <f t="shared" si="116"/>
        <v>200.00092989999999</v>
      </c>
      <c r="T701">
        <f t="shared" si="117"/>
        <v>200.00092989999999</v>
      </c>
      <c r="U701">
        <f t="shared" si="118"/>
        <v>220.00092989999999</v>
      </c>
      <c r="V701">
        <f t="shared" si="119"/>
        <v>-289.33240343333335</v>
      </c>
      <c r="W701">
        <f t="shared" si="120"/>
        <v>289.33426323333339</v>
      </c>
    </row>
    <row r="702" spans="1:23" ht="15" customHeight="1" x14ac:dyDescent="0.35">
      <c r="A702" t="str">
        <f>'Raw Data'!B700</f>
        <v>Conmed Corp</v>
      </c>
      <c r="B702" t="str">
        <f>'Raw Data'!A700</f>
        <v>cnmd</v>
      </c>
      <c r="C702" t="str">
        <f>IF('Raw Data'!E700="N/A","Unclassified",TRIM(SUBSTITUTE('Raw Data'!E700," and "," &amp; ")))</f>
        <v>Health Care</v>
      </c>
      <c r="D702" s="17">
        <f>'Raw Data'!N700</f>
        <v>441</v>
      </c>
      <c r="E702" s="17">
        <f>'Raw Data'!O700</f>
        <v>300</v>
      </c>
      <c r="F702" s="17">
        <f>'Raw Data'!P700</f>
        <v>270</v>
      </c>
      <c r="G702" s="17">
        <f>'Raw Data'!Q700</f>
        <v>1011</v>
      </c>
      <c r="H702" s="18">
        <f>INDEX('Industry Stats'!$F$2:$F$49,MATCH($C702,'Industry Stats'!$A$2:$A$49,0))</f>
        <v>938.76470588235293</v>
      </c>
      <c r="I702" s="19">
        <f t="shared" si="110"/>
        <v>72.235294117647072</v>
      </c>
      <c r="J702" s="20">
        <f t="shared" si="111"/>
        <v>7.6947177141424919E-2</v>
      </c>
      <c r="K702" s="18">
        <f>INDEX('Industry Stats'!$C$2:$C$49,MATCH($C702,'Industry Stats'!$A$2:$A$49,0))</f>
        <v>374.52941176470586</v>
      </c>
      <c r="L702" s="19">
        <f t="shared" si="112"/>
        <v>66.470588235294144</v>
      </c>
      <c r="M702" s="18">
        <f>INDEX('Industry Stats'!$D$2:$D$49,MATCH($C702,'Industry Stats'!$A$2:$A$49,0))</f>
        <v>287.43137254901961</v>
      </c>
      <c r="N702" s="19">
        <f t="shared" si="113"/>
        <v>12.568627450980387</v>
      </c>
      <c r="O702" s="18">
        <f>INDEX('Industry Stats'!$E$2:$E$49,MATCH($C702,'Industry Stats'!$A$2:$A$49,0))</f>
        <v>276.80392156862746</v>
      </c>
      <c r="P702" s="19">
        <f t="shared" si="114"/>
        <v>-6.8039215686274588</v>
      </c>
      <c r="R702">
        <f t="shared" si="115"/>
        <v>1011.0009298</v>
      </c>
      <c r="S702">
        <f t="shared" si="116"/>
        <v>441.00092979999999</v>
      </c>
      <c r="T702">
        <f t="shared" si="117"/>
        <v>300.00092979999999</v>
      </c>
      <c r="U702">
        <f t="shared" si="118"/>
        <v>270.00092979999999</v>
      </c>
      <c r="V702">
        <f t="shared" si="119"/>
        <v>72.236223917647067</v>
      </c>
      <c r="W702">
        <f t="shared" si="120"/>
        <v>-72.234364317647078</v>
      </c>
    </row>
    <row r="703" spans="1:23" ht="15" customHeight="1" x14ac:dyDescent="0.35">
      <c r="A703" t="str">
        <f>'Raw Data'!B701</f>
        <v>Cinemark Holdings Inc</v>
      </c>
      <c r="B703" t="str">
        <f>'Raw Data'!A701</f>
        <v>cnk</v>
      </c>
      <c r="C703" t="str">
        <f>IF('Raw Data'!E701="N/A","Unclassified",TRIM(SUBSTITUTE('Raw Data'!E701," and "," &amp; ")))</f>
        <v>Media</v>
      </c>
      <c r="D703" s="17">
        <f>'Raw Data'!N701</f>
        <v>330</v>
      </c>
      <c r="E703" s="17">
        <f>'Raw Data'!O701</f>
        <v>300</v>
      </c>
      <c r="F703" s="17">
        <f>'Raw Data'!P701</f>
        <v>300</v>
      </c>
      <c r="G703" s="17">
        <f>'Raw Data'!Q701</f>
        <v>930</v>
      </c>
      <c r="H703" s="18">
        <f>INDEX('Industry Stats'!$F$2:$F$49,MATCH($C703,'Industry Stats'!$A$2:$A$49,0))</f>
        <v>935.26086956521738</v>
      </c>
      <c r="I703" s="19">
        <f t="shared" si="110"/>
        <v>-5.2608695652173765</v>
      </c>
      <c r="J703" s="20">
        <f t="shared" si="111"/>
        <v>-5.6250290549021273E-3</v>
      </c>
      <c r="K703" s="18">
        <f>INDEX('Industry Stats'!$C$2:$C$49,MATCH($C703,'Industry Stats'!$A$2:$A$49,0))</f>
        <v>346.91304347826087</v>
      </c>
      <c r="L703" s="19">
        <f t="shared" si="112"/>
        <v>-16.913043478260875</v>
      </c>
      <c r="M703" s="18">
        <f>INDEX('Industry Stats'!$D$2:$D$49,MATCH($C703,'Industry Stats'!$A$2:$A$49,0))</f>
        <v>313</v>
      </c>
      <c r="N703" s="19">
        <f t="shared" si="113"/>
        <v>-13</v>
      </c>
      <c r="O703" s="18">
        <f>INDEX('Industry Stats'!$E$2:$E$49,MATCH($C703,'Industry Stats'!$A$2:$A$49,0))</f>
        <v>275.3478260869565</v>
      </c>
      <c r="P703" s="19">
        <f t="shared" si="114"/>
        <v>24.652173913043498</v>
      </c>
      <c r="R703">
        <f t="shared" si="115"/>
        <v>930.00092970000003</v>
      </c>
      <c r="S703">
        <f t="shared" si="116"/>
        <v>330.00092969999997</v>
      </c>
      <c r="T703">
        <f t="shared" si="117"/>
        <v>300.00092969999997</v>
      </c>
      <c r="U703">
        <f t="shared" si="118"/>
        <v>300.00092969999997</v>
      </c>
      <c r="V703">
        <f t="shared" si="119"/>
        <v>-5.2599398652173761</v>
      </c>
      <c r="W703">
        <f t="shared" si="120"/>
        <v>5.2617992652173768</v>
      </c>
    </row>
    <row r="704" spans="1:23" ht="15" customHeight="1" x14ac:dyDescent="0.35">
      <c r="A704" t="str">
        <f>'Raw Data'!B702</f>
        <v>Cannae Holdings Inc</v>
      </c>
      <c r="B704" t="str">
        <f>'Raw Data'!A702</f>
        <v>cnne</v>
      </c>
      <c r="C704" t="str">
        <f>IF('Raw Data'!E702="N/A","Unclassified",TRIM(SUBSTITUTE('Raw Data'!E702," and "," &amp; ")))</f>
        <v>Financial Services</v>
      </c>
      <c r="D704" s="17">
        <f>'Raw Data'!N702</f>
        <v>215</v>
      </c>
      <c r="E704" s="17">
        <f>'Raw Data'!O702</f>
        <v>203</v>
      </c>
      <c r="F704" s="17">
        <f>'Raw Data'!P702</f>
        <v>203</v>
      </c>
      <c r="G704" s="17">
        <f>'Raw Data'!Q702</f>
        <v>621</v>
      </c>
      <c r="H704" s="18">
        <f>INDEX('Industry Stats'!$F$2:$F$49,MATCH($C704,'Industry Stats'!$A$2:$A$49,0))</f>
        <v>909.33333333333337</v>
      </c>
      <c r="I704" s="19">
        <f t="shared" si="110"/>
        <v>-288.33333333333337</v>
      </c>
      <c r="J704" s="20">
        <f t="shared" si="111"/>
        <v>-0.3170821114369502</v>
      </c>
      <c r="K704" s="18">
        <f>INDEX('Industry Stats'!$C$2:$C$49,MATCH($C704,'Industry Stats'!$A$2:$A$49,0))</f>
        <v>367.63636363636363</v>
      </c>
      <c r="L704" s="19">
        <f t="shared" si="112"/>
        <v>-152.63636363636363</v>
      </c>
      <c r="M704" s="18">
        <f>INDEX('Industry Stats'!$D$2:$D$49,MATCH($C704,'Industry Stats'!$A$2:$A$49,0))</f>
        <v>276.45454545454544</v>
      </c>
      <c r="N704" s="19">
        <f t="shared" si="113"/>
        <v>-73.454545454545439</v>
      </c>
      <c r="O704" s="18">
        <f>INDEX('Industry Stats'!$E$2:$E$49,MATCH($C704,'Industry Stats'!$A$2:$A$49,0))</f>
        <v>265.24242424242425</v>
      </c>
      <c r="P704" s="19">
        <f t="shared" si="114"/>
        <v>-62.242424242424249</v>
      </c>
      <c r="R704">
        <f t="shared" si="115"/>
        <v>621.00092959999995</v>
      </c>
      <c r="S704">
        <f t="shared" si="116"/>
        <v>215.00092960000001</v>
      </c>
      <c r="T704">
        <f t="shared" si="117"/>
        <v>203.00092960000001</v>
      </c>
      <c r="U704">
        <f t="shared" si="118"/>
        <v>203.00092960000001</v>
      </c>
      <c r="V704">
        <f t="shared" si="119"/>
        <v>-288.33240373333336</v>
      </c>
      <c r="W704">
        <f t="shared" si="120"/>
        <v>288.33426293333338</v>
      </c>
    </row>
    <row r="705" spans="1:23" ht="15" customHeight="1" x14ac:dyDescent="0.35">
      <c r="A705" t="str">
        <f>'Raw Data'!B703</f>
        <v>CNO Financial Group Inc</v>
      </c>
      <c r="B705" t="str">
        <f>'Raw Data'!A703</f>
        <v>cno</v>
      </c>
      <c r="C705" t="str">
        <f>IF('Raw Data'!E703="N/A","Unclassified",TRIM(SUBSTITUTE('Raw Data'!E703," and "," &amp; ")))</f>
        <v>Insurance</v>
      </c>
      <c r="D705" s="17">
        <f>'Raw Data'!N703</f>
        <v>500</v>
      </c>
      <c r="E705" s="17">
        <f>'Raw Data'!O703</f>
        <v>322</v>
      </c>
      <c r="F705" s="17">
        <f>'Raw Data'!P703</f>
        <v>315</v>
      </c>
      <c r="G705" s="17">
        <f>'Raw Data'!Q703</f>
        <v>1137</v>
      </c>
      <c r="H705" s="18">
        <f>INDEX('Industry Stats'!$F$2:$F$49,MATCH($C705,'Industry Stats'!$A$2:$A$49,0))</f>
        <v>1012.3703703703703</v>
      </c>
      <c r="I705" s="19">
        <f t="shared" si="110"/>
        <v>124.62962962962968</v>
      </c>
      <c r="J705" s="20">
        <f t="shared" si="111"/>
        <v>0.12310675349381728</v>
      </c>
      <c r="K705" s="18">
        <f>INDEX('Industry Stats'!$C$2:$C$49,MATCH($C705,'Industry Stats'!$A$2:$A$49,0))</f>
        <v>425.25925925925924</v>
      </c>
      <c r="L705" s="19">
        <f t="shared" si="112"/>
        <v>74.740740740740762</v>
      </c>
      <c r="M705" s="18">
        <f>INDEX('Industry Stats'!$D$2:$D$49,MATCH($C705,'Industry Stats'!$A$2:$A$49,0))</f>
        <v>295.66666666666669</v>
      </c>
      <c r="N705" s="19">
        <f t="shared" si="113"/>
        <v>26.333333333333314</v>
      </c>
      <c r="O705" s="18">
        <f>INDEX('Industry Stats'!$E$2:$E$49,MATCH($C705,'Industry Stats'!$A$2:$A$49,0))</f>
        <v>291.44444444444446</v>
      </c>
      <c r="P705" s="19">
        <f t="shared" si="114"/>
        <v>23.555555555555543</v>
      </c>
      <c r="R705">
        <f t="shared" si="115"/>
        <v>1137.0009295</v>
      </c>
      <c r="S705">
        <f t="shared" si="116"/>
        <v>500.00092949999998</v>
      </c>
      <c r="T705">
        <f t="shared" si="117"/>
        <v>322.00092949999998</v>
      </c>
      <c r="U705">
        <f t="shared" si="118"/>
        <v>315.00092949999998</v>
      </c>
      <c r="V705">
        <f t="shared" si="119"/>
        <v>124.63055912962967</v>
      </c>
      <c r="W705">
        <f t="shared" si="120"/>
        <v>-124.62870012962968</v>
      </c>
    </row>
    <row r="706" spans="1:23" ht="15" customHeight="1" x14ac:dyDescent="0.35">
      <c r="A706" t="str">
        <f>'Raw Data'!B704</f>
        <v>CNA Financial Corp</v>
      </c>
      <c r="B706" t="str">
        <f>'Raw Data'!A704</f>
        <v>cna</v>
      </c>
      <c r="C706" t="str">
        <f>IF('Raw Data'!E704="N/A","Unclassified",TRIM(SUBSTITUTE('Raw Data'!E704," and "," &amp; ")))</f>
        <v>Insurance</v>
      </c>
      <c r="D706" s="17">
        <f>'Raw Data'!N704</f>
        <v>540</v>
      </c>
      <c r="E706" s="17">
        <f>'Raw Data'!O704</f>
        <v>329</v>
      </c>
      <c r="F706" s="17">
        <f>'Raw Data'!P704</f>
        <v>340</v>
      </c>
      <c r="G706" s="17">
        <f>'Raw Data'!Q704</f>
        <v>1209</v>
      </c>
      <c r="H706" s="18">
        <f>INDEX('Industry Stats'!$F$2:$F$49,MATCH($C706,'Industry Stats'!$A$2:$A$49,0))</f>
        <v>1012.3703703703703</v>
      </c>
      <c r="I706" s="19">
        <f t="shared" si="110"/>
        <v>196.62962962962968</v>
      </c>
      <c r="J706" s="20">
        <f t="shared" si="111"/>
        <v>0.19422697007390069</v>
      </c>
      <c r="K706" s="18">
        <f>INDEX('Industry Stats'!$C$2:$C$49,MATCH($C706,'Industry Stats'!$A$2:$A$49,0))</f>
        <v>425.25925925925924</v>
      </c>
      <c r="L706" s="19">
        <f t="shared" si="112"/>
        <v>114.74074074074076</v>
      </c>
      <c r="M706" s="18">
        <f>INDEX('Industry Stats'!$D$2:$D$49,MATCH($C706,'Industry Stats'!$A$2:$A$49,0))</f>
        <v>295.66666666666669</v>
      </c>
      <c r="N706" s="19">
        <f t="shared" si="113"/>
        <v>33.333333333333314</v>
      </c>
      <c r="O706" s="18">
        <f>INDEX('Industry Stats'!$E$2:$E$49,MATCH($C706,'Industry Stats'!$A$2:$A$49,0))</f>
        <v>291.44444444444446</v>
      </c>
      <c r="P706" s="19">
        <f t="shared" si="114"/>
        <v>48.555555555555543</v>
      </c>
      <c r="R706">
        <f t="shared" si="115"/>
        <v>1209.0009293999999</v>
      </c>
      <c r="S706">
        <f t="shared" si="116"/>
        <v>540.00092940000002</v>
      </c>
      <c r="T706">
        <f t="shared" si="117"/>
        <v>329.00092940000002</v>
      </c>
      <c r="U706">
        <f t="shared" si="118"/>
        <v>340.00092940000002</v>
      </c>
      <c r="V706">
        <f t="shared" si="119"/>
        <v>196.63055902962967</v>
      </c>
      <c r="W706">
        <f t="shared" si="120"/>
        <v>-196.62870022962969</v>
      </c>
    </row>
    <row r="707" spans="1:23" ht="15" customHeight="1" x14ac:dyDescent="0.35">
      <c r="A707" t="str">
        <f>'Raw Data'!B705</f>
        <v>Costamare Inc</v>
      </c>
      <c r="B707" t="str">
        <f>'Raw Data'!A705</f>
        <v>cmre</v>
      </c>
      <c r="C707" t="str">
        <f>IF('Raw Data'!E705="N/A","Unclassified",TRIM(SUBSTITUTE('Raw Data'!E705," and "," &amp; ")))</f>
        <v>Marine</v>
      </c>
      <c r="D707" s="17">
        <f>'Raw Data'!N705</f>
        <v>242</v>
      </c>
      <c r="E707" s="17">
        <f>'Raw Data'!O705</f>
        <v>204</v>
      </c>
      <c r="F707" s="17">
        <f>'Raw Data'!P705</f>
        <v>200</v>
      </c>
      <c r="G707" s="17">
        <f>'Raw Data'!Q705</f>
        <v>646</v>
      </c>
      <c r="H707" s="18">
        <f>INDEX('Industry Stats'!$F$2:$F$49,MATCH($C707,'Industry Stats'!$A$2:$A$49,0))</f>
        <v>865.33333333333337</v>
      </c>
      <c r="I707" s="19">
        <f t="shared" si="110"/>
        <v>-219.33333333333337</v>
      </c>
      <c r="J707" s="20">
        <f t="shared" si="111"/>
        <v>-0.25346687211093993</v>
      </c>
      <c r="K707" s="18">
        <f>INDEX('Industry Stats'!$C$2:$C$49,MATCH($C707,'Industry Stats'!$A$2:$A$49,0))</f>
        <v>305.33333333333331</v>
      </c>
      <c r="L707" s="19">
        <f t="shared" si="112"/>
        <v>-63.333333333333314</v>
      </c>
      <c r="M707" s="18">
        <f>INDEX('Industry Stats'!$D$2:$D$49,MATCH($C707,'Industry Stats'!$A$2:$A$49,0))</f>
        <v>285</v>
      </c>
      <c r="N707" s="19">
        <f t="shared" si="113"/>
        <v>-81</v>
      </c>
      <c r="O707" s="18">
        <f>INDEX('Industry Stats'!$E$2:$E$49,MATCH($C707,'Industry Stats'!$A$2:$A$49,0))</f>
        <v>275</v>
      </c>
      <c r="P707" s="19">
        <f t="shared" si="114"/>
        <v>-75</v>
      </c>
      <c r="R707">
        <f t="shared" si="115"/>
        <v>646.00092930000005</v>
      </c>
      <c r="S707">
        <f t="shared" si="116"/>
        <v>242.0009293</v>
      </c>
      <c r="T707">
        <f t="shared" si="117"/>
        <v>204.0009293</v>
      </c>
      <c r="U707">
        <f t="shared" si="118"/>
        <v>200.0009293</v>
      </c>
      <c r="V707">
        <f t="shared" si="119"/>
        <v>-219.33240403333338</v>
      </c>
      <c r="W707">
        <f t="shared" si="120"/>
        <v>219.33426263333337</v>
      </c>
    </row>
    <row r="708" spans="1:23" ht="15" customHeight="1" x14ac:dyDescent="0.35">
      <c r="A708" t="str">
        <f>'Raw Data'!B706</f>
        <v>Granite Construction Inc</v>
      </c>
      <c r="B708" t="str">
        <f>'Raw Data'!A706</f>
        <v>gva</v>
      </c>
      <c r="C708" t="str">
        <f>IF('Raw Data'!E706="N/A","Unclassified",TRIM(SUBSTITUTE('Raw Data'!E706," and "," &amp; ")))</f>
        <v>Construction</v>
      </c>
      <c r="D708" s="17">
        <f>'Raw Data'!N706</f>
        <v>200</v>
      </c>
      <c r="E708" s="17">
        <f>'Raw Data'!O706</f>
        <v>200</v>
      </c>
      <c r="F708" s="17">
        <f>'Raw Data'!P706</f>
        <v>200</v>
      </c>
      <c r="G708" s="17">
        <f>'Raw Data'!Q706</f>
        <v>600</v>
      </c>
      <c r="H708" s="18">
        <f>INDEX('Industry Stats'!$F$2:$F$49,MATCH($C708,'Industry Stats'!$A$2:$A$49,0))</f>
        <v>1082.6666666666667</v>
      </c>
      <c r="I708" s="19">
        <f t="shared" ref="I708:I771" si="121">G708-H708</f>
        <v>-482.66666666666674</v>
      </c>
      <c r="J708" s="20">
        <f t="shared" ref="J708:J771" si="122">I708/H708</f>
        <v>-0.44581280788177347</v>
      </c>
      <c r="K708" s="18">
        <f>INDEX('Industry Stats'!$C$2:$C$49,MATCH($C708,'Industry Stats'!$A$2:$A$49,0))</f>
        <v>495.33333333333331</v>
      </c>
      <c r="L708" s="19">
        <f t="shared" ref="L708:L771" si="123">D708-K708</f>
        <v>-295.33333333333331</v>
      </c>
      <c r="M708" s="18">
        <f>INDEX('Industry Stats'!$D$2:$D$49,MATCH($C708,'Industry Stats'!$A$2:$A$49,0))</f>
        <v>306.16666666666669</v>
      </c>
      <c r="N708" s="19">
        <f t="shared" ref="N708:N771" si="124">E708-M708</f>
        <v>-106.16666666666669</v>
      </c>
      <c r="O708" s="18">
        <f>INDEX('Industry Stats'!$E$2:$E$49,MATCH($C708,'Industry Stats'!$A$2:$A$49,0))</f>
        <v>281.16666666666669</v>
      </c>
      <c r="P708" s="19">
        <f t="shared" ref="P708:P771" si="125">F708-O708</f>
        <v>-81.166666666666686</v>
      </c>
      <c r="R708">
        <f t="shared" ref="R708:R725" si="126">G708+(10000-ROW())/10000000</f>
        <v>600.00092919999997</v>
      </c>
      <c r="S708">
        <f t="shared" ref="S708:S725" si="127">D708+(10000-ROW())/10000000</f>
        <v>200.0009292</v>
      </c>
      <c r="T708">
        <f t="shared" ref="T708:T725" si="128">E708+(10000-ROW())/10000000</f>
        <v>200.0009292</v>
      </c>
      <c r="U708">
        <f t="shared" ref="U708:U725" si="129">F708+(10000-ROW())/10000000</f>
        <v>200.0009292</v>
      </c>
      <c r="V708">
        <f t="shared" ref="V708:V725" si="130">I708+(10000-ROW())/10000000</f>
        <v>-482.66573746666677</v>
      </c>
      <c r="W708">
        <f t="shared" ref="W708:W725" si="131">-I708+(10000-ROW())/10000000</f>
        <v>482.66759586666672</v>
      </c>
    </row>
    <row r="709" spans="1:23" ht="15" customHeight="1" x14ac:dyDescent="0.35">
      <c r="A709" t="str">
        <f>'Raw Data'!B707</f>
        <v>Fabrinet</v>
      </c>
      <c r="B709" t="str">
        <f>'Raw Data'!A707</f>
        <v>fn</v>
      </c>
      <c r="C709" t="str">
        <f>IF('Raw Data'!E707="N/A","Unclassified",TRIM(SUBSTITUTE('Raw Data'!E707," and "," &amp; ")))</f>
        <v>Electrical Equipment</v>
      </c>
      <c r="D709" s="17">
        <f>'Raw Data'!N707</f>
        <v>510</v>
      </c>
      <c r="E709" s="17">
        <f>'Raw Data'!O707</f>
        <v>209</v>
      </c>
      <c r="F709" s="17">
        <f>'Raw Data'!P707</f>
        <v>210</v>
      </c>
      <c r="G709" s="17">
        <f>'Raw Data'!Q707</f>
        <v>929</v>
      </c>
      <c r="H709" s="18">
        <f>INDEX('Industry Stats'!$F$2:$F$49,MATCH($C709,'Industry Stats'!$A$2:$A$49,0))</f>
        <v>933</v>
      </c>
      <c r="I709" s="19">
        <f t="shared" si="121"/>
        <v>-4</v>
      </c>
      <c r="J709" s="20">
        <f t="shared" si="122"/>
        <v>-4.2872454448017148E-3</v>
      </c>
      <c r="K709" s="18">
        <f>INDEX('Industry Stats'!$C$2:$C$49,MATCH($C709,'Industry Stats'!$A$2:$A$49,0))</f>
        <v>381.7037037037037</v>
      </c>
      <c r="L709" s="19">
        <f t="shared" si="123"/>
        <v>128.2962962962963</v>
      </c>
      <c r="M709" s="18">
        <f>INDEX('Industry Stats'!$D$2:$D$49,MATCH($C709,'Industry Stats'!$A$2:$A$49,0))</f>
        <v>272.11111111111109</v>
      </c>
      <c r="N709" s="19">
        <f t="shared" si="124"/>
        <v>-63.111111111111086</v>
      </c>
      <c r="O709" s="18">
        <f>INDEX('Industry Stats'!$E$2:$E$49,MATCH($C709,'Industry Stats'!$A$2:$A$49,0))</f>
        <v>279.18518518518516</v>
      </c>
      <c r="P709" s="19">
        <f t="shared" si="125"/>
        <v>-69.185185185185162</v>
      </c>
      <c r="R709">
        <f t="shared" si="126"/>
        <v>929.00092910000001</v>
      </c>
      <c r="S709">
        <f t="shared" si="127"/>
        <v>510.00092910000001</v>
      </c>
      <c r="T709">
        <f t="shared" si="128"/>
        <v>209.00092910000001</v>
      </c>
      <c r="U709">
        <f t="shared" si="129"/>
        <v>210.00092910000001</v>
      </c>
      <c r="V709">
        <f t="shared" si="130"/>
        <v>-3.9990709</v>
      </c>
      <c r="W709">
        <f t="shared" si="131"/>
        <v>4.0009290999999996</v>
      </c>
    </row>
    <row r="710" spans="1:23" ht="15" customHeight="1" x14ac:dyDescent="0.35">
      <c r="A710" t="str">
        <f>'Raw Data'!B708</f>
        <v>Hyatt Hotels Corp</v>
      </c>
      <c r="B710" t="str">
        <f>'Raw Data'!A708</f>
        <v>h</v>
      </c>
      <c r="C710" t="str">
        <f>IF('Raw Data'!E708="N/A","Unclassified",TRIM(SUBSTITUTE('Raw Data'!E708," and "," &amp; ")))</f>
        <v>Hotels, Restaurants &amp; Leisure</v>
      </c>
      <c r="D710" s="17">
        <f>'Raw Data'!N708</f>
        <v>235</v>
      </c>
      <c r="E710" s="17">
        <f>'Raw Data'!O708</f>
        <v>209</v>
      </c>
      <c r="F710" s="17">
        <f>'Raw Data'!P708</f>
        <v>205</v>
      </c>
      <c r="G710" s="17">
        <f>'Raw Data'!Q708</f>
        <v>649</v>
      </c>
      <c r="H710" s="18">
        <f>INDEX('Industry Stats'!$F$2:$F$49,MATCH($C710,'Industry Stats'!$A$2:$A$49,0))</f>
        <v>746</v>
      </c>
      <c r="I710" s="19">
        <f t="shared" si="121"/>
        <v>-97</v>
      </c>
      <c r="J710" s="20">
        <f t="shared" si="122"/>
        <v>-0.13002680965147453</v>
      </c>
      <c r="K710" s="18">
        <f>INDEX('Industry Stats'!$C$2:$C$49,MATCH($C710,'Industry Stats'!$A$2:$A$49,0))</f>
        <v>270</v>
      </c>
      <c r="L710" s="19">
        <f t="shared" si="123"/>
        <v>-35</v>
      </c>
      <c r="M710" s="18">
        <f>INDEX('Industry Stats'!$D$2:$D$49,MATCH($C710,'Industry Stats'!$A$2:$A$49,0))</f>
        <v>248.5</v>
      </c>
      <c r="N710" s="19">
        <f t="shared" si="124"/>
        <v>-39.5</v>
      </c>
      <c r="O710" s="18">
        <f>INDEX('Industry Stats'!$E$2:$E$49,MATCH($C710,'Industry Stats'!$A$2:$A$49,0))</f>
        <v>227.5</v>
      </c>
      <c r="P710" s="19">
        <f t="shared" si="125"/>
        <v>-22.5</v>
      </c>
      <c r="R710">
        <f t="shared" si="126"/>
        <v>649.00092900000004</v>
      </c>
      <c r="S710">
        <f t="shared" si="127"/>
        <v>235.00092900000001</v>
      </c>
      <c r="T710">
        <f t="shared" si="128"/>
        <v>209.00092900000001</v>
      </c>
      <c r="U710">
        <f t="shared" si="129"/>
        <v>205.00092900000001</v>
      </c>
      <c r="V710">
        <f t="shared" si="130"/>
        <v>-96.999071000000001</v>
      </c>
      <c r="W710">
        <f t="shared" si="131"/>
        <v>97.000928999999999</v>
      </c>
    </row>
    <row r="711" spans="1:23" ht="15" customHeight="1" x14ac:dyDescent="0.35">
      <c r="A711" t="str">
        <f>'Raw Data'!B709</f>
        <v>Hannon Armstrong Sustainable Infrastructure Capital Inc</v>
      </c>
      <c r="B711" t="str">
        <f>'Raw Data'!A709</f>
        <v>hasi</v>
      </c>
      <c r="C711" t="str">
        <f>IF('Raw Data'!E709="N/A","Unclassified",TRIM(SUBSTITUTE('Raw Data'!E709," and "," &amp; ")))</f>
        <v>Real Estate</v>
      </c>
      <c r="D711" s="17">
        <f>'Raw Data'!N709</f>
        <v>646</v>
      </c>
      <c r="E711" s="17">
        <f>'Raw Data'!O709</f>
        <v>404</v>
      </c>
      <c r="F711" s="17">
        <f>'Raw Data'!P709</f>
        <v>313</v>
      </c>
      <c r="G711" s="17">
        <f>'Raw Data'!Q709</f>
        <v>1363</v>
      </c>
      <c r="H711" s="18">
        <f>INDEX('Industry Stats'!$F$2:$F$49,MATCH($C711,'Industry Stats'!$A$2:$A$49,0))</f>
        <v>995.94444444444446</v>
      </c>
      <c r="I711" s="19">
        <f t="shared" si="121"/>
        <v>367.05555555555554</v>
      </c>
      <c r="J711" s="20">
        <f t="shared" si="122"/>
        <v>0.36855023149439392</v>
      </c>
      <c r="K711" s="18">
        <f>INDEX('Industry Stats'!$C$2:$C$49,MATCH($C711,'Industry Stats'!$A$2:$A$49,0))</f>
        <v>431.38888888888891</v>
      </c>
      <c r="L711" s="19">
        <f t="shared" si="123"/>
        <v>214.61111111111109</v>
      </c>
      <c r="M711" s="18">
        <f>INDEX('Industry Stats'!$D$2:$D$49,MATCH($C711,'Industry Stats'!$A$2:$A$49,0))</f>
        <v>290.91666666666669</v>
      </c>
      <c r="N711" s="19">
        <f t="shared" si="124"/>
        <v>113.08333333333331</v>
      </c>
      <c r="O711" s="18">
        <f>INDEX('Industry Stats'!$E$2:$E$49,MATCH($C711,'Industry Stats'!$A$2:$A$49,0))</f>
        <v>273.63888888888891</v>
      </c>
      <c r="P711" s="19">
        <f t="shared" si="125"/>
        <v>39.361111111111086</v>
      </c>
      <c r="R711">
        <f t="shared" si="126"/>
        <v>1363.0009289</v>
      </c>
      <c r="S711">
        <f t="shared" si="127"/>
        <v>646.00092889999996</v>
      </c>
      <c r="T711">
        <f t="shared" si="128"/>
        <v>404.00092890000002</v>
      </c>
      <c r="U711">
        <f t="shared" si="129"/>
        <v>313.00092890000002</v>
      </c>
      <c r="V711">
        <f t="shared" si="130"/>
        <v>367.05648445555556</v>
      </c>
      <c r="W711">
        <f t="shared" si="131"/>
        <v>-367.05462665555552</v>
      </c>
    </row>
    <row r="712" spans="1:23" ht="15" customHeight="1" x14ac:dyDescent="0.35">
      <c r="A712" t="str">
        <f>'Raw Data'!B710</f>
        <v>Hayward Holdings Inc</v>
      </c>
      <c r="B712" t="str">
        <f>'Raw Data'!A710</f>
        <v>hayw</v>
      </c>
      <c r="C712" t="str">
        <f>IF('Raw Data'!E710="N/A","Unclassified",TRIM(SUBSTITUTE('Raw Data'!E710," and "," &amp; ")))</f>
        <v>Building</v>
      </c>
      <c r="D712" s="17">
        <f>'Raw Data'!N710</f>
        <v>535</v>
      </c>
      <c r="E712" s="17">
        <f>'Raw Data'!O710</f>
        <v>305</v>
      </c>
      <c r="F712" s="17">
        <f>'Raw Data'!P710</f>
        <v>300</v>
      </c>
      <c r="G712" s="17">
        <f>'Raw Data'!Q710</f>
        <v>1140</v>
      </c>
      <c r="H712" s="18">
        <f>INDEX('Industry Stats'!$F$2:$F$49,MATCH($C712,'Industry Stats'!$A$2:$A$49,0))</f>
        <v>1074.2</v>
      </c>
      <c r="I712" s="19">
        <f t="shared" si="121"/>
        <v>65.799999999999955</v>
      </c>
      <c r="J712" s="20">
        <f t="shared" si="122"/>
        <v>6.125488735803384E-2</v>
      </c>
      <c r="K712" s="18">
        <f>INDEX('Industry Stats'!$C$2:$C$49,MATCH($C712,'Industry Stats'!$A$2:$A$49,0))</f>
        <v>476.7</v>
      </c>
      <c r="L712" s="19">
        <f t="shared" si="123"/>
        <v>58.300000000000011</v>
      </c>
      <c r="M712" s="18">
        <f>INDEX('Industry Stats'!$D$2:$D$49,MATCH($C712,'Industry Stats'!$A$2:$A$49,0))</f>
        <v>305.10000000000002</v>
      </c>
      <c r="N712" s="19">
        <f t="shared" si="124"/>
        <v>-0.10000000000002274</v>
      </c>
      <c r="O712" s="18">
        <f>INDEX('Industry Stats'!$E$2:$E$49,MATCH($C712,'Industry Stats'!$A$2:$A$49,0))</f>
        <v>292.39999999999998</v>
      </c>
      <c r="P712" s="19">
        <f t="shared" si="125"/>
        <v>7.6000000000000227</v>
      </c>
      <c r="R712">
        <f t="shared" si="126"/>
        <v>1140.0009288000001</v>
      </c>
      <c r="S712">
        <f t="shared" si="127"/>
        <v>535.0009288</v>
      </c>
      <c r="T712">
        <f t="shared" si="128"/>
        <v>305.0009288</v>
      </c>
      <c r="U712">
        <f t="shared" si="129"/>
        <v>300.0009288</v>
      </c>
      <c r="V712">
        <f t="shared" si="130"/>
        <v>65.800928799999951</v>
      </c>
      <c r="W712">
        <f t="shared" si="131"/>
        <v>-65.799071199999958</v>
      </c>
    </row>
    <row r="713" spans="1:23" ht="15" customHeight="1" x14ac:dyDescent="0.35">
      <c r="A713" t="str">
        <f>'Raw Data'!B711</f>
        <v>Hamilton Beach Brands Holding Co</v>
      </c>
      <c r="B713" t="str">
        <f>'Raw Data'!A711</f>
        <v>hbb</v>
      </c>
      <c r="C713" t="str">
        <f>IF('Raw Data'!E711="N/A","Unclassified",TRIM(SUBSTITUTE('Raw Data'!E711," and "," &amp; ")))</f>
        <v>Consumer products</v>
      </c>
      <c r="D713" s="17">
        <f>'Raw Data'!N711</f>
        <v>245</v>
      </c>
      <c r="E713" s="17">
        <f>'Raw Data'!O711</f>
        <v>272</v>
      </c>
      <c r="F713" s="17">
        <f>'Raw Data'!P711</f>
        <v>230</v>
      </c>
      <c r="G713" s="17">
        <f>'Raw Data'!Q711</f>
        <v>747</v>
      </c>
      <c r="H713" s="18">
        <f>INDEX('Industry Stats'!$F$2:$F$49,MATCH($C713,'Industry Stats'!$A$2:$A$49,0))</f>
        <v>945.55</v>
      </c>
      <c r="I713" s="19">
        <f t="shared" si="121"/>
        <v>-198.54999999999995</v>
      </c>
      <c r="J713" s="20">
        <f t="shared" si="122"/>
        <v>-0.2099836074242504</v>
      </c>
      <c r="K713" s="18">
        <f>INDEX('Industry Stats'!$C$2:$C$49,MATCH($C713,'Industry Stats'!$A$2:$A$49,0))</f>
        <v>384.9</v>
      </c>
      <c r="L713" s="19">
        <f t="shared" si="123"/>
        <v>-139.89999999999998</v>
      </c>
      <c r="M713" s="18">
        <f>INDEX('Industry Stats'!$D$2:$D$49,MATCH($C713,'Industry Stats'!$A$2:$A$49,0))</f>
        <v>285.7</v>
      </c>
      <c r="N713" s="19">
        <f t="shared" si="124"/>
        <v>-13.699999999999989</v>
      </c>
      <c r="O713" s="18">
        <f>INDEX('Industry Stats'!$E$2:$E$49,MATCH($C713,'Industry Stats'!$A$2:$A$49,0))</f>
        <v>274.95</v>
      </c>
      <c r="P713" s="19">
        <f t="shared" si="125"/>
        <v>-44.949999999999989</v>
      </c>
      <c r="R713">
        <f t="shared" si="126"/>
        <v>747.00092870000003</v>
      </c>
      <c r="S713">
        <f t="shared" si="127"/>
        <v>245.0009287</v>
      </c>
      <c r="T713">
        <f t="shared" si="128"/>
        <v>272.00092869999997</v>
      </c>
      <c r="U713">
        <f t="shared" si="129"/>
        <v>230.0009287</v>
      </c>
      <c r="V713">
        <f t="shared" si="130"/>
        <v>-198.54907129999995</v>
      </c>
      <c r="W713">
        <f t="shared" si="131"/>
        <v>198.55092869999996</v>
      </c>
    </row>
    <row r="714" spans="1:23" ht="15" customHeight="1" x14ac:dyDescent="0.35">
      <c r="A714" t="str">
        <f>'Raw Data'!B712</f>
        <v>Warrior Met Coal Inc</v>
      </c>
      <c r="B714" t="str">
        <f>'Raw Data'!A712</f>
        <v>hcc</v>
      </c>
      <c r="C714" t="str">
        <f>IF('Raw Data'!E712="N/A","Unclassified",TRIM(SUBSTITUTE('Raw Data'!E712," and "," &amp; ")))</f>
        <v>Metals &amp; Mining</v>
      </c>
      <c r="D714" s="17">
        <f>'Raw Data'!N712</f>
        <v>215</v>
      </c>
      <c r="E714" s="17">
        <f>'Raw Data'!O712</f>
        <v>200</v>
      </c>
      <c r="F714" s="17">
        <f>'Raw Data'!P712</f>
        <v>200</v>
      </c>
      <c r="G714" s="17">
        <f>'Raw Data'!Q712</f>
        <v>615</v>
      </c>
      <c r="H714" s="18">
        <f>INDEX('Industry Stats'!$F$2:$F$49,MATCH($C714,'Industry Stats'!$A$2:$A$49,0))</f>
        <v>987</v>
      </c>
      <c r="I714" s="19">
        <f t="shared" si="121"/>
        <v>-372</v>
      </c>
      <c r="J714" s="20">
        <f t="shared" si="122"/>
        <v>-0.37689969604863222</v>
      </c>
      <c r="K714" s="18">
        <f>INDEX('Industry Stats'!$C$2:$C$49,MATCH($C714,'Industry Stats'!$A$2:$A$49,0))</f>
        <v>427.3</v>
      </c>
      <c r="L714" s="19">
        <f t="shared" si="123"/>
        <v>-212.3</v>
      </c>
      <c r="M714" s="18">
        <f>INDEX('Industry Stats'!$D$2:$D$49,MATCH($C714,'Industry Stats'!$A$2:$A$49,0))</f>
        <v>289.2</v>
      </c>
      <c r="N714" s="19">
        <f t="shared" si="124"/>
        <v>-89.199999999999989</v>
      </c>
      <c r="O714" s="18">
        <f>INDEX('Industry Stats'!$E$2:$E$49,MATCH($C714,'Industry Stats'!$A$2:$A$49,0))</f>
        <v>270.5</v>
      </c>
      <c r="P714" s="19">
        <f t="shared" si="125"/>
        <v>-70.5</v>
      </c>
      <c r="R714">
        <f t="shared" si="126"/>
        <v>615.00092859999995</v>
      </c>
      <c r="S714">
        <f t="shared" si="127"/>
        <v>215.00092860000001</v>
      </c>
      <c r="T714">
        <f t="shared" si="128"/>
        <v>200.00092860000001</v>
      </c>
      <c r="U714">
        <f t="shared" si="129"/>
        <v>200.00092860000001</v>
      </c>
      <c r="V714">
        <f t="shared" si="130"/>
        <v>-371.99907139999999</v>
      </c>
      <c r="W714">
        <f t="shared" si="131"/>
        <v>372.00092860000001</v>
      </c>
    </row>
    <row r="715" spans="1:23" ht="15" customHeight="1" x14ac:dyDescent="0.35">
      <c r="A715" t="str">
        <f>'Raw Data'!B713</f>
        <v>Hci Group Inc</v>
      </c>
      <c r="B715" t="str">
        <f>'Raw Data'!A713</f>
        <v>hci</v>
      </c>
      <c r="C715" t="str">
        <f>IF('Raw Data'!E713="N/A","Unclassified",TRIM(SUBSTITUTE('Raw Data'!E713," and "," &amp; ")))</f>
        <v>Insurance</v>
      </c>
      <c r="D715" s="17">
        <f>'Raw Data'!N713</f>
        <v>205</v>
      </c>
      <c r="E715" s="17">
        <f>'Raw Data'!O713</f>
        <v>260</v>
      </c>
      <c r="F715" s="17">
        <f>'Raw Data'!P713</f>
        <v>300</v>
      </c>
      <c r="G715" s="17">
        <f>'Raw Data'!Q713</f>
        <v>765</v>
      </c>
      <c r="H715" s="18">
        <f>INDEX('Industry Stats'!$F$2:$F$49,MATCH($C715,'Industry Stats'!$A$2:$A$49,0))</f>
        <v>1012.3703703703703</v>
      </c>
      <c r="I715" s="19">
        <f t="shared" si="121"/>
        <v>-247.37037037037032</v>
      </c>
      <c r="J715" s="20">
        <f t="shared" si="122"/>
        <v>-0.2443476988366137</v>
      </c>
      <c r="K715" s="18">
        <f>INDEX('Industry Stats'!$C$2:$C$49,MATCH($C715,'Industry Stats'!$A$2:$A$49,0))</f>
        <v>425.25925925925924</v>
      </c>
      <c r="L715" s="19">
        <f t="shared" si="123"/>
        <v>-220.25925925925924</v>
      </c>
      <c r="M715" s="18">
        <f>INDEX('Industry Stats'!$D$2:$D$49,MATCH($C715,'Industry Stats'!$A$2:$A$49,0))</f>
        <v>295.66666666666669</v>
      </c>
      <c r="N715" s="19">
        <f t="shared" si="124"/>
        <v>-35.666666666666686</v>
      </c>
      <c r="O715" s="18">
        <f>INDEX('Industry Stats'!$E$2:$E$49,MATCH($C715,'Industry Stats'!$A$2:$A$49,0))</f>
        <v>291.44444444444446</v>
      </c>
      <c r="P715" s="19">
        <f t="shared" si="125"/>
        <v>8.5555555555555429</v>
      </c>
      <c r="R715">
        <f t="shared" si="126"/>
        <v>765.00092849999999</v>
      </c>
      <c r="S715">
        <f t="shared" si="127"/>
        <v>205.00092849999999</v>
      </c>
      <c r="T715">
        <f t="shared" si="128"/>
        <v>260.00092849999999</v>
      </c>
      <c r="U715">
        <f t="shared" si="129"/>
        <v>300.00092849999999</v>
      </c>
      <c r="V715">
        <f t="shared" si="130"/>
        <v>-247.36944187037034</v>
      </c>
      <c r="W715">
        <f t="shared" si="131"/>
        <v>247.37129887037031</v>
      </c>
    </row>
    <row r="716" spans="1:23" ht="15" customHeight="1" x14ac:dyDescent="0.35">
      <c r="A716" t="str">
        <f>'Raw Data'!B714</f>
        <v>Hawaiian Electric Industries Inc</v>
      </c>
      <c r="B716" t="str">
        <f>'Raw Data'!A714</f>
        <v>he</v>
      </c>
      <c r="C716" t="str">
        <f>IF('Raw Data'!E714="N/A","Unclassified",TRIM(SUBSTITUTE('Raw Data'!E714," and "," &amp; ")))</f>
        <v>Utilities</v>
      </c>
      <c r="D716" s="17">
        <f>'Raw Data'!N714</f>
        <v>585</v>
      </c>
      <c r="E716" s="17">
        <f>'Raw Data'!O714</f>
        <v>348</v>
      </c>
      <c r="F716" s="17">
        <f>'Raw Data'!P714</f>
        <v>310</v>
      </c>
      <c r="G716" s="17">
        <f>'Raw Data'!Q714</f>
        <v>1243</v>
      </c>
      <c r="H716" s="18">
        <f>INDEX('Industry Stats'!$F$2:$F$49,MATCH($C716,'Industry Stats'!$A$2:$A$49,0))</f>
        <v>1190.6333333333334</v>
      </c>
      <c r="I716" s="19">
        <f t="shared" si="121"/>
        <v>52.366666666666561</v>
      </c>
      <c r="J716" s="20">
        <f t="shared" si="122"/>
        <v>4.3982194350345664E-2</v>
      </c>
      <c r="K716" s="18">
        <f>INDEX('Industry Stats'!$C$2:$C$49,MATCH($C716,'Industry Stats'!$A$2:$A$49,0))</f>
        <v>550.9666666666667</v>
      </c>
      <c r="L716" s="19">
        <f t="shared" si="123"/>
        <v>34.033333333333303</v>
      </c>
      <c r="M716" s="18">
        <f>INDEX('Industry Stats'!$D$2:$D$49,MATCH($C716,'Industry Stats'!$A$2:$A$49,0))</f>
        <v>357.4</v>
      </c>
      <c r="N716" s="19">
        <f t="shared" si="124"/>
        <v>-9.3999999999999773</v>
      </c>
      <c r="O716" s="18">
        <f>INDEX('Industry Stats'!$E$2:$E$49,MATCH($C716,'Industry Stats'!$A$2:$A$49,0))</f>
        <v>282.26666666666665</v>
      </c>
      <c r="P716" s="19">
        <f t="shared" si="125"/>
        <v>27.733333333333348</v>
      </c>
      <c r="R716">
        <f t="shared" si="126"/>
        <v>1243.0009284</v>
      </c>
      <c r="S716">
        <f t="shared" si="127"/>
        <v>585.00092840000002</v>
      </c>
      <c r="T716">
        <f t="shared" si="128"/>
        <v>348.00092840000002</v>
      </c>
      <c r="U716">
        <f t="shared" si="129"/>
        <v>310.00092840000002</v>
      </c>
      <c r="V716">
        <f t="shared" si="130"/>
        <v>52.36759506666656</v>
      </c>
      <c r="W716">
        <f t="shared" si="131"/>
        <v>-52.365738266666561</v>
      </c>
    </row>
    <row r="717" spans="1:23" ht="15" customHeight="1" x14ac:dyDescent="0.35">
      <c r="A717" t="str">
        <f>'Raw Data'!B715</f>
        <v>Guidewire Software Inc</v>
      </c>
      <c r="B717" t="str">
        <f>'Raw Data'!A715</f>
        <v>gwre</v>
      </c>
      <c r="C717" t="str">
        <f>IF('Raw Data'!E715="N/A","Unclassified",TRIM(SUBSTITUTE('Raw Data'!E715," and "," &amp; ")))</f>
        <v>Technology</v>
      </c>
      <c r="D717" s="17">
        <f>'Raw Data'!N715</f>
        <v>549</v>
      </c>
      <c r="E717" s="17">
        <f>'Raw Data'!O715</f>
        <v>321</v>
      </c>
      <c r="F717" s="17">
        <f>'Raw Data'!P715</f>
        <v>330</v>
      </c>
      <c r="G717" s="17">
        <f>'Raw Data'!Q715</f>
        <v>1200</v>
      </c>
      <c r="H717" s="18">
        <f>INDEX('Industry Stats'!$F$2:$F$49,MATCH($C717,'Industry Stats'!$A$2:$A$49,0))</f>
        <v>1031.3174603174602</v>
      </c>
      <c r="I717" s="19">
        <f t="shared" si="121"/>
        <v>168.68253968253975</v>
      </c>
      <c r="J717" s="20">
        <f t="shared" si="122"/>
        <v>0.16356024810305828</v>
      </c>
      <c r="K717" s="18">
        <f>INDEX('Industry Stats'!$C$2:$C$49,MATCH($C717,'Industry Stats'!$A$2:$A$49,0))</f>
        <v>438.11111111111109</v>
      </c>
      <c r="L717" s="19">
        <f t="shared" si="123"/>
        <v>110.88888888888891</v>
      </c>
      <c r="M717" s="18">
        <f>INDEX('Industry Stats'!$D$2:$D$49,MATCH($C717,'Industry Stats'!$A$2:$A$49,0))</f>
        <v>307.90476190476193</v>
      </c>
      <c r="N717" s="19">
        <f t="shared" si="124"/>
        <v>13.095238095238074</v>
      </c>
      <c r="O717" s="18">
        <f>INDEX('Industry Stats'!$E$2:$E$49,MATCH($C717,'Industry Stats'!$A$2:$A$49,0))</f>
        <v>285.30158730158729</v>
      </c>
      <c r="P717" s="19">
        <f t="shared" si="125"/>
        <v>44.69841269841271</v>
      </c>
      <c r="R717">
        <f t="shared" si="126"/>
        <v>1200.0009282999999</v>
      </c>
      <c r="S717">
        <f t="shared" si="127"/>
        <v>549.00092830000006</v>
      </c>
      <c r="T717">
        <f t="shared" si="128"/>
        <v>321.0009283</v>
      </c>
      <c r="U717">
        <f t="shared" si="129"/>
        <v>330.0009283</v>
      </c>
      <c r="V717">
        <f t="shared" si="130"/>
        <v>168.68346798253975</v>
      </c>
      <c r="W717">
        <f t="shared" si="131"/>
        <v>-168.68161138253976</v>
      </c>
    </row>
    <row r="718" spans="1:23" ht="15" customHeight="1" x14ac:dyDescent="0.35">
      <c r="A718" t="str">
        <f>'Raw Data'!B716</f>
        <v>Haemonetics Corp</v>
      </c>
      <c r="B718" t="str">
        <f>'Raw Data'!A716</f>
        <v>hae</v>
      </c>
      <c r="C718" t="str">
        <f>IF('Raw Data'!E716="N/A","Unclassified",TRIM(SUBSTITUTE('Raw Data'!E716," and "," &amp; ")))</f>
        <v>Health Care</v>
      </c>
      <c r="D718" s="17">
        <f>'Raw Data'!N716</f>
        <v>448</v>
      </c>
      <c r="E718" s="17">
        <f>'Raw Data'!O716</f>
        <v>303</v>
      </c>
      <c r="F718" s="17">
        <f>'Raw Data'!P716</f>
        <v>305</v>
      </c>
      <c r="G718" s="17">
        <f>'Raw Data'!Q716</f>
        <v>1056</v>
      </c>
      <c r="H718" s="18">
        <f>INDEX('Industry Stats'!$F$2:$F$49,MATCH($C718,'Industry Stats'!$A$2:$A$49,0))</f>
        <v>938.76470588235293</v>
      </c>
      <c r="I718" s="19">
        <f t="shared" si="121"/>
        <v>117.23529411764707</v>
      </c>
      <c r="J718" s="20">
        <f t="shared" si="122"/>
        <v>0.12488251143555362</v>
      </c>
      <c r="K718" s="18">
        <f>INDEX('Industry Stats'!$C$2:$C$49,MATCH($C718,'Industry Stats'!$A$2:$A$49,0))</f>
        <v>374.52941176470586</v>
      </c>
      <c r="L718" s="19">
        <f t="shared" si="123"/>
        <v>73.470588235294144</v>
      </c>
      <c r="M718" s="18">
        <f>INDEX('Industry Stats'!$D$2:$D$49,MATCH($C718,'Industry Stats'!$A$2:$A$49,0))</f>
        <v>287.43137254901961</v>
      </c>
      <c r="N718" s="19">
        <f t="shared" si="124"/>
        <v>15.568627450980387</v>
      </c>
      <c r="O718" s="18">
        <f>INDEX('Industry Stats'!$E$2:$E$49,MATCH($C718,'Industry Stats'!$A$2:$A$49,0))</f>
        <v>276.80392156862746</v>
      </c>
      <c r="P718" s="19">
        <f t="shared" si="125"/>
        <v>28.196078431372541</v>
      </c>
      <c r="R718">
        <f t="shared" si="126"/>
        <v>1056.0009282000001</v>
      </c>
      <c r="S718">
        <f t="shared" si="127"/>
        <v>448.00092819999998</v>
      </c>
      <c r="T718">
        <f t="shared" si="128"/>
        <v>303.00092819999998</v>
      </c>
      <c r="U718">
        <f t="shared" si="129"/>
        <v>305.00092819999998</v>
      </c>
      <c r="V718">
        <f t="shared" si="130"/>
        <v>117.23622231764708</v>
      </c>
      <c r="W718">
        <f t="shared" si="131"/>
        <v>-117.23436591764707</v>
      </c>
    </row>
    <row r="719" spans="1:23" ht="15" customHeight="1" x14ac:dyDescent="0.35">
      <c r="A719" t="str">
        <f>'Raw Data'!B717</f>
        <v>Holly Energy Partners LP</v>
      </c>
      <c r="B719" t="str">
        <f>'Raw Data'!A717</f>
        <v>hep</v>
      </c>
      <c r="C719" t="str">
        <f>IF('Raw Data'!E717="N/A","Unclassified",TRIM(SUBSTITUTE('Raw Data'!E717," and "," &amp; ")))</f>
        <v>Energy</v>
      </c>
      <c r="D719" s="17">
        <f>'Raw Data'!N717</f>
        <v>511</v>
      </c>
      <c r="E719" s="17">
        <f>'Raw Data'!O717</f>
        <v>225</v>
      </c>
      <c r="F719" s="17">
        <f>'Raw Data'!P717</f>
        <v>215</v>
      </c>
      <c r="G719" s="17">
        <f>'Raw Data'!Q717</f>
        <v>951</v>
      </c>
      <c r="H719" s="18">
        <f>INDEX('Industry Stats'!$F$2:$F$49,MATCH($C719,'Industry Stats'!$A$2:$A$49,0))</f>
        <v>1117.7619047619048</v>
      </c>
      <c r="I719" s="19">
        <f t="shared" si="121"/>
        <v>-166.76190476190482</v>
      </c>
      <c r="J719" s="20">
        <f t="shared" si="122"/>
        <v>-0.14919268947301159</v>
      </c>
      <c r="K719" s="18">
        <f>INDEX('Industry Stats'!$C$2:$C$49,MATCH($C719,'Industry Stats'!$A$2:$A$49,0))</f>
        <v>515.09523809523807</v>
      </c>
      <c r="L719" s="19">
        <f t="shared" si="123"/>
        <v>-4.0952380952380736</v>
      </c>
      <c r="M719" s="18">
        <f>INDEX('Industry Stats'!$D$2:$D$49,MATCH($C719,'Industry Stats'!$A$2:$A$49,0))</f>
        <v>308.95238095238096</v>
      </c>
      <c r="N719" s="19">
        <f t="shared" si="124"/>
        <v>-83.952380952380963</v>
      </c>
      <c r="O719" s="18">
        <f>INDEX('Industry Stats'!$E$2:$E$49,MATCH($C719,'Industry Stats'!$A$2:$A$49,0))</f>
        <v>293.71428571428572</v>
      </c>
      <c r="P719" s="19">
        <f t="shared" si="125"/>
        <v>-78.714285714285722</v>
      </c>
      <c r="R719">
        <f t="shared" si="126"/>
        <v>951.00092810000001</v>
      </c>
      <c r="S719">
        <f t="shared" si="127"/>
        <v>511.00092810000001</v>
      </c>
      <c r="T719">
        <f t="shared" si="128"/>
        <v>225.00092810000001</v>
      </c>
      <c r="U719">
        <f t="shared" si="129"/>
        <v>215.00092810000001</v>
      </c>
      <c r="V719">
        <f t="shared" si="130"/>
        <v>-166.76097666190481</v>
      </c>
      <c r="W719">
        <f t="shared" si="131"/>
        <v>166.76283286190483</v>
      </c>
    </row>
    <row r="720" spans="1:23" ht="15" customHeight="1" x14ac:dyDescent="0.35">
      <c r="A720" t="str">
        <f>'Raw Data'!B718</f>
        <v>Hilton Grand Vacations Inc</v>
      </c>
      <c r="B720" t="str">
        <f>'Raw Data'!A718</f>
        <v>hgv</v>
      </c>
      <c r="C720" t="str">
        <f>IF('Raw Data'!E718="N/A","Unclassified",TRIM(SUBSTITUTE('Raw Data'!E718," and "," &amp; ")))</f>
        <v>Hotels, Restaurants &amp; Leisure</v>
      </c>
      <c r="D720" s="17">
        <f>'Raw Data'!N718</f>
        <v>305</v>
      </c>
      <c r="E720" s="17">
        <f>'Raw Data'!O718</f>
        <v>288</v>
      </c>
      <c r="F720" s="17">
        <f>'Raw Data'!P718</f>
        <v>250</v>
      </c>
      <c r="G720" s="17">
        <f>'Raw Data'!Q718</f>
        <v>843</v>
      </c>
      <c r="H720" s="18">
        <f>INDEX('Industry Stats'!$F$2:$F$49,MATCH($C720,'Industry Stats'!$A$2:$A$49,0))</f>
        <v>746</v>
      </c>
      <c r="I720" s="19">
        <f t="shared" si="121"/>
        <v>97</v>
      </c>
      <c r="J720" s="20">
        <f t="shared" si="122"/>
        <v>0.13002680965147453</v>
      </c>
      <c r="K720" s="18">
        <f>INDEX('Industry Stats'!$C$2:$C$49,MATCH($C720,'Industry Stats'!$A$2:$A$49,0))</f>
        <v>270</v>
      </c>
      <c r="L720" s="19">
        <f t="shared" si="123"/>
        <v>35</v>
      </c>
      <c r="M720" s="18">
        <f>INDEX('Industry Stats'!$D$2:$D$49,MATCH($C720,'Industry Stats'!$A$2:$A$49,0))</f>
        <v>248.5</v>
      </c>
      <c r="N720" s="19">
        <f t="shared" si="124"/>
        <v>39.5</v>
      </c>
      <c r="O720" s="18">
        <f>INDEX('Industry Stats'!$E$2:$E$49,MATCH($C720,'Industry Stats'!$A$2:$A$49,0))</f>
        <v>227.5</v>
      </c>
      <c r="P720" s="19">
        <f t="shared" si="125"/>
        <v>22.5</v>
      </c>
      <c r="R720">
        <f t="shared" si="126"/>
        <v>843.00092800000004</v>
      </c>
      <c r="S720">
        <f t="shared" si="127"/>
        <v>305.00092799999999</v>
      </c>
      <c r="T720">
        <f t="shared" si="128"/>
        <v>288.00092799999999</v>
      </c>
      <c r="U720">
        <f t="shared" si="129"/>
        <v>250.00092799999999</v>
      </c>
      <c r="V720">
        <f t="shared" si="130"/>
        <v>97.000928000000002</v>
      </c>
      <c r="W720">
        <f t="shared" si="131"/>
        <v>-96.999071999999998</v>
      </c>
    </row>
    <row r="721" spans="1:23" ht="15" customHeight="1" x14ac:dyDescent="0.35">
      <c r="A721" t="str">
        <f>'Raw Data'!B719</f>
        <v>Hillenbrand Inc</v>
      </c>
      <c r="B721" t="str">
        <f>'Raw Data'!A719</f>
        <v>hi</v>
      </c>
      <c r="C721" t="str">
        <f>IF('Raw Data'!E719="N/A","Unclassified",TRIM(SUBSTITUTE('Raw Data'!E719," and "," &amp; ")))</f>
        <v>Machinery</v>
      </c>
      <c r="D721" s="17">
        <f>'Raw Data'!N719</f>
        <v>489</v>
      </c>
      <c r="E721" s="17">
        <f>'Raw Data'!O719</f>
        <v>349</v>
      </c>
      <c r="F721" s="17">
        <f>'Raw Data'!P719</f>
        <v>300</v>
      </c>
      <c r="G721" s="17">
        <f>'Raw Data'!Q719</f>
        <v>1138</v>
      </c>
      <c r="H721" s="18">
        <f>INDEX('Industry Stats'!$F$2:$F$49,MATCH($C721,'Industry Stats'!$A$2:$A$49,0))</f>
        <v>1048.047619047619</v>
      </c>
      <c r="I721" s="19">
        <f t="shared" si="121"/>
        <v>89.952380952380963</v>
      </c>
      <c r="J721" s="20">
        <f t="shared" si="122"/>
        <v>8.5828524694443187E-2</v>
      </c>
      <c r="K721" s="18">
        <f>INDEX('Industry Stats'!$C$2:$C$49,MATCH($C721,'Industry Stats'!$A$2:$A$49,0))</f>
        <v>459.57142857142856</v>
      </c>
      <c r="L721" s="19">
        <f t="shared" si="123"/>
        <v>29.428571428571445</v>
      </c>
      <c r="M721" s="18">
        <f>INDEX('Industry Stats'!$D$2:$D$49,MATCH($C721,'Industry Stats'!$A$2:$A$49,0))</f>
        <v>313.66666666666669</v>
      </c>
      <c r="N721" s="19">
        <f t="shared" si="124"/>
        <v>35.333333333333314</v>
      </c>
      <c r="O721" s="18">
        <f>INDEX('Industry Stats'!$E$2:$E$49,MATCH($C721,'Industry Stats'!$A$2:$A$49,0))</f>
        <v>274.8095238095238</v>
      </c>
      <c r="P721" s="19">
        <f t="shared" si="125"/>
        <v>25.190476190476204</v>
      </c>
      <c r="R721">
        <f t="shared" si="126"/>
        <v>1138.0009279000001</v>
      </c>
      <c r="S721">
        <f t="shared" si="127"/>
        <v>489.00092790000002</v>
      </c>
      <c r="T721">
        <f t="shared" si="128"/>
        <v>349.00092790000002</v>
      </c>
      <c r="U721">
        <f t="shared" si="129"/>
        <v>300.00092790000002</v>
      </c>
      <c r="V721">
        <f t="shared" si="130"/>
        <v>89.953308852380957</v>
      </c>
      <c r="W721">
        <f t="shared" si="131"/>
        <v>-89.95145305238097</v>
      </c>
    </row>
    <row r="722" spans="1:23" ht="15" customHeight="1" x14ac:dyDescent="0.35">
      <c r="A722" t="str">
        <f>'Raw Data'!B720</f>
        <v>Howard Hughes Corp</v>
      </c>
      <c r="B722" t="str">
        <f>'Raw Data'!A720</f>
        <v>hhc</v>
      </c>
      <c r="C722" t="str">
        <f>IF('Raw Data'!E720="N/A","Unclassified",TRIM(SUBSTITUTE('Raw Data'!E720," and "," &amp; ")))</f>
        <v>Real Estate</v>
      </c>
      <c r="D722" s="17">
        <f>'Raw Data'!N720</f>
        <v>500</v>
      </c>
      <c r="E722" s="17">
        <f>'Raw Data'!O720</f>
        <v>300</v>
      </c>
      <c r="F722" s="17">
        <f>'Raw Data'!P720</f>
        <v>300</v>
      </c>
      <c r="G722" s="17">
        <f>'Raw Data'!Q720</f>
        <v>1100</v>
      </c>
      <c r="H722" s="18">
        <f>INDEX('Industry Stats'!$F$2:$F$49,MATCH($C722,'Industry Stats'!$A$2:$A$49,0))</f>
        <v>995.94444444444446</v>
      </c>
      <c r="I722" s="19">
        <f t="shared" si="121"/>
        <v>104.05555555555554</v>
      </c>
      <c r="J722" s="20">
        <f t="shared" si="122"/>
        <v>0.10447927706810954</v>
      </c>
      <c r="K722" s="18">
        <f>INDEX('Industry Stats'!$C$2:$C$49,MATCH($C722,'Industry Stats'!$A$2:$A$49,0))</f>
        <v>431.38888888888891</v>
      </c>
      <c r="L722" s="19">
        <f t="shared" si="123"/>
        <v>68.611111111111086</v>
      </c>
      <c r="M722" s="18">
        <f>INDEX('Industry Stats'!$D$2:$D$49,MATCH($C722,'Industry Stats'!$A$2:$A$49,0))</f>
        <v>290.91666666666669</v>
      </c>
      <c r="N722" s="19">
        <f t="shared" si="124"/>
        <v>9.0833333333333144</v>
      </c>
      <c r="O722" s="18">
        <f>INDEX('Industry Stats'!$E$2:$E$49,MATCH($C722,'Industry Stats'!$A$2:$A$49,0))</f>
        <v>273.63888888888891</v>
      </c>
      <c r="P722" s="19">
        <f t="shared" si="125"/>
        <v>26.361111111111086</v>
      </c>
      <c r="R722">
        <f t="shared" si="126"/>
        <v>1100.0009278</v>
      </c>
      <c r="S722">
        <f t="shared" si="127"/>
        <v>500.0009278</v>
      </c>
      <c r="T722">
        <f t="shared" si="128"/>
        <v>300.0009278</v>
      </c>
      <c r="U722">
        <f t="shared" si="129"/>
        <v>300.0009278</v>
      </c>
      <c r="V722">
        <f t="shared" si="130"/>
        <v>104.05648335555554</v>
      </c>
      <c r="W722">
        <f t="shared" si="131"/>
        <v>-104.05462775555554</v>
      </c>
    </row>
    <row r="723" spans="1:23" ht="15" customHeight="1" x14ac:dyDescent="0.35">
      <c r="A723" t="str">
        <f>'Raw Data'!B721</f>
        <v>HubSpot Inc</v>
      </c>
      <c r="B723" t="str">
        <f>'Raw Data'!A721</f>
        <v>hubs</v>
      </c>
      <c r="C723" t="str">
        <f>IF('Raw Data'!E721="N/A","Unclassified",TRIM(SUBSTITUTE('Raw Data'!E721," and "," &amp; ")))</f>
        <v>Technology</v>
      </c>
      <c r="D723" s="17">
        <f>'Raw Data'!N721</f>
        <v>480</v>
      </c>
      <c r="E723" s="17">
        <f>'Raw Data'!O721</f>
        <v>329</v>
      </c>
      <c r="F723" s="17">
        <f>'Raw Data'!P721</f>
        <v>320</v>
      </c>
      <c r="G723" s="17">
        <f>'Raw Data'!Q721</f>
        <v>1129</v>
      </c>
      <c r="H723" s="18">
        <f>INDEX('Industry Stats'!$F$2:$F$49,MATCH($C723,'Industry Stats'!$A$2:$A$49,0))</f>
        <v>1031.3174603174602</v>
      </c>
      <c r="I723" s="19">
        <f t="shared" si="121"/>
        <v>97.682539682539755</v>
      </c>
      <c r="J723" s="20">
        <f t="shared" si="122"/>
        <v>9.4716266756960654E-2</v>
      </c>
      <c r="K723" s="18">
        <f>INDEX('Industry Stats'!$C$2:$C$49,MATCH($C723,'Industry Stats'!$A$2:$A$49,0))</f>
        <v>438.11111111111109</v>
      </c>
      <c r="L723" s="19">
        <f t="shared" si="123"/>
        <v>41.888888888888914</v>
      </c>
      <c r="M723" s="18">
        <f>INDEX('Industry Stats'!$D$2:$D$49,MATCH($C723,'Industry Stats'!$A$2:$A$49,0))</f>
        <v>307.90476190476193</v>
      </c>
      <c r="N723" s="19">
        <f t="shared" si="124"/>
        <v>21.095238095238074</v>
      </c>
      <c r="O723" s="18">
        <f>INDEX('Industry Stats'!$E$2:$E$49,MATCH($C723,'Industry Stats'!$A$2:$A$49,0))</f>
        <v>285.30158730158729</v>
      </c>
      <c r="P723" s="19">
        <f t="shared" si="125"/>
        <v>34.69841269841271</v>
      </c>
      <c r="R723">
        <f t="shared" si="126"/>
        <v>1129.0009276999999</v>
      </c>
      <c r="S723">
        <f t="shared" si="127"/>
        <v>480.00092769999998</v>
      </c>
      <c r="T723">
        <f t="shared" si="128"/>
        <v>329.00092769999998</v>
      </c>
      <c r="U723">
        <f t="shared" si="129"/>
        <v>320.00092769999998</v>
      </c>
      <c r="V723">
        <f t="shared" si="130"/>
        <v>97.68346738253976</v>
      </c>
      <c r="W723">
        <f t="shared" si="131"/>
        <v>-97.681611982539749</v>
      </c>
    </row>
    <row r="724" spans="1:23" ht="15" customHeight="1" x14ac:dyDescent="0.35">
      <c r="A724" t="str">
        <f>'Raw Data'!B722</f>
        <v>Hess Midstream LP</v>
      </c>
      <c r="B724" t="str">
        <f>'Raw Data'!A722</f>
        <v>hesm</v>
      </c>
      <c r="C724" t="str">
        <f>IF('Raw Data'!E722="N/A","Unclassified",TRIM(SUBSTITUTE('Raw Data'!E722," and "," &amp; ")))</f>
        <v>Energy</v>
      </c>
      <c r="D724" s="17">
        <f>'Raw Data'!N722</f>
        <v>307</v>
      </c>
      <c r="E724" s="17">
        <f>'Raw Data'!O722</f>
        <v>257</v>
      </c>
      <c r="F724" s="17">
        <f>'Raw Data'!P722</f>
        <v>255</v>
      </c>
      <c r="G724" s="17">
        <f>'Raw Data'!Q722</f>
        <v>819</v>
      </c>
      <c r="H724" s="18">
        <f>INDEX('Industry Stats'!$F$2:$F$49,MATCH($C724,'Industry Stats'!$A$2:$A$49,0))</f>
        <v>1117.7619047619048</v>
      </c>
      <c r="I724" s="19">
        <f t="shared" si="121"/>
        <v>-298.76190476190482</v>
      </c>
      <c r="J724" s="20">
        <f t="shared" si="122"/>
        <v>-0.26728581774805099</v>
      </c>
      <c r="K724" s="18">
        <f>INDEX('Industry Stats'!$C$2:$C$49,MATCH($C724,'Industry Stats'!$A$2:$A$49,0))</f>
        <v>515.09523809523807</v>
      </c>
      <c r="L724" s="19">
        <f t="shared" si="123"/>
        <v>-208.09523809523807</v>
      </c>
      <c r="M724" s="18">
        <f>INDEX('Industry Stats'!$D$2:$D$49,MATCH($C724,'Industry Stats'!$A$2:$A$49,0))</f>
        <v>308.95238095238096</v>
      </c>
      <c r="N724" s="19">
        <f t="shared" si="124"/>
        <v>-51.952380952380963</v>
      </c>
      <c r="O724" s="18">
        <f>INDEX('Industry Stats'!$E$2:$E$49,MATCH($C724,'Industry Stats'!$A$2:$A$49,0))</f>
        <v>293.71428571428572</v>
      </c>
      <c r="P724" s="19">
        <f t="shared" si="125"/>
        <v>-38.714285714285722</v>
      </c>
      <c r="R724">
        <f t="shared" si="126"/>
        <v>819.00092759999995</v>
      </c>
      <c r="S724">
        <f t="shared" si="127"/>
        <v>307.00092760000001</v>
      </c>
      <c r="T724">
        <f t="shared" si="128"/>
        <v>257.00092760000001</v>
      </c>
      <c r="U724">
        <f t="shared" si="129"/>
        <v>255.00092760000001</v>
      </c>
      <c r="V724">
        <f t="shared" si="130"/>
        <v>-298.7609771619048</v>
      </c>
      <c r="W724">
        <f t="shared" si="131"/>
        <v>298.76283236190483</v>
      </c>
    </row>
    <row r="725" spans="1:23" ht="15" customHeight="1" x14ac:dyDescent="0.35">
      <c r="A725" t="str">
        <f>'Raw Data'!B723</f>
        <v>HEICO Corp</v>
      </c>
      <c r="B725" t="str">
        <f>'Raw Data'!A723</f>
        <v>hei</v>
      </c>
      <c r="C725" t="str">
        <f>IF('Raw Data'!E723="N/A","Unclassified",TRIM(SUBSTITUTE('Raw Data'!E723," and "," &amp; ")))</f>
        <v>Aerospace &amp; Defense</v>
      </c>
      <c r="D725" s="17">
        <f>'Raw Data'!N723</f>
        <v>225</v>
      </c>
      <c r="E725" s="17">
        <f>'Raw Data'!O723</f>
        <v>203</v>
      </c>
      <c r="F725" s="17">
        <f>'Raw Data'!P723</f>
        <v>205</v>
      </c>
      <c r="G725" s="17">
        <f>'Raw Data'!Q723</f>
        <v>633</v>
      </c>
      <c r="H725" s="18">
        <f>INDEX('Industry Stats'!$F$2:$F$49,MATCH($C725,'Industry Stats'!$A$2:$A$49,0))</f>
        <v>1048.1818181818182</v>
      </c>
      <c r="I725" s="19">
        <f t="shared" si="121"/>
        <v>-415.18181818181824</v>
      </c>
      <c r="J725" s="20">
        <f t="shared" si="122"/>
        <v>-0.39609713790112755</v>
      </c>
      <c r="K725" s="18">
        <f>INDEX('Industry Stats'!$C$2:$C$49,MATCH($C725,'Industry Stats'!$A$2:$A$49,0))</f>
        <v>461.36363636363637</v>
      </c>
      <c r="L725" s="19">
        <f t="shared" si="123"/>
        <v>-236.36363636363637</v>
      </c>
      <c r="M725" s="18">
        <f>INDEX('Industry Stats'!$D$2:$D$49,MATCH($C725,'Industry Stats'!$A$2:$A$49,0))</f>
        <v>296.36363636363637</v>
      </c>
      <c r="N725" s="19">
        <f t="shared" si="124"/>
        <v>-93.363636363636374</v>
      </c>
      <c r="O725" s="18">
        <f>INDEX('Industry Stats'!$E$2:$E$49,MATCH($C725,'Industry Stats'!$A$2:$A$49,0))</f>
        <v>290.45454545454544</v>
      </c>
      <c r="P725" s="19">
        <f t="shared" si="125"/>
        <v>-85.454545454545439</v>
      </c>
      <c r="R725">
        <f t="shared" si="126"/>
        <v>633.00092749999999</v>
      </c>
      <c r="S725">
        <f t="shared" si="127"/>
        <v>225.00092749999999</v>
      </c>
      <c r="T725">
        <f t="shared" si="128"/>
        <v>203.00092749999999</v>
      </c>
      <c r="U725">
        <f t="shared" si="129"/>
        <v>205.00092749999999</v>
      </c>
      <c r="V725">
        <f t="shared" si="130"/>
        <v>-415.18089068181825</v>
      </c>
      <c r="W725">
        <f t="shared" si="131"/>
        <v>415.18274568181823</v>
      </c>
    </row>
  </sheetData>
  <autoFilter ref="A3:P725" xr:uid="{00000000-0009-0000-0000-000001000000}"/>
  <mergeCells count="2">
    <mergeCell ref="A1:P1"/>
    <mergeCell ref="A2:P2"/>
  </mergeCells>
  <conditionalFormatting sqref="I4:I725">
    <cfRule type="cellIs" dxfId="8" priority="2" operator="greaterThan">
      <formula>0</formula>
    </cfRule>
    <cfRule type="cellIs" dxfId="7" priority="3" operator="lessThan">
      <formula>0</formula>
    </cfRule>
  </conditionalFormatting>
  <conditionalFormatting sqref="L4:L725">
    <cfRule type="cellIs" dxfId="6" priority="4" operator="greaterThan">
      <formula>0</formula>
    </cfRule>
    <cfRule type="cellIs" dxfId="5" priority="5" operator="lessThan">
      <formula>0</formula>
    </cfRule>
  </conditionalFormatting>
  <conditionalFormatting sqref="N4:N725">
    <cfRule type="cellIs" dxfId="4" priority="6" operator="greaterThan">
      <formula>0</formula>
    </cfRule>
    <cfRule type="cellIs" dxfId="3" priority="7" operator="lessThan">
      <formula>0</formula>
    </cfRule>
  </conditionalFormatting>
  <conditionalFormatting sqref="P4:P725">
    <cfRule type="cellIs" dxfId="2" priority="8" operator="greaterThan">
      <formula>0</formula>
    </cfRule>
    <cfRule type="cellIs" dxfId="1" priority="9" operator="less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B72"/>
  </sheetPr>
  <dimension ref="A1:T725"/>
  <sheetViews>
    <sheetView showGridLines="0" zoomScaleNormal="100" workbookViewId="0">
      <pane xSplit="3" ySplit="3" topLeftCell="D4" activePane="bottomRight" state="frozen"/>
      <selection pane="topRight" activeCell="D1" sqref="D1"/>
      <selection pane="bottomLeft" activeCell="A4" sqref="A4"/>
      <selection pane="bottomRight" sqref="A1:Q1"/>
    </sheetView>
  </sheetViews>
  <sheetFormatPr defaultColWidth="8.6328125" defaultRowHeight="14.5" x14ac:dyDescent="0.35"/>
  <cols>
    <col min="1" max="1" width="26" customWidth="1"/>
    <col min="2" max="2" width="9" customWidth="1"/>
    <col min="3" max="3" width="26" customWidth="1"/>
    <col min="4" max="4" width="11" customWidth="1"/>
    <col min="5" max="5" width="10" customWidth="1"/>
    <col min="6" max="6" width="11" customWidth="1"/>
    <col min="7" max="7" width="10" customWidth="1"/>
    <col min="8" max="9" width="13" customWidth="1"/>
    <col min="10" max="12" width="9" customWidth="1"/>
    <col min="13" max="14" width="11" customWidth="1"/>
    <col min="15" max="16" width="12" customWidth="1"/>
    <col min="17" max="17" width="26" customWidth="1"/>
    <col min="19" max="20" width="12" hidden="1" customWidth="1"/>
  </cols>
  <sheetData>
    <row r="1" spans="1:20" ht="30" customHeight="1" x14ac:dyDescent="0.35">
      <c r="A1" s="14" t="s">
        <v>2957</v>
      </c>
      <c r="B1" s="14"/>
      <c r="C1" s="14"/>
      <c r="D1" s="14"/>
      <c r="E1" s="14"/>
      <c r="F1" s="14"/>
      <c r="G1" s="14"/>
      <c r="H1" s="14"/>
      <c r="I1" s="14"/>
      <c r="J1" s="14"/>
      <c r="K1" s="14"/>
      <c r="L1" s="14"/>
      <c r="M1" s="14"/>
      <c r="N1" s="14"/>
      <c r="O1" s="14"/>
      <c r="P1" s="14"/>
      <c r="Q1" s="14"/>
    </row>
    <row r="2" spans="1:20" ht="18" customHeight="1" x14ac:dyDescent="0.35">
      <c r="A2" s="13" t="s">
        <v>2958</v>
      </c>
      <c r="B2" s="13"/>
      <c r="C2" s="13"/>
      <c r="D2" s="13"/>
      <c r="E2" s="13"/>
      <c r="F2" s="13"/>
      <c r="G2" s="13"/>
      <c r="H2" s="13"/>
      <c r="I2" s="13"/>
      <c r="J2" s="13"/>
      <c r="K2" s="13"/>
      <c r="L2" s="13"/>
      <c r="M2" s="13"/>
      <c r="N2" s="13"/>
      <c r="O2" s="13"/>
      <c r="P2" s="13"/>
      <c r="Q2" s="13"/>
    </row>
    <row r="3" spans="1:20" ht="27.75" customHeight="1" x14ac:dyDescent="0.35">
      <c r="A3" s="21" t="s">
        <v>2941</v>
      </c>
      <c r="B3" s="21" t="s">
        <v>2942</v>
      </c>
      <c r="C3" s="21" t="s">
        <v>2943</v>
      </c>
      <c r="D3" s="21" t="s">
        <v>2944</v>
      </c>
      <c r="E3" s="21" t="s">
        <v>2945</v>
      </c>
      <c r="F3" s="21" t="s">
        <v>2946</v>
      </c>
      <c r="G3" s="21" t="s">
        <v>2947</v>
      </c>
      <c r="H3" s="21" t="s">
        <v>2959</v>
      </c>
      <c r="I3" s="21" t="s">
        <v>2960</v>
      </c>
      <c r="J3" s="21" t="s">
        <v>2961</v>
      </c>
      <c r="K3" s="21" t="s">
        <v>2962</v>
      </c>
      <c r="L3" s="21" t="s">
        <v>2963</v>
      </c>
      <c r="M3" s="21" t="s">
        <v>2964</v>
      </c>
      <c r="N3" s="21" t="s">
        <v>2965</v>
      </c>
      <c r="O3" s="21" t="s">
        <v>2966</v>
      </c>
      <c r="P3" s="21" t="s">
        <v>2967</v>
      </c>
      <c r="Q3" s="21" t="s">
        <v>2968</v>
      </c>
    </row>
    <row r="4" spans="1:20" ht="15" customHeight="1" x14ac:dyDescent="0.35">
      <c r="A4" t="str">
        <f>Benchmarking!A4</f>
        <v>Walt Disney Co</v>
      </c>
      <c r="B4" t="str">
        <f>Benchmarking!B4</f>
        <v>dis</v>
      </c>
      <c r="C4" t="str">
        <f>Benchmarking!C4</f>
        <v>Media</v>
      </c>
      <c r="D4" s="17">
        <f>Benchmarking!D4</f>
        <v>510</v>
      </c>
      <c r="E4" s="17">
        <f>Benchmarking!E4</f>
        <v>316</v>
      </c>
      <c r="F4" s="17">
        <f>Benchmarking!F4</f>
        <v>321</v>
      </c>
      <c r="G4" s="17">
        <f>Benchmarking!G4</f>
        <v>1147</v>
      </c>
      <c r="H4" t="str">
        <f t="shared" ref="H4:H67" si="0">IF(AND(D4&gt;=E4,D4&gt;=F4),"Environmental",IF(AND(E4&gt;=D4,E4&gt;=F4),"Social","Governance"))</f>
        <v>Environmental</v>
      </c>
      <c r="I4" t="str">
        <f t="shared" ref="I4:I67" si="1">IF(AND(D4&lt;=E4,D4&lt;=F4),"Environmental",IF(AND(E4&lt;=D4,E4&lt;=F4),"Social","Governance"))</f>
        <v>Social</v>
      </c>
      <c r="J4" s="19">
        <f t="shared" ref="J4:J67" si="2">D4-E4</f>
        <v>194</v>
      </c>
      <c r="K4" s="19">
        <f t="shared" ref="K4:K67" si="3">E4-F4</f>
        <v>-5</v>
      </c>
      <c r="L4" s="19">
        <f t="shared" ref="L4:L67" si="4">D4-F4</f>
        <v>189</v>
      </c>
      <c r="M4" s="17">
        <f t="shared" ref="M4:M67" si="5">MAX(D4:F4)-MIN(D4:F4)</f>
        <v>194</v>
      </c>
      <c r="N4" s="22">
        <f t="shared" ref="N4:N67" si="6">RANK(G4,$G$4:$G$725,1)/COUNT($G$4:$G$725)</f>
        <v>0.76038781163434899</v>
      </c>
      <c r="O4" s="22">
        <f t="shared" ref="O4:O67" si="7">MIN(RANK(D4,$D$4:$D$725,1)/COUNT($D$4:$D$725),RANK(E4,$E$4:$E$725,1)/COUNT($E$4:$E$725),RANK(F4,$F$4:$F$725,1)/COUNT($F$4:$F$725))</f>
        <v>0.66620498614958445</v>
      </c>
      <c r="P4" s="22">
        <f t="shared" ref="P4:P67" si="8">N4-O4</f>
        <v>9.4182825484764532E-2</v>
      </c>
      <c r="Q4" t="str">
        <f t="shared" ref="Q4:Q67" si="9">IF(AND(N4&gt;=0.7,P4&gt;=0.4),"High ESG / weak pillar (analytical flag - not an ESG rating) - warrants investigation","")</f>
        <v/>
      </c>
      <c r="S4">
        <f t="shared" ref="S4:S67" si="10">M4+(10000-ROW())/10000000</f>
        <v>194.0009996</v>
      </c>
      <c r="T4" s="23">
        <f t="shared" ref="T4:T67" si="11">P4+(10000-ROW())/10000000</f>
        <v>9.5182425484764535E-2</v>
      </c>
    </row>
    <row r="5" spans="1:20" ht="15" customHeight="1" x14ac:dyDescent="0.35">
      <c r="A5" t="str">
        <f>Benchmarking!A5</f>
        <v>General Motors Co</v>
      </c>
      <c r="B5" t="str">
        <f>Benchmarking!B5</f>
        <v>gm</v>
      </c>
      <c r="C5" t="str">
        <f>Benchmarking!C5</f>
        <v>Automobiles</v>
      </c>
      <c r="D5" s="17">
        <f>Benchmarking!D5</f>
        <v>510</v>
      </c>
      <c r="E5" s="17">
        <f>Benchmarking!E5</f>
        <v>303</v>
      </c>
      <c r="F5" s="17">
        <f>Benchmarking!F5</f>
        <v>255</v>
      </c>
      <c r="G5" s="17">
        <f>Benchmarking!G5</f>
        <v>1068</v>
      </c>
      <c r="H5" t="str">
        <f t="shared" si="0"/>
        <v>Environmental</v>
      </c>
      <c r="I5" t="str">
        <f t="shared" si="1"/>
        <v>Governance</v>
      </c>
      <c r="J5" s="19">
        <f t="shared" si="2"/>
        <v>207</v>
      </c>
      <c r="K5" s="19">
        <f t="shared" si="3"/>
        <v>48</v>
      </c>
      <c r="L5" s="19">
        <f t="shared" si="4"/>
        <v>255</v>
      </c>
      <c r="M5" s="17">
        <f t="shared" si="5"/>
        <v>255</v>
      </c>
      <c r="N5" s="22">
        <f t="shared" si="6"/>
        <v>0.52770083102493071</v>
      </c>
      <c r="O5" s="22">
        <f t="shared" si="7"/>
        <v>0.31024930747922436</v>
      </c>
      <c r="P5" s="22">
        <f t="shared" si="8"/>
        <v>0.21745152354570635</v>
      </c>
      <c r="Q5" t="str">
        <f t="shared" si="9"/>
        <v/>
      </c>
      <c r="S5">
        <f t="shared" si="10"/>
        <v>255.00099950000001</v>
      </c>
      <c r="T5" s="23">
        <f t="shared" si="11"/>
        <v>0.21845102354570634</v>
      </c>
    </row>
    <row r="6" spans="1:20" ht="15" customHeight="1" x14ac:dyDescent="0.35">
      <c r="A6" t="str">
        <f>Benchmarking!A6</f>
        <v>WW Grainger Inc</v>
      </c>
      <c r="B6" t="str">
        <f>Benchmarking!B6</f>
        <v>gww</v>
      </c>
      <c r="C6" t="str">
        <f>Benchmarking!C6</f>
        <v>Trading Companies &amp; Distributors</v>
      </c>
      <c r="D6" s="17">
        <f>Benchmarking!D6</f>
        <v>255</v>
      </c>
      <c r="E6" s="17">
        <f>Benchmarking!E6</f>
        <v>385</v>
      </c>
      <c r="F6" s="17">
        <f>Benchmarking!F6</f>
        <v>240</v>
      </c>
      <c r="G6" s="17">
        <f>Benchmarking!G6</f>
        <v>880</v>
      </c>
      <c r="H6" t="str">
        <f t="shared" si="0"/>
        <v>Social</v>
      </c>
      <c r="I6" t="str">
        <f t="shared" si="1"/>
        <v>Governance</v>
      </c>
      <c r="J6" s="19">
        <f t="shared" si="2"/>
        <v>-130</v>
      </c>
      <c r="K6" s="19">
        <f t="shared" si="3"/>
        <v>145</v>
      </c>
      <c r="L6" s="19">
        <f t="shared" si="4"/>
        <v>15</v>
      </c>
      <c r="M6" s="17">
        <f t="shared" si="5"/>
        <v>145</v>
      </c>
      <c r="N6" s="22">
        <f t="shared" si="6"/>
        <v>0.35734072022160662</v>
      </c>
      <c r="O6" s="22">
        <f t="shared" si="7"/>
        <v>0.2742382271468144</v>
      </c>
      <c r="P6" s="22">
        <f t="shared" si="8"/>
        <v>8.3102493074792227E-2</v>
      </c>
      <c r="Q6" t="str">
        <f t="shared" si="9"/>
        <v/>
      </c>
      <c r="S6">
        <f t="shared" si="10"/>
        <v>145.00099940000001</v>
      </c>
      <c r="T6" s="23">
        <f t="shared" si="11"/>
        <v>8.4101893074792225E-2</v>
      </c>
    </row>
    <row r="7" spans="1:20" ht="15" customHeight="1" x14ac:dyDescent="0.35">
      <c r="A7" t="str">
        <f>Benchmarking!A7</f>
        <v>Mohawk Industries Inc</v>
      </c>
      <c r="B7" t="str">
        <f>Benchmarking!B7</f>
        <v>mhk</v>
      </c>
      <c r="C7" t="str">
        <f>Benchmarking!C7</f>
        <v>Consumer products</v>
      </c>
      <c r="D7" s="17">
        <f>Benchmarking!D7</f>
        <v>570</v>
      </c>
      <c r="E7" s="17">
        <f>Benchmarking!E7</f>
        <v>298</v>
      </c>
      <c r="F7" s="17">
        <f>Benchmarking!F7</f>
        <v>303</v>
      </c>
      <c r="G7" s="17">
        <f>Benchmarking!G7</f>
        <v>1171</v>
      </c>
      <c r="H7" t="str">
        <f t="shared" si="0"/>
        <v>Environmental</v>
      </c>
      <c r="I7" t="str">
        <f t="shared" si="1"/>
        <v>Social</v>
      </c>
      <c r="J7" s="19">
        <f t="shared" si="2"/>
        <v>272</v>
      </c>
      <c r="K7" s="19">
        <f t="shared" si="3"/>
        <v>-5</v>
      </c>
      <c r="L7" s="19">
        <f t="shared" si="4"/>
        <v>267</v>
      </c>
      <c r="M7" s="17">
        <f t="shared" si="5"/>
        <v>272</v>
      </c>
      <c r="N7" s="22">
        <f t="shared" si="6"/>
        <v>0.82825484764542934</v>
      </c>
      <c r="O7" s="22">
        <f t="shared" si="7"/>
        <v>0.3587257617728532</v>
      </c>
      <c r="P7" s="22">
        <f t="shared" si="8"/>
        <v>0.46952908587257614</v>
      </c>
      <c r="Q7" t="str">
        <f t="shared" si="9"/>
        <v>High ESG / weak pillar (analytical flag - not an ESG rating) - warrants investigation</v>
      </c>
      <c r="S7">
        <f t="shared" si="10"/>
        <v>272.00099929999999</v>
      </c>
      <c r="T7" s="23">
        <f t="shared" si="11"/>
        <v>0.47052838587257612</v>
      </c>
    </row>
    <row r="8" spans="1:20" ht="15" customHeight="1" x14ac:dyDescent="0.35">
      <c r="A8" t="str">
        <f>Benchmarking!A8</f>
        <v>Live Nation Entertainment Inc</v>
      </c>
      <c r="B8" t="str">
        <f>Benchmarking!B8</f>
        <v>lyv</v>
      </c>
      <c r="C8" t="str">
        <f>Benchmarking!C8</f>
        <v>Media</v>
      </c>
      <c r="D8" s="17">
        <f>Benchmarking!D8</f>
        <v>492</v>
      </c>
      <c r="E8" s="17">
        <f>Benchmarking!E8</f>
        <v>310</v>
      </c>
      <c r="F8" s="17">
        <f>Benchmarking!F8</f>
        <v>250</v>
      </c>
      <c r="G8" s="17">
        <f>Benchmarking!G8</f>
        <v>1052</v>
      </c>
      <c r="H8" t="str">
        <f t="shared" si="0"/>
        <v>Environmental</v>
      </c>
      <c r="I8" t="str">
        <f t="shared" si="1"/>
        <v>Governance</v>
      </c>
      <c r="J8" s="19">
        <f t="shared" si="2"/>
        <v>182</v>
      </c>
      <c r="K8" s="19">
        <f t="shared" si="3"/>
        <v>60</v>
      </c>
      <c r="L8" s="19">
        <f t="shared" si="4"/>
        <v>242</v>
      </c>
      <c r="M8" s="17">
        <f t="shared" si="5"/>
        <v>242</v>
      </c>
      <c r="N8" s="22">
        <f t="shared" si="6"/>
        <v>0.50692520775623273</v>
      </c>
      <c r="O8" s="22">
        <f t="shared" si="7"/>
        <v>0.296398891966759</v>
      </c>
      <c r="P8" s="22">
        <f t="shared" si="8"/>
        <v>0.21052631578947373</v>
      </c>
      <c r="Q8" t="str">
        <f t="shared" si="9"/>
        <v/>
      </c>
      <c r="S8">
        <f t="shared" si="10"/>
        <v>242.0009992</v>
      </c>
      <c r="T8" s="23">
        <f t="shared" si="11"/>
        <v>0.21152551578947373</v>
      </c>
    </row>
    <row r="9" spans="1:20" ht="15" customHeight="1" x14ac:dyDescent="0.35">
      <c r="A9" t="str">
        <f>Benchmarking!A9</f>
        <v>Las Vegas Sands Corp</v>
      </c>
      <c r="B9" t="str">
        <f>Benchmarking!B9</f>
        <v>lvs</v>
      </c>
      <c r="C9" t="str">
        <f>Benchmarking!C9</f>
        <v>Hotels Restaurants &amp; Leisure</v>
      </c>
      <c r="D9" s="17">
        <f>Benchmarking!D9</f>
        <v>547</v>
      </c>
      <c r="E9" s="17">
        <f>Benchmarking!E9</f>
        <v>318</v>
      </c>
      <c r="F9" s="17">
        <f>Benchmarking!F9</f>
        <v>313</v>
      </c>
      <c r="G9" s="17">
        <f>Benchmarking!G9</f>
        <v>1178</v>
      </c>
      <c r="H9" t="str">
        <f t="shared" si="0"/>
        <v>Environmental</v>
      </c>
      <c r="I9" t="str">
        <f t="shared" si="1"/>
        <v>Governance</v>
      </c>
      <c r="J9" s="19">
        <f t="shared" si="2"/>
        <v>229</v>
      </c>
      <c r="K9" s="19">
        <f t="shared" si="3"/>
        <v>5</v>
      </c>
      <c r="L9" s="19">
        <f t="shared" si="4"/>
        <v>234</v>
      </c>
      <c r="M9" s="17">
        <f t="shared" si="5"/>
        <v>234</v>
      </c>
      <c r="N9" s="22">
        <f t="shared" si="6"/>
        <v>0.84487534626038785</v>
      </c>
      <c r="O9" s="22">
        <f t="shared" si="7"/>
        <v>0.69667590027700832</v>
      </c>
      <c r="P9" s="22">
        <f t="shared" si="8"/>
        <v>0.14819944598337953</v>
      </c>
      <c r="Q9" t="str">
        <f t="shared" si="9"/>
        <v/>
      </c>
      <c r="S9">
        <f t="shared" si="10"/>
        <v>234.0009991</v>
      </c>
      <c r="T9" s="23">
        <f t="shared" si="11"/>
        <v>0.14919854598337953</v>
      </c>
    </row>
    <row r="10" spans="1:20" ht="15" customHeight="1" x14ac:dyDescent="0.35">
      <c r="A10" t="str">
        <f>Benchmarking!A10</f>
        <v>Clorox Co</v>
      </c>
      <c r="B10" t="str">
        <f>Benchmarking!B10</f>
        <v>clx</v>
      </c>
      <c r="C10" t="str">
        <f>Benchmarking!C10</f>
        <v>Consumer products</v>
      </c>
      <c r="D10" s="17">
        <f>Benchmarking!D10</f>
        <v>560</v>
      </c>
      <c r="E10" s="17">
        <f>Benchmarking!E10</f>
        <v>350</v>
      </c>
      <c r="F10" s="17">
        <f>Benchmarking!F10</f>
        <v>345</v>
      </c>
      <c r="G10" s="17">
        <f>Benchmarking!G10</f>
        <v>1255</v>
      </c>
      <c r="H10" t="str">
        <f t="shared" si="0"/>
        <v>Environmental</v>
      </c>
      <c r="I10" t="str">
        <f t="shared" si="1"/>
        <v>Governance</v>
      </c>
      <c r="J10" s="19">
        <f t="shared" si="2"/>
        <v>210</v>
      </c>
      <c r="K10" s="19">
        <f t="shared" si="3"/>
        <v>5</v>
      </c>
      <c r="L10" s="19">
        <f t="shared" si="4"/>
        <v>215</v>
      </c>
      <c r="M10" s="17">
        <f t="shared" si="5"/>
        <v>215</v>
      </c>
      <c r="N10" s="22">
        <f t="shared" si="6"/>
        <v>0.93767313019390586</v>
      </c>
      <c r="O10" s="22">
        <f t="shared" si="7"/>
        <v>0.90443213296398894</v>
      </c>
      <c r="P10" s="22">
        <f t="shared" si="8"/>
        <v>3.3240997229916913E-2</v>
      </c>
      <c r="Q10" t="str">
        <f t="shared" si="9"/>
        <v/>
      </c>
      <c r="S10">
        <f t="shared" si="10"/>
        <v>215.00099900000001</v>
      </c>
      <c r="T10" s="23">
        <f t="shared" si="11"/>
        <v>3.4239997229916913E-2</v>
      </c>
    </row>
    <row r="11" spans="1:20" ht="15" customHeight="1" x14ac:dyDescent="0.35">
      <c r="A11" t="str">
        <f>Benchmarking!A11</f>
        <v>ATA Creativity Global</v>
      </c>
      <c r="B11" t="str">
        <f>Benchmarking!B11</f>
        <v>aacg</v>
      </c>
      <c r="C11" t="str">
        <f>Benchmarking!C11</f>
        <v>Diversified Consumer Services</v>
      </c>
      <c r="D11" s="17">
        <f>Benchmarking!D11</f>
        <v>203</v>
      </c>
      <c r="E11" s="17">
        <f>Benchmarking!E11</f>
        <v>200</v>
      </c>
      <c r="F11" s="17">
        <f>Benchmarking!F11</f>
        <v>205</v>
      </c>
      <c r="G11" s="17">
        <f>Benchmarking!G11</f>
        <v>608</v>
      </c>
      <c r="H11" t="str">
        <f t="shared" si="0"/>
        <v>Governance</v>
      </c>
      <c r="I11" t="str">
        <f t="shared" si="1"/>
        <v>Social</v>
      </c>
      <c r="J11" s="19">
        <f t="shared" si="2"/>
        <v>3</v>
      </c>
      <c r="K11" s="19">
        <f t="shared" si="3"/>
        <v>-5</v>
      </c>
      <c r="L11" s="19">
        <f t="shared" si="4"/>
        <v>-2</v>
      </c>
      <c r="M11" s="17">
        <f t="shared" si="5"/>
        <v>5</v>
      </c>
      <c r="N11" s="22">
        <f t="shared" si="6"/>
        <v>2.2160664819944598E-2</v>
      </c>
      <c r="O11" s="22">
        <f t="shared" si="7"/>
        <v>2.7700831024930748E-3</v>
      </c>
      <c r="P11" s="22">
        <f t="shared" si="8"/>
        <v>1.9390581717451522E-2</v>
      </c>
      <c r="Q11" t="str">
        <f t="shared" si="9"/>
        <v/>
      </c>
      <c r="S11">
        <f t="shared" si="10"/>
        <v>5.0009988999999999</v>
      </c>
      <c r="T11" s="23">
        <f t="shared" si="11"/>
        <v>2.0389481717451523E-2</v>
      </c>
    </row>
    <row r="12" spans="1:20" ht="15" customHeight="1" x14ac:dyDescent="0.35">
      <c r="A12" t="str">
        <f>Benchmarking!A12</f>
        <v>American Airlines Group Inc</v>
      </c>
      <c r="B12" t="str">
        <f>Benchmarking!B12</f>
        <v>aal</v>
      </c>
      <c r="C12" t="str">
        <f>Benchmarking!C12</f>
        <v>Airlines</v>
      </c>
      <c r="D12" s="17">
        <f>Benchmarking!D12</f>
        <v>270</v>
      </c>
      <c r="E12" s="17">
        <f>Benchmarking!E12</f>
        <v>211</v>
      </c>
      <c r="F12" s="17">
        <f>Benchmarking!F12</f>
        <v>265</v>
      </c>
      <c r="G12" s="17">
        <f>Benchmarking!G12</f>
        <v>746</v>
      </c>
      <c r="H12" t="str">
        <f t="shared" si="0"/>
        <v>Environmental</v>
      </c>
      <c r="I12" t="str">
        <f t="shared" si="1"/>
        <v>Social</v>
      </c>
      <c r="J12" s="19">
        <f t="shared" si="2"/>
        <v>59</v>
      </c>
      <c r="K12" s="19">
        <f t="shared" si="3"/>
        <v>-54</v>
      </c>
      <c r="L12" s="19">
        <f t="shared" si="4"/>
        <v>5</v>
      </c>
      <c r="M12" s="17">
        <f t="shared" si="5"/>
        <v>59</v>
      </c>
      <c r="N12" s="22">
        <f t="shared" si="6"/>
        <v>0.22160664819944598</v>
      </c>
      <c r="O12" s="22">
        <f t="shared" si="7"/>
        <v>0.11357340720221606</v>
      </c>
      <c r="P12" s="22">
        <f t="shared" si="8"/>
        <v>0.10803324099722991</v>
      </c>
      <c r="Q12" t="str">
        <f t="shared" si="9"/>
        <v/>
      </c>
      <c r="S12">
        <f t="shared" si="10"/>
        <v>59.000998799999998</v>
      </c>
      <c r="T12" s="23">
        <f t="shared" si="11"/>
        <v>0.10903204099722991</v>
      </c>
    </row>
    <row r="13" spans="1:20" ht="15" customHeight="1" x14ac:dyDescent="0.35">
      <c r="A13" t="str">
        <f>Benchmarking!A13</f>
        <v>Atlantic American Corp</v>
      </c>
      <c r="B13" t="str">
        <f>Benchmarking!B13</f>
        <v>aame</v>
      </c>
      <c r="C13" t="str">
        <f>Benchmarking!C13</f>
        <v>Insurance</v>
      </c>
      <c r="D13" s="17">
        <f>Benchmarking!D13</f>
        <v>220</v>
      </c>
      <c r="E13" s="17">
        <f>Benchmarking!E13</f>
        <v>221</v>
      </c>
      <c r="F13" s="17">
        <f>Benchmarking!F13</f>
        <v>300</v>
      </c>
      <c r="G13" s="17">
        <f>Benchmarking!G13</f>
        <v>741</v>
      </c>
      <c r="H13" t="str">
        <f t="shared" si="0"/>
        <v>Governance</v>
      </c>
      <c r="I13" t="str">
        <f t="shared" si="1"/>
        <v>Environmental</v>
      </c>
      <c r="J13" s="19">
        <f t="shared" si="2"/>
        <v>-1</v>
      </c>
      <c r="K13" s="19">
        <f t="shared" si="3"/>
        <v>-79</v>
      </c>
      <c r="L13" s="19">
        <f t="shared" si="4"/>
        <v>-80</v>
      </c>
      <c r="M13" s="17">
        <f t="shared" si="5"/>
        <v>80</v>
      </c>
      <c r="N13" s="22">
        <f t="shared" si="6"/>
        <v>0.21052631578947367</v>
      </c>
      <c r="O13" s="22">
        <f t="shared" si="7"/>
        <v>0.14681440443213298</v>
      </c>
      <c r="P13" s="22">
        <f t="shared" si="8"/>
        <v>6.3711911357340695E-2</v>
      </c>
      <c r="Q13" t="str">
        <f t="shared" si="9"/>
        <v/>
      </c>
      <c r="S13">
        <f t="shared" si="10"/>
        <v>80.000998699999997</v>
      </c>
      <c r="T13" s="23">
        <f t="shared" si="11"/>
        <v>6.47106113573407E-2</v>
      </c>
    </row>
    <row r="14" spans="1:20" ht="15" customHeight="1" x14ac:dyDescent="0.35">
      <c r="A14" t="str">
        <f>Benchmarking!A14</f>
        <v>Applied Optoelectronics Inc</v>
      </c>
      <c r="B14" t="str">
        <f>Benchmarking!B14</f>
        <v>aaoi</v>
      </c>
      <c r="C14" t="str">
        <f>Benchmarking!C14</f>
        <v>Communications</v>
      </c>
      <c r="D14" s="17">
        <f>Benchmarking!D14</f>
        <v>311</v>
      </c>
      <c r="E14" s="17">
        <f>Benchmarking!E14</f>
        <v>256</v>
      </c>
      <c r="F14" s="17">
        <f>Benchmarking!F14</f>
        <v>218</v>
      </c>
      <c r="G14" s="17">
        <f>Benchmarking!G14</f>
        <v>785</v>
      </c>
      <c r="H14" t="str">
        <f t="shared" si="0"/>
        <v>Environmental</v>
      </c>
      <c r="I14" t="str">
        <f t="shared" si="1"/>
        <v>Governance</v>
      </c>
      <c r="J14" s="19">
        <f t="shared" si="2"/>
        <v>55</v>
      </c>
      <c r="K14" s="19">
        <f t="shared" si="3"/>
        <v>38</v>
      </c>
      <c r="L14" s="19">
        <f t="shared" si="4"/>
        <v>93</v>
      </c>
      <c r="M14" s="17">
        <f t="shared" si="5"/>
        <v>93</v>
      </c>
      <c r="N14" s="22">
        <f t="shared" si="6"/>
        <v>0.2770083102493075</v>
      </c>
      <c r="O14" s="22">
        <f t="shared" si="7"/>
        <v>0.18559556786703602</v>
      </c>
      <c r="P14" s="22">
        <f t="shared" si="8"/>
        <v>9.1412742382271484E-2</v>
      </c>
      <c r="Q14" t="str">
        <f t="shared" si="9"/>
        <v/>
      </c>
      <c r="S14">
        <f t="shared" si="10"/>
        <v>93.000998600000003</v>
      </c>
      <c r="T14" s="23">
        <f t="shared" si="11"/>
        <v>9.2411342382271486E-2</v>
      </c>
    </row>
    <row r="15" spans="1:20" ht="15" customHeight="1" x14ac:dyDescent="0.35">
      <c r="A15" t="str">
        <f>Benchmarking!A15</f>
        <v>Aaon Inc</v>
      </c>
      <c r="B15" t="str">
        <f>Benchmarking!B15</f>
        <v>aaon</v>
      </c>
      <c r="C15" t="str">
        <f>Benchmarking!C15</f>
        <v>Building</v>
      </c>
      <c r="D15" s="17">
        <f>Benchmarking!D15</f>
        <v>500</v>
      </c>
      <c r="E15" s="17">
        <f>Benchmarking!E15</f>
        <v>300</v>
      </c>
      <c r="F15" s="17">
        <f>Benchmarking!F15</f>
        <v>223</v>
      </c>
      <c r="G15" s="17">
        <f>Benchmarking!G15</f>
        <v>1023</v>
      </c>
      <c r="H15" t="str">
        <f t="shared" si="0"/>
        <v>Environmental</v>
      </c>
      <c r="I15" t="str">
        <f t="shared" si="1"/>
        <v>Governance</v>
      </c>
      <c r="J15" s="19">
        <f t="shared" si="2"/>
        <v>200</v>
      </c>
      <c r="K15" s="19">
        <f t="shared" si="3"/>
        <v>77</v>
      </c>
      <c r="L15" s="19">
        <f t="shared" si="4"/>
        <v>277</v>
      </c>
      <c r="M15" s="17">
        <f t="shared" si="5"/>
        <v>277</v>
      </c>
      <c r="N15" s="22">
        <f t="shared" si="6"/>
        <v>0.48753462603878117</v>
      </c>
      <c r="O15" s="22">
        <f t="shared" si="7"/>
        <v>0.21329639889196675</v>
      </c>
      <c r="P15" s="22">
        <f t="shared" si="8"/>
        <v>0.27423822714681445</v>
      </c>
      <c r="Q15" t="str">
        <f t="shared" si="9"/>
        <v/>
      </c>
      <c r="S15">
        <f t="shared" si="10"/>
        <v>277.00099849999998</v>
      </c>
      <c r="T15" s="23">
        <f t="shared" si="11"/>
        <v>0.27523672714681446</v>
      </c>
    </row>
    <row r="16" spans="1:20" ht="15" customHeight="1" x14ac:dyDescent="0.35">
      <c r="A16" t="str">
        <f>Benchmarking!A16</f>
        <v>Apple Inc</v>
      </c>
      <c r="B16" t="str">
        <f>Benchmarking!B16</f>
        <v>aapl</v>
      </c>
      <c r="C16" t="str">
        <f>Benchmarking!C16</f>
        <v>Technology</v>
      </c>
      <c r="D16" s="17">
        <f>Benchmarking!D16</f>
        <v>355</v>
      </c>
      <c r="E16" s="17">
        <f>Benchmarking!E16</f>
        <v>281</v>
      </c>
      <c r="F16" s="17">
        <f>Benchmarking!F16</f>
        <v>255</v>
      </c>
      <c r="G16" s="17">
        <f>Benchmarking!G16</f>
        <v>891</v>
      </c>
      <c r="H16" t="str">
        <f t="shared" si="0"/>
        <v>Environmental</v>
      </c>
      <c r="I16" t="str">
        <f t="shared" si="1"/>
        <v>Governance</v>
      </c>
      <c r="J16" s="19">
        <f t="shared" si="2"/>
        <v>74</v>
      </c>
      <c r="K16" s="19">
        <f t="shared" si="3"/>
        <v>26</v>
      </c>
      <c r="L16" s="19">
        <f t="shared" si="4"/>
        <v>100</v>
      </c>
      <c r="M16" s="17">
        <f t="shared" si="5"/>
        <v>100</v>
      </c>
      <c r="N16" s="22">
        <f t="shared" si="6"/>
        <v>0.36149584487534625</v>
      </c>
      <c r="O16" s="22">
        <f t="shared" si="7"/>
        <v>0.31024930747922436</v>
      </c>
      <c r="P16" s="22">
        <f t="shared" si="8"/>
        <v>5.1246537396121894E-2</v>
      </c>
      <c r="Q16" t="str">
        <f t="shared" si="9"/>
        <v/>
      </c>
      <c r="S16">
        <f t="shared" si="10"/>
        <v>100.0009984</v>
      </c>
      <c r="T16" s="23">
        <f t="shared" si="11"/>
        <v>5.224493739612189E-2</v>
      </c>
    </row>
    <row r="17" spans="1:20" ht="15" customHeight="1" x14ac:dyDescent="0.35">
      <c r="A17" t="str">
        <f>Benchmarking!A17</f>
        <v>Autoscope Technologies Corp</v>
      </c>
      <c r="B17" t="str">
        <f>Benchmarking!B17</f>
        <v>aatc</v>
      </c>
      <c r="C17" t="str">
        <f>Benchmarking!C17</f>
        <v>Electrical Equipment</v>
      </c>
      <c r="D17" s="17">
        <f>Benchmarking!D17</f>
        <v>410</v>
      </c>
      <c r="E17" s="17">
        <f>Benchmarking!E17</f>
        <v>286</v>
      </c>
      <c r="F17" s="17">
        <f>Benchmarking!F17</f>
        <v>240</v>
      </c>
      <c r="G17" s="17">
        <f>Benchmarking!G17</f>
        <v>936</v>
      </c>
      <c r="H17" t="str">
        <f t="shared" si="0"/>
        <v>Environmental</v>
      </c>
      <c r="I17" t="str">
        <f t="shared" si="1"/>
        <v>Governance</v>
      </c>
      <c r="J17" s="19">
        <f t="shared" si="2"/>
        <v>124</v>
      </c>
      <c r="K17" s="19">
        <f t="shared" si="3"/>
        <v>46</v>
      </c>
      <c r="L17" s="19">
        <f t="shared" si="4"/>
        <v>170</v>
      </c>
      <c r="M17" s="17">
        <f t="shared" si="5"/>
        <v>170</v>
      </c>
      <c r="N17" s="22">
        <f t="shared" si="6"/>
        <v>0.40304709141274236</v>
      </c>
      <c r="O17" s="22">
        <f t="shared" si="7"/>
        <v>0.2742382271468144</v>
      </c>
      <c r="P17" s="22">
        <f t="shared" si="8"/>
        <v>0.12880886426592797</v>
      </c>
      <c r="Q17" t="str">
        <f t="shared" si="9"/>
        <v/>
      </c>
      <c r="S17">
        <f t="shared" si="10"/>
        <v>170.00099829999999</v>
      </c>
      <c r="T17" s="23">
        <f t="shared" si="11"/>
        <v>0.12980716426592798</v>
      </c>
    </row>
    <row r="18" spans="1:20" ht="15" customHeight="1" x14ac:dyDescent="0.35">
      <c r="A18" t="str">
        <f>Benchmarking!A18</f>
        <v>Atlas Air Worldwide Holdings Inc</v>
      </c>
      <c r="B18" t="str">
        <f>Benchmarking!B18</f>
        <v>aaww</v>
      </c>
      <c r="C18" t="str">
        <f>Benchmarking!C18</f>
        <v>Logistics &amp; Transportation</v>
      </c>
      <c r="D18" s="17">
        <f>Benchmarking!D18</f>
        <v>520</v>
      </c>
      <c r="E18" s="17">
        <f>Benchmarking!E18</f>
        <v>243</v>
      </c>
      <c r="F18" s="17">
        <f>Benchmarking!F18</f>
        <v>237</v>
      </c>
      <c r="G18" s="17">
        <f>Benchmarking!G18</f>
        <v>1000</v>
      </c>
      <c r="H18" t="str">
        <f t="shared" si="0"/>
        <v>Environmental</v>
      </c>
      <c r="I18" t="str">
        <f t="shared" si="1"/>
        <v>Governance</v>
      </c>
      <c r="J18" s="19">
        <f t="shared" si="2"/>
        <v>277</v>
      </c>
      <c r="K18" s="19">
        <f t="shared" si="3"/>
        <v>6</v>
      </c>
      <c r="L18" s="19">
        <f t="shared" si="4"/>
        <v>283</v>
      </c>
      <c r="M18" s="17">
        <f t="shared" si="5"/>
        <v>283</v>
      </c>
      <c r="N18" s="22">
        <f t="shared" si="6"/>
        <v>0.45567867036011078</v>
      </c>
      <c r="O18" s="22">
        <f t="shared" si="7"/>
        <v>0.24930747922437674</v>
      </c>
      <c r="P18" s="22">
        <f t="shared" si="8"/>
        <v>0.20637119113573404</v>
      </c>
      <c r="Q18" t="str">
        <f t="shared" si="9"/>
        <v/>
      </c>
      <c r="S18">
        <f t="shared" si="10"/>
        <v>283.00099820000003</v>
      </c>
      <c r="T18" s="23">
        <f t="shared" si="11"/>
        <v>0.20736939113573405</v>
      </c>
    </row>
    <row r="19" spans="1:20" ht="15" customHeight="1" x14ac:dyDescent="0.35">
      <c r="A19" t="str">
        <f>Benchmarking!A19</f>
        <v>Armada Acquisition Corp I</v>
      </c>
      <c r="B19" t="str">
        <f>Benchmarking!B19</f>
        <v>aaci</v>
      </c>
      <c r="C19" t="str">
        <f>Benchmarking!C19</f>
        <v>Unclassified</v>
      </c>
      <c r="D19" s="17">
        <f>Benchmarking!D19</f>
        <v>205</v>
      </c>
      <c r="E19" s="17">
        <f>Benchmarking!E19</f>
        <v>200</v>
      </c>
      <c r="F19" s="17">
        <f>Benchmarking!F19</f>
        <v>200</v>
      </c>
      <c r="G19" s="17">
        <f>Benchmarking!G19</f>
        <v>605</v>
      </c>
      <c r="H19" t="str">
        <f t="shared" si="0"/>
        <v>Environmental</v>
      </c>
      <c r="I19" t="str">
        <f t="shared" si="1"/>
        <v>Social</v>
      </c>
      <c r="J19" s="19">
        <f t="shared" si="2"/>
        <v>5</v>
      </c>
      <c r="K19" s="19">
        <f t="shared" si="3"/>
        <v>0</v>
      </c>
      <c r="L19" s="19">
        <f t="shared" si="4"/>
        <v>5</v>
      </c>
      <c r="M19" s="17">
        <f t="shared" si="5"/>
        <v>5</v>
      </c>
      <c r="N19" s="22">
        <f t="shared" si="6"/>
        <v>1.662049861495845E-2</v>
      </c>
      <c r="O19" s="22">
        <f t="shared" si="7"/>
        <v>2.7700831024930748E-3</v>
      </c>
      <c r="P19" s="22">
        <f t="shared" si="8"/>
        <v>1.3850415512465375E-2</v>
      </c>
      <c r="Q19" t="str">
        <f t="shared" si="9"/>
        <v/>
      </c>
      <c r="S19">
        <f t="shared" si="10"/>
        <v>5.0009981000000003</v>
      </c>
      <c r="T19" s="23">
        <f t="shared" si="11"/>
        <v>1.4848515512465375E-2</v>
      </c>
    </row>
    <row r="20" spans="1:20" ht="15" customHeight="1" x14ac:dyDescent="0.35">
      <c r="A20" t="str">
        <f>Benchmarking!A20</f>
        <v>Aadi Bioscience Inc</v>
      </c>
      <c r="B20" t="str">
        <f>Benchmarking!B20</f>
        <v>aadi</v>
      </c>
      <c r="C20" t="str">
        <f>Benchmarking!C20</f>
        <v>Biotechnology</v>
      </c>
      <c r="D20" s="17">
        <f>Benchmarking!D20</f>
        <v>200</v>
      </c>
      <c r="E20" s="17">
        <f>Benchmarking!E20</f>
        <v>201</v>
      </c>
      <c r="F20" s="17">
        <f>Benchmarking!F20</f>
        <v>203</v>
      </c>
      <c r="G20" s="17">
        <f>Benchmarking!G20</f>
        <v>604</v>
      </c>
      <c r="H20" t="str">
        <f t="shared" si="0"/>
        <v>Governance</v>
      </c>
      <c r="I20" t="str">
        <f t="shared" si="1"/>
        <v>Environmental</v>
      </c>
      <c r="J20" s="19">
        <f t="shared" si="2"/>
        <v>-1</v>
      </c>
      <c r="K20" s="19">
        <f t="shared" si="3"/>
        <v>-2</v>
      </c>
      <c r="L20" s="19">
        <f t="shared" si="4"/>
        <v>-3</v>
      </c>
      <c r="M20" s="17">
        <f t="shared" si="5"/>
        <v>3</v>
      </c>
      <c r="N20" s="22">
        <f t="shared" si="6"/>
        <v>1.5235457063711912E-2</v>
      </c>
      <c r="O20" s="22">
        <f t="shared" si="7"/>
        <v>1.3850415512465374E-3</v>
      </c>
      <c r="P20" s="22">
        <f t="shared" si="8"/>
        <v>1.3850415512465374E-2</v>
      </c>
      <c r="Q20" t="str">
        <f t="shared" si="9"/>
        <v/>
      </c>
      <c r="S20">
        <f t="shared" si="10"/>
        <v>3.0009980000000001</v>
      </c>
      <c r="T20" s="23">
        <f t="shared" si="11"/>
        <v>1.4848415512465374E-2</v>
      </c>
    </row>
    <row r="21" spans="1:20" ht="15" customHeight="1" x14ac:dyDescent="0.35">
      <c r="A21" t="str">
        <f>Benchmarking!A21</f>
        <v>Abeona Therapeutics Inc</v>
      </c>
      <c r="B21" t="str">
        <f>Benchmarking!B21</f>
        <v>abeo</v>
      </c>
      <c r="C21" t="str">
        <f>Benchmarking!C21</f>
        <v>Biotechnology</v>
      </c>
      <c r="D21" s="17">
        <f>Benchmarking!D21</f>
        <v>205</v>
      </c>
      <c r="E21" s="17">
        <f>Benchmarking!E21</f>
        <v>306</v>
      </c>
      <c r="F21" s="17">
        <f>Benchmarking!F21</f>
        <v>310</v>
      </c>
      <c r="G21" s="17">
        <f>Benchmarking!G21</f>
        <v>821</v>
      </c>
      <c r="H21" t="str">
        <f t="shared" si="0"/>
        <v>Governance</v>
      </c>
      <c r="I21" t="str">
        <f t="shared" si="1"/>
        <v>Environmental</v>
      </c>
      <c r="J21" s="19">
        <f t="shared" si="2"/>
        <v>-101</v>
      </c>
      <c r="K21" s="19">
        <f t="shared" si="3"/>
        <v>-4</v>
      </c>
      <c r="L21" s="19">
        <f t="shared" si="4"/>
        <v>-105</v>
      </c>
      <c r="M21" s="17">
        <f t="shared" si="5"/>
        <v>105</v>
      </c>
      <c r="N21" s="22">
        <f t="shared" si="6"/>
        <v>0.31301939058171746</v>
      </c>
      <c r="O21" s="22">
        <f t="shared" si="7"/>
        <v>5.6786703601108032E-2</v>
      </c>
      <c r="P21" s="22">
        <f t="shared" si="8"/>
        <v>0.25623268698060941</v>
      </c>
      <c r="Q21" t="str">
        <f t="shared" si="9"/>
        <v/>
      </c>
      <c r="S21">
        <f t="shared" si="10"/>
        <v>105.0009979</v>
      </c>
      <c r="T21" s="23">
        <f t="shared" si="11"/>
        <v>0.25723058698060941</v>
      </c>
    </row>
    <row r="22" spans="1:20" ht="15" customHeight="1" x14ac:dyDescent="0.35">
      <c r="A22" t="str">
        <f>Benchmarking!A22</f>
        <v>Airbnb Inc</v>
      </c>
      <c r="B22" t="str">
        <f>Benchmarking!B22</f>
        <v>abnb</v>
      </c>
      <c r="C22" t="str">
        <f>Benchmarking!C22</f>
        <v>Hotels Restaurants &amp; Leisure</v>
      </c>
      <c r="D22" s="17">
        <f>Benchmarking!D22</f>
        <v>505</v>
      </c>
      <c r="E22" s="17">
        <f>Benchmarking!E22</f>
        <v>570</v>
      </c>
      <c r="F22" s="17">
        <f>Benchmarking!F22</f>
        <v>400</v>
      </c>
      <c r="G22" s="17">
        <f>Benchmarking!G22</f>
        <v>1475</v>
      </c>
      <c r="H22" t="str">
        <f t="shared" si="0"/>
        <v>Social</v>
      </c>
      <c r="I22" t="str">
        <f t="shared" si="1"/>
        <v>Governance</v>
      </c>
      <c r="J22" s="19">
        <f t="shared" si="2"/>
        <v>-65</v>
      </c>
      <c r="K22" s="19">
        <f t="shared" si="3"/>
        <v>170</v>
      </c>
      <c r="L22" s="19">
        <f t="shared" si="4"/>
        <v>105</v>
      </c>
      <c r="M22" s="17">
        <f t="shared" si="5"/>
        <v>170</v>
      </c>
      <c r="N22" s="22">
        <f t="shared" si="6"/>
        <v>0.99584487534626043</v>
      </c>
      <c r="O22" s="22">
        <f t="shared" si="7"/>
        <v>0.62326869806094187</v>
      </c>
      <c r="P22" s="22">
        <f t="shared" si="8"/>
        <v>0.37257617728531855</v>
      </c>
      <c r="Q22" t="str">
        <f t="shared" si="9"/>
        <v/>
      </c>
      <c r="S22">
        <f t="shared" si="10"/>
        <v>170.00099779999999</v>
      </c>
      <c r="T22" s="23">
        <f t="shared" si="11"/>
        <v>0.37357397728531855</v>
      </c>
    </row>
    <row r="23" spans="1:20" ht="15" customHeight="1" x14ac:dyDescent="0.35">
      <c r="A23" t="str">
        <f>Benchmarking!A23</f>
        <v>ARCA Biopharma Inc</v>
      </c>
      <c r="B23" t="str">
        <f>Benchmarking!B23</f>
        <v>abio</v>
      </c>
      <c r="C23" t="str">
        <f>Benchmarking!C23</f>
        <v>Biotechnology</v>
      </c>
      <c r="D23" s="17">
        <f>Benchmarking!D23</f>
        <v>200</v>
      </c>
      <c r="E23" s="17">
        <f>Benchmarking!E23</f>
        <v>222</v>
      </c>
      <c r="F23" s="17">
        <f>Benchmarking!F23</f>
        <v>290</v>
      </c>
      <c r="G23" s="17">
        <f>Benchmarking!G23</f>
        <v>712</v>
      </c>
      <c r="H23" t="str">
        <f t="shared" si="0"/>
        <v>Governance</v>
      </c>
      <c r="I23" t="str">
        <f t="shared" si="1"/>
        <v>Environmental</v>
      </c>
      <c r="J23" s="19">
        <f t="shared" si="2"/>
        <v>-22</v>
      </c>
      <c r="K23" s="19">
        <f t="shared" si="3"/>
        <v>-68</v>
      </c>
      <c r="L23" s="19">
        <f t="shared" si="4"/>
        <v>-90</v>
      </c>
      <c r="M23" s="17">
        <f t="shared" si="5"/>
        <v>90</v>
      </c>
      <c r="N23" s="22">
        <f t="shared" si="6"/>
        <v>0.17728531855955679</v>
      </c>
      <c r="O23" s="22">
        <f t="shared" si="7"/>
        <v>1.3850415512465374E-3</v>
      </c>
      <c r="P23" s="22">
        <f t="shared" si="8"/>
        <v>0.17590027700831026</v>
      </c>
      <c r="Q23" t="str">
        <f t="shared" si="9"/>
        <v/>
      </c>
      <c r="S23">
        <f t="shared" si="10"/>
        <v>90.000997699999999</v>
      </c>
      <c r="T23" s="23">
        <f t="shared" si="11"/>
        <v>0.17689797700831025</v>
      </c>
    </row>
    <row r="24" spans="1:20" ht="15" customHeight="1" x14ac:dyDescent="0.35">
      <c r="A24" t="str">
        <f>Benchmarking!A24</f>
        <v>ABIOMED Inc</v>
      </c>
      <c r="B24" t="str">
        <f>Benchmarking!B24</f>
        <v>abmd</v>
      </c>
      <c r="C24" t="str">
        <f>Benchmarking!C24</f>
        <v>Health Care</v>
      </c>
      <c r="D24" s="17">
        <f>Benchmarking!D24</f>
        <v>500</v>
      </c>
      <c r="E24" s="17">
        <f>Benchmarking!E24</f>
        <v>324</v>
      </c>
      <c r="F24" s="17">
        <f>Benchmarking!F24</f>
        <v>305</v>
      </c>
      <c r="G24" s="17">
        <f>Benchmarking!G24</f>
        <v>1129</v>
      </c>
      <c r="H24" t="str">
        <f t="shared" si="0"/>
        <v>Environmental</v>
      </c>
      <c r="I24" t="str">
        <f t="shared" si="1"/>
        <v>Governance</v>
      </c>
      <c r="J24" s="19">
        <f t="shared" si="2"/>
        <v>176</v>
      </c>
      <c r="K24" s="19">
        <f t="shared" si="3"/>
        <v>19</v>
      </c>
      <c r="L24" s="19">
        <f t="shared" si="4"/>
        <v>195</v>
      </c>
      <c r="M24" s="17">
        <f t="shared" si="5"/>
        <v>195</v>
      </c>
      <c r="N24" s="22">
        <f t="shared" si="6"/>
        <v>0.69390581717451527</v>
      </c>
      <c r="O24" s="22">
        <f t="shared" si="7"/>
        <v>0.51246537396121883</v>
      </c>
      <c r="P24" s="22">
        <f t="shared" si="8"/>
        <v>0.18144044321329644</v>
      </c>
      <c r="Q24" t="str">
        <f t="shared" si="9"/>
        <v/>
      </c>
      <c r="S24">
        <f t="shared" si="10"/>
        <v>195.00099760000001</v>
      </c>
      <c r="T24" s="23">
        <f t="shared" si="11"/>
        <v>0.18243804321329643</v>
      </c>
    </row>
    <row r="25" spans="1:20" ht="15" customHeight="1" x14ac:dyDescent="0.35">
      <c r="A25" t="str">
        <f>Benchmarking!A25</f>
        <v>Acumen Pharmaceuticals Inc</v>
      </c>
      <c r="B25" t="str">
        <f>Benchmarking!B25</f>
        <v>abos</v>
      </c>
      <c r="C25" t="str">
        <f>Benchmarking!C25</f>
        <v>Biotechnology</v>
      </c>
      <c r="D25" s="17">
        <f>Benchmarking!D25</f>
        <v>205</v>
      </c>
      <c r="E25" s="17">
        <f>Benchmarking!E25</f>
        <v>201</v>
      </c>
      <c r="F25" s="17">
        <f>Benchmarking!F25</f>
        <v>200</v>
      </c>
      <c r="G25" s="17">
        <f>Benchmarking!G25</f>
        <v>606</v>
      </c>
      <c r="H25" t="str">
        <f t="shared" si="0"/>
        <v>Environmental</v>
      </c>
      <c r="I25" t="str">
        <f t="shared" si="1"/>
        <v>Governance</v>
      </c>
      <c r="J25" s="19">
        <f t="shared" si="2"/>
        <v>4</v>
      </c>
      <c r="K25" s="19">
        <f t="shared" si="3"/>
        <v>1</v>
      </c>
      <c r="L25" s="19">
        <f t="shared" si="4"/>
        <v>5</v>
      </c>
      <c r="M25" s="17">
        <f t="shared" si="5"/>
        <v>5</v>
      </c>
      <c r="N25" s="22">
        <f t="shared" si="6"/>
        <v>1.8005540166204988E-2</v>
      </c>
      <c r="O25" s="22">
        <f t="shared" si="7"/>
        <v>2.7700831024930748E-3</v>
      </c>
      <c r="P25" s="22">
        <f t="shared" si="8"/>
        <v>1.5235457063711913E-2</v>
      </c>
      <c r="Q25" t="str">
        <f t="shared" si="9"/>
        <v/>
      </c>
      <c r="S25">
        <f t="shared" si="10"/>
        <v>5.0009975000000004</v>
      </c>
      <c r="T25" s="23">
        <f t="shared" si="11"/>
        <v>1.6232957063711913E-2</v>
      </c>
    </row>
    <row r="26" spans="1:20" ht="15" customHeight="1" x14ac:dyDescent="0.35">
      <c r="A26" t="str">
        <f>Benchmarking!A26</f>
        <v>Absci Corp</v>
      </c>
      <c r="B26" t="str">
        <f>Benchmarking!B26</f>
        <v>absi</v>
      </c>
      <c r="C26" t="str">
        <f>Benchmarking!C26</f>
        <v>Life Sciences Tools &amp; Services</v>
      </c>
      <c r="D26" s="17">
        <f>Benchmarking!D26</f>
        <v>205</v>
      </c>
      <c r="E26" s="17">
        <f>Benchmarking!E26</f>
        <v>224</v>
      </c>
      <c r="F26" s="17">
        <f>Benchmarking!F26</f>
        <v>230</v>
      </c>
      <c r="G26" s="17">
        <f>Benchmarking!G26</f>
        <v>659</v>
      </c>
      <c r="H26" t="str">
        <f t="shared" si="0"/>
        <v>Governance</v>
      </c>
      <c r="I26" t="str">
        <f t="shared" si="1"/>
        <v>Environmental</v>
      </c>
      <c r="J26" s="19">
        <f t="shared" si="2"/>
        <v>-19</v>
      </c>
      <c r="K26" s="19">
        <f t="shared" si="3"/>
        <v>-6</v>
      </c>
      <c r="L26" s="19">
        <f t="shared" si="4"/>
        <v>-25</v>
      </c>
      <c r="M26" s="17">
        <f t="shared" si="5"/>
        <v>25</v>
      </c>
      <c r="N26" s="22">
        <f t="shared" si="6"/>
        <v>0.11772853185595568</v>
      </c>
      <c r="O26" s="22">
        <f t="shared" si="7"/>
        <v>5.6786703601108032E-2</v>
      </c>
      <c r="P26" s="22">
        <f t="shared" si="8"/>
        <v>6.0941828254847646E-2</v>
      </c>
      <c r="Q26" t="str">
        <f t="shared" si="9"/>
        <v/>
      </c>
      <c r="S26">
        <f t="shared" si="10"/>
        <v>25.000997399999999</v>
      </c>
      <c r="T26" s="23">
        <f t="shared" si="11"/>
        <v>6.1939228254847649E-2</v>
      </c>
    </row>
    <row r="27" spans="1:20" ht="15" customHeight="1" x14ac:dyDescent="0.35">
      <c r="A27" t="str">
        <f>Benchmarking!A27</f>
        <v>Allegiance Bancshares Inc</v>
      </c>
      <c r="B27" t="str">
        <f>Benchmarking!B27</f>
        <v>abtx</v>
      </c>
      <c r="C27" t="str">
        <f>Benchmarking!C27</f>
        <v>Banking</v>
      </c>
      <c r="D27" s="17">
        <f>Benchmarking!D27</f>
        <v>298</v>
      </c>
      <c r="E27" s="17">
        <f>Benchmarking!E27</f>
        <v>300</v>
      </c>
      <c r="F27" s="17">
        <f>Benchmarking!F27</f>
        <v>300</v>
      </c>
      <c r="G27" s="17">
        <f>Benchmarking!G27</f>
        <v>898</v>
      </c>
      <c r="H27" t="str">
        <f t="shared" si="0"/>
        <v>Social</v>
      </c>
      <c r="I27" t="str">
        <f t="shared" si="1"/>
        <v>Environmental</v>
      </c>
      <c r="J27" s="19">
        <f t="shared" si="2"/>
        <v>-2</v>
      </c>
      <c r="K27" s="19">
        <f t="shared" si="3"/>
        <v>0</v>
      </c>
      <c r="L27" s="19">
        <f t="shared" si="4"/>
        <v>-2</v>
      </c>
      <c r="M27" s="17">
        <f t="shared" si="5"/>
        <v>2</v>
      </c>
      <c r="N27" s="22">
        <f t="shared" si="6"/>
        <v>0.36980609418282551</v>
      </c>
      <c r="O27" s="22">
        <f t="shared" si="7"/>
        <v>0.35180055401662053</v>
      </c>
      <c r="P27" s="22">
        <f t="shared" si="8"/>
        <v>1.8005540166204981E-2</v>
      </c>
      <c r="Q27" t="str">
        <f t="shared" si="9"/>
        <v/>
      </c>
      <c r="S27">
        <f t="shared" si="10"/>
        <v>2.0009972999999999</v>
      </c>
      <c r="T27" s="23">
        <f t="shared" si="11"/>
        <v>1.900284016620498E-2</v>
      </c>
    </row>
    <row r="28" spans="1:20" ht="15" customHeight="1" x14ac:dyDescent="0.35">
      <c r="A28" t="str">
        <f>Benchmarking!A28</f>
        <v>Arbutus Biopharma Corp</v>
      </c>
      <c r="B28" t="str">
        <f>Benchmarking!B28</f>
        <v>abus</v>
      </c>
      <c r="C28" t="str">
        <f>Benchmarking!C28</f>
        <v>Biotechnology</v>
      </c>
      <c r="D28" s="17">
        <f>Benchmarking!D28</f>
        <v>203</v>
      </c>
      <c r="E28" s="17">
        <f>Benchmarking!E28</f>
        <v>204</v>
      </c>
      <c r="F28" s="17">
        <f>Benchmarking!F28</f>
        <v>338</v>
      </c>
      <c r="G28" s="17">
        <f>Benchmarking!G28</f>
        <v>745</v>
      </c>
      <c r="H28" t="str">
        <f t="shared" si="0"/>
        <v>Governance</v>
      </c>
      <c r="I28" t="str">
        <f t="shared" si="1"/>
        <v>Environmental</v>
      </c>
      <c r="J28" s="19">
        <f t="shared" si="2"/>
        <v>-1</v>
      </c>
      <c r="K28" s="19">
        <f t="shared" si="3"/>
        <v>-134</v>
      </c>
      <c r="L28" s="19">
        <f t="shared" si="4"/>
        <v>-135</v>
      </c>
      <c r="M28" s="17">
        <f t="shared" si="5"/>
        <v>135</v>
      </c>
      <c r="N28" s="22">
        <f t="shared" si="6"/>
        <v>0.22022160664819945</v>
      </c>
      <c r="O28" s="22">
        <f t="shared" si="7"/>
        <v>5.2631578947368418E-2</v>
      </c>
      <c r="P28" s="22">
        <f t="shared" si="8"/>
        <v>0.16759002770083103</v>
      </c>
      <c r="Q28" t="str">
        <f t="shared" si="9"/>
        <v/>
      </c>
      <c r="S28">
        <f t="shared" si="10"/>
        <v>135.0009972</v>
      </c>
      <c r="T28" s="23">
        <f t="shared" si="11"/>
        <v>0.16858722770083104</v>
      </c>
    </row>
    <row r="29" spans="1:20" ht="15" customHeight="1" x14ac:dyDescent="0.35">
      <c r="A29" t="str">
        <f>Benchmarking!A29</f>
        <v>ABVC Biopharma Inc</v>
      </c>
      <c r="B29" t="str">
        <f>Benchmarking!B29</f>
        <v>abvc</v>
      </c>
      <c r="C29" t="str">
        <f>Benchmarking!C29</f>
        <v>Biotechnology</v>
      </c>
      <c r="D29" s="17">
        <f>Benchmarking!D29</f>
        <v>220</v>
      </c>
      <c r="E29" s="17">
        <f>Benchmarking!E29</f>
        <v>212</v>
      </c>
      <c r="F29" s="17">
        <f>Benchmarking!F29</f>
        <v>205</v>
      </c>
      <c r="G29" s="17">
        <f>Benchmarking!G29</f>
        <v>637</v>
      </c>
      <c r="H29" t="str">
        <f t="shared" si="0"/>
        <v>Environmental</v>
      </c>
      <c r="I29" t="str">
        <f t="shared" si="1"/>
        <v>Governance</v>
      </c>
      <c r="J29" s="19">
        <f t="shared" si="2"/>
        <v>8</v>
      </c>
      <c r="K29" s="19">
        <f t="shared" si="3"/>
        <v>7</v>
      </c>
      <c r="L29" s="19">
        <f t="shared" si="4"/>
        <v>15</v>
      </c>
      <c r="M29" s="17">
        <f t="shared" si="5"/>
        <v>15</v>
      </c>
      <c r="N29" s="22">
        <f t="shared" si="6"/>
        <v>7.3407202216066489E-2</v>
      </c>
      <c r="O29" s="22">
        <f t="shared" si="7"/>
        <v>8.3102493074792241E-2</v>
      </c>
      <c r="P29" s="22">
        <f t="shared" si="8"/>
        <v>-9.6952908587257525E-3</v>
      </c>
      <c r="Q29" t="str">
        <f t="shared" si="9"/>
        <v/>
      </c>
      <c r="S29">
        <f t="shared" si="10"/>
        <v>15.000997099999999</v>
      </c>
      <c r="T29" s="23">
        <f t="shared" si="11"/>
        <v>-8.6981908587257517E-3</v>
      </c>
    </row>
    <row r="30" spans="1:20" ht="15" customHeight="1" x14ac:dyDescent="0.35">
      <c r="A30" t="str">
        <f>Benchmarking!A30</f>
        <v>ACADIA Pharmaceuticals Inc</v>
      </c>
      <c r="B30" t="str">
        <f>Benchmarking!B30</f>
        <v>acad</v>
      </c>
      <c r="C30" t="str">
        <f>Benchmarking!C30</f>
        <v>Biotechnology</v>
      </c>
      <c r="D30" s="17">
        <f>Benchmarking!D30</f>
        <v>230</v>
      </c>
      <c r="E30" s="17">
        <f>Benchmarking!E30</f>
        <v>230</v>
      </c>
      <c r="F30" s="17">
        <f>Benchmarking!F30</f>
        <v>305</v>
      </c>
      <c r="G30" s="17">
        <f>Benchmarking!G30</f>
        <v>765</v>
      </c>
      <c r="H30" t="str">
        <f t="shared" si="0"/>
        <v>Governance</v>
      </c>
      <c r="I30" t="str">
        <f t="shared" si="1"/>
        <v>Environmental</v>
      </c>
      <c r="J30" s="19">
        <f t="shared" si="2"/>
        <v>0</v>
      </c>
      <c r="K30" s="19">
        <f t="shared" si="3"/>
        <v>-75</v>
      </c>
      <c r="L30" s="19">
        <f t="shared" si="4"/>
        <v>-75</v>
      </c>
      <c r="M30" s="17">
        <f t="shared" si="5"/>
        <v>75</v>
      </c>
      <c r="N30" s="22">
        <f t="shared" si="6"/>
        <v>0.25346260387811637</v>
      </c>
      <c r="O30" s="22">
        <f t="shared" si="7"/>
        <v>0.19252077562326869</v>
      </c>
      <c r="P30" s="22">
        <f t="shared" si="8"/>
        <v>6.0941828254847674E-2</v>
      </c>
      <c r="Q30" t="str">
        <f t="shared" si="9"/>
        <v/>
      </c>
      <c r="S30">
        <f t="shared" si="10"/>
        <v>75.000996999999998</v>
      </c>
      <c r="T30" s="23">
        <f t="shared" si="11"/>
        <v>6.1938828254847672E-2</v>
      </c>
    </row>
    <row r="31" spans="1:20" ht="15" customHeight="1" x14ac:dyDescent="0.35">
      <c r="A31" t="str">
        <f>Benchmarking!A31</f>
        <v>Acri Capital Acquisition Corp</v>
      </c>
      <c r="B31" t="str">
        <f>Benchmarking!B31</f>
        <v>acac</v>
      </c>
      <c r="C31" t="str">
        <f>Benchmarking!C31</f>
        <v>Unclassified</v>
      </c>
      <c r="D31" s="17">
        <f>Benchmarking!D31</f>
        <v>200</v>
      </c>
      <c r="E31" s="17">
        <f>Benchmarking!E31</f>
        <v>205</v>
      </c>
      <c r="F31" s="17">
        <f>Benchmarking!F31</f>
        <v>300</v>
      </c>
      <c r="G31" s="17">
        <f>Benchmarking!G31</f>
        <v>705</v>
      </c>
      <c r="H31" t="str">
        <f t="shared" si="0"/>
        <v>Governance</v>
      </c>
      <c r="I31" t="str">
        <f t="shared" si="1"/>
        <v>Environmental</v>
      </c>
      <c r="J31" s="19">
        <f t="shared" si="2"/>
        <v>-5</v>
      </c>
      <c r="K31" s="19">
        <f t="shared" si="3"/>
        <v>-95</v>
      </c>
      <c r="L31" s="19">
        <f t="shared" si="4"/>
        <v>-100</v>
      </c>
      <c r="M31" s="17">
        <f t="shared" si="5"/>
        <v>100</v>
      </c>
      <c r="N31" s="22">
        <f t="shared" si="6"/>
        <v>0.17036011080332411</v>
      </c>
      <c r="O31" s="22">
        <f t="shared" si="7"/>
        <v>1.3850415512465374E-3</v>
      </c>
      <c r="P31" s="22">
        <f t="shared" si="8"/>
        <v>0.16897506925207759</v>
      </c>
      <c r="Q31" t="str">
        <f t="shared" si="9"/>
        <v/>
      </c>
      <c r="S31">
        <f t="shared" si="10"/>
        <v>100.0009969</v>
      </c>
      <c r="T31" s="23">
        <f t="shared" si="11"/>
        <v>0.16997196925207758</v>
      </c>
    </row>
    <row r="32" spans="1:20" ht="15" customHeight="1" x14ac:dyDescent="0.35">
      <c r="A32" t="str">
        <f>Benchmarking!A32</f>
        <v>Accolade Inc</v>
      </c>
      <c r="B32" t="str">
        <f>Benchmarking!B32</f>
        <v>accd</v>
      </c>
      <c r="C32" t="str">
        <f>Benchmarking!C32</f>
        <v>Health Care</v>
      </c>
      <c r="D32" s="17">
        <f>Benchmarking!D32</f>
        <v>255</v>
      </c>
      <c r="E32" s="17">
        <f>Benchmarking!E32</f>
        <v>254</v>
      </c>
      <c r="F32" s="17">
        <f>Benchmarking!F32</f>
        <v>235</v>
      </c>
      <c r="G32" s="17">
        <f>Benchmarking!G32</f>
        <v>744</v>
      </c>
      <c r="H32" t="str">
        <f t="shared" si="0"/>
        <v>Environmental</v>
      </c>
      <c r="I32" t="str">
        <f t="shared" si="1"/>
        <v>Governance</v>
      </c>
      <c r="J32" s="19">
        <f t="shared" si="2"/>
        <v>1</v>
      </c>
      <c r="K32" s="19">
        <f t="shared" si="3"/>
        <v>19</v>
      </c>
      <c r="L32" s="19">
        <f t="shared" si="4"/>
        <v>20</v>
      </c>
      <c r="M32" s="17">
        <f t="shared" si="5"/>
        <v>20</v>
      </c>
      <c r="N32" s="22">
        <f t="shared" si="6"/>
        <v>0.21745152354570638</v>
      </c>
      <c r="O32" s="22">
        <f t="shared" si="7"/>
        <v>0.24653739612188366</v>
      </c>
      <c r="P32" s="22">
        <f t="shared" si="8"/>
        <v>-2.9085872576177285E-2</v>
      </c>
      <c r="Q32" t="str">
        <f t="shared" si="9"/>
        <v/>
      </c>
      <c r="S32">
        <f t="shared" si="10"/>
        <v>20.000996799999999</v>
      </c>
      <c r="T32" s="23">
        <f t="shared" si="11"/>
        <v>-2.8089072576177286E-2</v>
      </c>
    </row>
    <row r="33" spans="1:20" ht="15" customHeight="1" x14ac:dyDescent="0.35">
      <c r="A33" t="str">
        <f>Benchmarking!A33</f>
        <v>Adicet Bio Inc</v>
      </c>
      <c r="B33" t="str">
        <f>Benchmarking!B33</f>
        <v>acet</v>
      </c>
      <c r="C33" t="str">
        <f>Benchmarking!C33</f>
        <v>Biotechnology</v>
      </c>
      <c r="D33" s="17">
        <f>Benchmarking!D33</f>
        <v>215</v>
      </c>
      <c r="E33" s="17">
        <f>Benchmarking!E33</f>
        <v>211</v>
      </c>
      <c r="F33" s="17">
        <f>Benchmarking!F33</f>
        <v>305</v>
      </c>
      <c r="G33" s="17">
        <f>Benchmarking!G33</f>
        <v>731</v>
      </c>
      <c r="H33" t="str">
        <f t="shared" si="0"/>
        <v>Governance</v>
      </c>
      <c r="I33" t="str">
        <f t="shared" si="1"/>
        <v>Social</v>
      </c>
      <c r="J33" s="19">
        <f t="shared" si="2"/>
        <v>4</v>
      </c>
      <c r="K33" s="19">
        <f t="shared" si="3"/>
        <v>-94</v>
      </c>
      <c r="L33" s="19">
        <f t="shared" si="4"/>
        <v>-90</v>
      </c>
      <c r="M33" s="17">
        <f t="shared" si="5"/>
        <v>94</v>
      </c>
      <c r="N33" s="22">
        <f t="shared" si="6"/>
        <v>0.19806094182825484</v>
      </c>
      <c r="O33" s="22">
        <f t="shared" si="7"/>
        <v>0.11357340720221606</v>
      </c>
      <c r="P33" s="22">
        <f t="shared" si="8"/>
        <v>8.4487534626038779E-2</v>
      </c>
      <c r="Q33" t="str">
        <f t="shared" si="9"/>
        <v/>
      </c>
      <c r="S33">
        <f t="shared" si="10"/>
        <v>94.000996700000002</v>
      </c>
      <c r="T33" s="23">
        <f t="shared" si="11"/>
        <v>8.5484234626038783E-2</v>
      </c>
    </row>
    <row r="34" spans="1:20" ht="15" customHeight="1" x14ac:dyDescent="0.35">
      <c r="A34" t="str">
        <f>Benchmarking!A34</f>
        <v>Abcellera Biologics Inc</v>
      </c>
      <c r="B34" t="str">
        <f>Benchmarking!B34</f>
        <v>abcl</v>
      </c>
      <c r="C34" t="str">
        <f>Benchmarking!C34</f>
        <v>Life Sciences Tools &amp; Services</v>
      </c>
      <c r="D34" s="17">
        <f>Benchmarking!D34</f>
        <v>540</v>
      </c>
      <c r="E34" s="17">
        <f>Benchmarking!E34</f>
        <v>354</v>
      </c>
      <c r="F34" s="17">
        <f>Benchmarking!F34</f>
        <v>345</v>
      </c>
      <c r="G34" s="17">
        <f>Benchmarking!G34</f>
        <v>1239</v>
      </c>
      <c r="H34" t="str">
        <f t="shared" si="0"/>
        <v>Environmental</v>
      </c>
      <c r="I34" t="str">
        <f t="shared" si="1"/>
        <v>Governance</v>
      </c>
      <c r="J34" s="19">
        <f t="shared" si="2"/>
        <v>186</v>
      </c>
      <c r="K34" s="19">
        <f t="shared" si="3"/>
        <v>9</v>
      </c>
      <c r="L34" s="19">
        <f t="shared" si="4"/>
        <v>195</v>
      </c>
      <c r="M34" s="17">
        <f t="shared" si="5"/>
        <v>195</v>
      </c>
      <c r="N34" s="22">
        <f t="shared" si="6"/>
        <v>0.92243767313019387</v>
      </c>
      <c r="O34" s="22">
        <f t="shared" si="7"/>
        <v>0.83795013850415512</v>
      </c>
      <c r="P34" s="22">
        <f t="shared" si="8"/>
        <v>8.4487534626038752E-2</v>
      </c>
      <c r="Q34" t="str">
        <f t="shared" si="9"/>
        <v/>
      </c>
      <c r="S34">
        <f t="shared" si="10"/>
        <v>195.00099660000001</v>
      </c>
      <c r="T34" s="23">
        <f t="shared" si="11"/>
        <v>8.5484134626038752E-2</v>
      </c>
    </row>
    <row r="35" spans="1:20" ht="15" customHeight="1" x14ac:dyDescent="0.35">
      <c r="A35" t="str">
        <f>Benchmarking!A35</f>
        <v>Ameris Bancorp</v>
      </c>
      <c r="B35" t="str">
        <f>Benchmarking!B35</f>
        <v>abcb</v>
      </c>
      <c r="C35" t="str">
        <f>Benchmarking!C35</f>
        <v>Banking</v>
      </c>
      <c r="D35" s="17">
        <f>Benchmarking!D35</f>
        <v>290</v>
      </c>
      <c r="E35" s="17">
        <f>Benchmarking!E35</f>
        <v>300</v>
      </c>
      <c r="F35" s="17">
        <f>Benchmarking!F35</f>
        <v>250</v>
      </c>
      <c r="G35" s="17">
        <f>Benchmarking!G35</f>
        <v>840</v>
      </c>
      <c r="H35" t="str">
        <f t="shared" si="0"/>
        <v>Social</v>
      </c>
      <c r="I35" t="str">
        <f t="shared" si="1"/>
        <v>Governance</v>
      </c>
      <c r="J35" s="19">
        <f t="shared" si="2"/>
        <v>-10</v>
      </c>
      <c r="K35" s="19">
        <f t="shared" si="3"/>
        <v>50</v>
      </c>
      <c r="L35" s="19">
        <f t="shared" si="4"/>
        <v>40</v>
      </c>
      <c r="M35" s="17">
        <f t="shared" si="5"/>
        <v>50</v>
      </c>
      <c r="N35" s="22">
        <f t="shared" si="6"/>
        <v>0.32825484764542934</v>
      </c>
      <c r="O35" s="22">
        <f t="shared" si="7"/>
        <v>0.296398891966759</v>
      </c>
      <c r="P35" s="22">
        <f t="shared" si="8"/>
        <v>3.1855955678670334E-2</v>
      </c>
      <c r="Q35" t="str">
        <f t="shared" si="9"/>
        <v/>
      </c>
      <c r="S35">
        <f t="shared" si="10"/>
        <v>50.000996499999999</v>
      </c>
      <c r="T35" s="23">
        <f t="shared" si="11"/>
        <v>3.2852455678670331E-2</v>
      </c>
    </row>
    <row r="36" spans="1:20" ht="15" customHeight="1" x14ac:dyDescent="0.35">
      <c r="A36" t="str">
        <f>Benchmarking!A36</f>
        <v>ACE Convergence Acquisition Corp</v>
      </c>
      <c r="B36" t="str">
        <f>Benchmarking!B36</f>
        <v>acev</v>
      </c>
      <c r="C36" t="str">
        <f>Benchmarking!C36</f>
        <v>Unclassified</v>
      </c>
      <c r="D36" s="17">
        <f>Benchmarking!D36</f>
        <v>225</v>
      </c>
      <c r="E36" s="17">
        <f>Benchmarking!E36</f>
        <v>211</v>
      </c>
      <c r="F36" s="17">
        <f>Benchmarking!F36</f>
        <v>215</v>
      </c>
      <c r="G36" s="17">
        <f>Benchmarking!G36</f>
        <v>651</v>
      </c>
      <c r="H36" t="str">
        <f t="shared" si="0"/>
        <v>Environmental</v>
      </c>
      <c r="I36" t="str">
        <f t="shared" si="1"/>
        <v>Social</v>
      </c>
      <c r="J36" s="19">
        <f t="shared" si="2"/>
        <v>14</v>
      </c>
      <c r="K36" s="19">
        <f t="shared" si="3"/>
        <v>-4</v>
      </c>
      <c r="L36" s="19">
        <f t="shared" si="4"/>
        <v>10</v>
      </c>
      <c r="M36" s="17">
        <f t="shared" si="5"/>
        <v>14</v>
      </c>
      <c r="N36" s="22">
        <f t="shared" si="6"/>
        <v>9.4182825484764546E-2</v>
      </c>
      <c r="O36" s="22">
        <f t="shared" si="7"/>
        <v>0.11357340720221606</v>
      </c>
      <c r="P36" s="22">
        <f t="shared" si="8"/>
        <v>-1.9390581717451519E-2</v>
      </c>
      <c r="Q36" t="str">
        <f t="shared" si="9"/>
        <v/>
      </c>
      <c r="S36">
        <f t="shared" si="10"/>
        <v>14.0009964</v>
      </c>
      <c r="T36" s="23">
        <f t="shared" si="11"/>
        <v>-1.8394181717451517E-2</v>
      </c>
    </row>
    <row r="37" spans="1:20" ht="15" customHeight="1" x14ac:dyDescent="0.35">
      <c r="A37" t="str">
        <f>Benchmarking!A37</f>
        <v>Achilles Therapeutics PLC</v>
      </c>
      <c r="B37" t="str">
        <f>Benchmarking!B37</f>
        <v>achl</v>
      </c>
      <c r="C37" t="str">
        <f>Benchmarking!C37</f>
        <v>Biotechnology</v>
      </c>
      <c r="D37" s="17">
        <f>Benchmarking!D37</f>
        <v>230</v>
      </c>
      <c r="E37" s="17">
        <f>Benchmarking!E37</f>
        <v>288</v>
      </c>
      <c r="F37" s="17">
        <f>Benchmarking!F37</f>
        <v>285</v>
      </c>
      <c r="G37" s="17">
        <f>Benchmarking!G37</f>
        <v>803</v>
      </c>
      <c r="H37" t="str">
        <f t="shared" si="0"/>
        <v>Social</v>
      </c>
      <c r="I37" t="str">
        <f t="shared" si="1"/>
        <v>Environmental</v>
      </c>
      <c r="J37" s="19">
        <f t="shared" si="2"/>
        <v>-58</v>
      </c>
      <c r="K37" s="19">
        <f t="shared" si="3"/>
        <v>3</v>
      </c>
      <c r="L37" s="19">
        <f t="shared" si="4"/>
        <v>-55</v>
      </c>
      <c r="M37" s="17">
        <f t="shared" si="5"/>
        <v>58</v>
      </c>
      <c r="N37" s="22">
        <f t="shared" si="6"/>
        <v>0.29224376731301938</v>
      </c>
      <c r="O37" s="22">
        <f t="shared" si="7"/>
        <v>0.19529085872576177</v>
      </c>
      <c r="P37" s="22">
        <f t="shared" si="8"/>
        <v>9.6952908587257608E-2</v>
      </c>
      <c r="Q37" t="str">
        <f t="shared" si="9"/>
        <v/>
      </c>
      <c r="S37">
        <f t="shared" si="10"/>
        <v>58.000996299999997</v>
      </c>
      <c r="T37" s="23">
        <f t="shared" si="11"/>
        <v>9.7949208587257613E-2</v>
      </c>
    </row>
    <row r="38" spans="1:20" ht="15" customHeight="1" x14ac:dyDescent="0.35">
      <c r="A38" t="str">
        <f>Benchmarking!A38</f>
        <v>Acadia Healthcare Company Inc</v>
      </c>
      <c r="B38" t="str">
        <f>Benchmarking!B38</f>
        <v>achc</v>
      </c>
      <c r="C38" t="str">
        <f>Benchmarking!C38</f>
        <v>Health Care</v>
      </c>
      <c r="D38" s="17">
        <f>Benchmarking!D38</f>
        <v>330</v>
      </c>
      <c r="E38" s="17">
        <f>Benchmarking!E38</f>
        <v>231</v>
      </c>
      <c r="F38" s="17">
        <f>Benchmarking!F38</f>
        <v>220</v>
      </c>
      <c r="G38" s="17">
        <f>Benchmarking!G38</f>
        <v>781</v>
      </c>
      <c r="H38" t="str">
        <f t="shared" si="0"/>
        <v>Environmental</v>
      </c>
      <c r="I38" t="str">
        <f t="shared" si="1"/>
        <v>Governance</v>
      </c>
      <c r="J38" s="19">
        <f t="shared" si="2"/>
        <v>99</v>
      </c>
      <c r="K38" s="19">
        <f t="shared" si="3"/>
        <v>11</v>
      </c>
      <c r="L38" s="19">
        <f t="shared" si="4"/>
        <v>110</v>
      </c>
      <c r="M38" s="17">
        <f t="shared" si="5"/>
        <v>110</v>
      </c>
      <c r="N38" s="22">
        <f t="shared" si="6"/>
        <v>0.27562326869806092</v>
      </c>
      <c r="O38" s="22">
        <f t="shared" si="7"/>
        <v>0.19113573407202217</v>
      </c>
      <c r="P38" s="22">
        <f t="shared" si="8"/>
        <v>8.4487534626038752E-2</v>
      </c>
      <c r="Q38" t="str">
        <f t="shared" si="9"/>
        <v/>
      </c>
      <c r="S38">
        <f t="shared" si="10"/>
        <v>110.0009962</v>
      </c>
      <c r="T38" s="23">
        <f t="shared" si="11"/>
        <v>8.5483734626038754E-2</v>
      </c>
    </row>
    <row r="39" spans="1:20" ht="15" customHeight="1" x14ac:dyDescent="0.35">
      <c r="A39" t="str">
        <f>Benchmarking!A39</f>
        <v>ACI Worldwide Inc</v>
      </c>
      <c r="B39" t="str">
        <f>Benchmarking!B39</f>
        <v>aciw</v>
      </c>
      <c r="C39" t="str">
        <f>Benchmarking!C39</f>
        <v>Technology</v>
      </c>
      <c r="D39" s="17">
        <f>Benchmarking!D39</f>
        <v>500</v>
      </c>
      <c r="E39" s="17">
        <f>Benchmarking!E39</f>
        <v>327</v>
      </c>
      <c r="F39" s="17">
        <f>Benchmarking!F39</f>
        <v>300</v>
      </c>
      <c r="G39" s="17">
        <f>Benchmarking!G39</f>
        <v>1127</v>
      </c>
      <c r="H39" t="str">
        <f t="shared" si="0"/>
        <v>Environmental</v>
      </c>
      <c r="I39" t="str">
        <f t="shared" si="1"/>
        <v>Governance</v>
      </c>
      <c r="J39" s="19">
        <f t="shared" si="2"/>
        <v>173</v>
      </c>
      <c r="K39" s="19">
        <f t="shared" si="3"/>
        <v>27</v>
      </c>
      <c r="L39" s="19">
        <f t="shared" si="4"/>
        <v>200</v>
      </c>
      <c r="M39" s="17">
        <f t="shared" si="5"/>
        <v>200</v>
      </c>
      <c r="N39" s="22">
        <f t="shared" si="6"/>
        <v>0.68144044321329644</v>
      </c>
      <c r="O39" s="22">
        <f t="shared" si="7"/>
        <v>0.39335180055401664</v>
      </c>
      <c r="P39" s="22">
        <f t="shared" si="8"/>
        <v>0.2880886426592798</v>
      </c>
      <c r="Q39" t="str">
        <f t="shared" si="9"/>
        <v/>
      </c>
      <c r="S39">
        <f t="shared" si="10"/>
        <v>200.00099610000001</v>
      </c>
      <c r="T39" s="23">
        <f t="shared" si="11"/>
        <v>0.2890847426592798</v>
      </c>
    </row>
    <row r="40" spans="1:20" ht="15" customHeight="1" x14ac:dyDescent="0.35">
      <c r="A40" t="str">
        <f>Benchmarking!A40</f>
        <v>Axcelis Technologies Inc</v>
      </c>
      <c r="B40" t="str">
        <f>Benchmarking!B40</f>
        <v>acls</v>
      </c>
      <c r="C40" t="str">
        <f>Benchmarking!C40</f>
        <v>Semiconductors</v>
      </c>
      <c r="D40" s="17">
        <f>Benchmarking!D40</f>
        <v>515</v>
      </c>
      <c r="E40" s="17">
        <f>Benchmarking!E40</f>
        <v>306</v>
      </c>
      <c r="F40" s="17">
        <f>Benchmarking!F40</f>
        <v>260</v>
      </c>
      <c r="G40" s="17">
        <f>Benchmarking!G40</f>
        <v>1081</v>
      </c>
      <c r="H40" t="str">
        <f t="shared" si="0"/>
        <v>Environmental</v>
      </c>
      <c r="I40" t="str">
        <f t="shared" si="1"/>
        <v>Governance</v>
      </c>
      <c r="J40" s="19">
        <f t="shared" si="2"/>
        <v>209</v>
      </c>
      <c r="K40" s="19">
        <f t="shared" si="3"/>
        <v>46</v>
      </c>
      <c r="L40" s="19">
        <f t="shared" si="4"/>
        <v>255</v>
      </c>
      <c r="M40" s="17">
        <f t="shared" si="5"/>
        <v>255</v>
      </c>
      <c r="N40" s="22">
        <f t="shared" si="6"/>
        <v>0.54155124653739617</v>
      </c>
      <c r="O40" s="22">
        <f t="shared" si="7"/>
        <v>0.32409972299168976</v>
      </c>
      <c r="P40" s="22">
        <f t="shared" si="8"/>
        <v>0.2174515235457064</v>
      </c>
      <c r="Q40" t="str">
        <f t="shared" si="9"/>
        <v/>
      </c>
      <c r="S40">
        <f t="shared" si="10"/>
        <v>255.00099599999999</v>
      </c>
      <c r="T40" s="23">
        <f t="shared" si="11"/>
        <v>0.2184475235457064</v>
      </c>
    </row>
    <row r="41" spans="1:20" ht="15" customHeight="1" x14ac:dyDescent="0.35">
      <c r="A41" t="str">
        <f>Benchmarking!A41</f>
        <v>AC Immune SA</v>
      </c>
      <c r="B41" t="str">
        <f>Benchmarking!B41</f>
        <v>aciu</v>
      </c>
      <c r="C41" t="str">
        <f>Benchmarking!C41</f>
        <v>Biotechnology</v>
      </c>
      <c r="D41" s="17">
        <f>Benchmarking!D41</f>
        <v>250</v>
      </c>
      <c r="E41" s="17">
        <f>Benchmarking!E41</f>
        <v>296</v>
      </c>
      <c r="F41" s="17">
        <f>Benchmarking!F41</f>
        <v>305</v>
      </c>
      <c r="G41" s="17">
        <f>Benchmarking!G41</f>
        <v>851</v>
      </c>
      <c r="H41" t="str">
        <f t="shared" si="0"/>
        <v>Governance</v>
      </c>
      <c r="I41" t="str">
        <f t="shared" si="1"/>
        <v>Environmental</v>
      </c>
      <c r="J41" s="19">
        <f t="shared" si="2"/>
        <v>-46</v>
      </c>
      <c r="K41" s="19">
        <f t="shared" si="3"/>
        <v>-9</v>
      </c>
      <c r="L41" s="19">
        <f t="shared" si="4"/>
        <v>-55</v>
      </c>
      <c r="M41" s="17">
        <f t="shared" si="5"/>
        <v>55</v>
      </c>
      <c r="N41" s="22">
        <f t="shared" si="6"/>
        <v>0.33933518005540164</v>
      </c>
      <c r="O41" s="22">
        <f t="shared" si="7"/>
        <v>0.26869806094182824</v>
      </c>
      <c r="P41" s="22">
        <f t="shared" si="8"/>
        <v>7.0637119113573399E-2</v>
      </c>
      <c r="Q41" t="str">
        <f t="shared" si="9"/>
        <v/>
      </c>
      <c r="S41">
        <f t="shared" si="10"/>
        <v>55.000995899999999</v>
      </c>
      <c r="T41" s="23">
        <f t="shared" si="11"/>
        <v>7.1633019113573393E-2</v>
      </c>
    </row>
    <row r="42" spans="1:20" ht="15" customHeight="1" x14ac:dyDescent="0.35">
      <c r="A42" t="str">
        <f>Benchmarking!A42</f>
        <v>Achieve Life Sciences Inc</v>
      </c>
      <c r="B42" t="str">
        <f>Benchmarking!B42</f>
        <v>achv</v>
      </c>
      <c r="C42" t="str">
        <f>Benchmarking!C42</f>
        <v>Biotechnology</v>
      </c>
      <c r="D42" s="17">
        <f>Benchmarking!D42</f>
        <v>215</v>
      </c>
      <c r="E42" s="17">
        <f>Benchmarking!E42</f>
        <v>222</v>
      </c>
      <c r="F42" s="17">
        <f>Benchmarking!F42</f>
        <v>305</v>
      </c>
      <c r="G42" s="17">
        <f>Benchmarking!G42</f>
        <v>742</v>
      </c>
      <c r="H42" t="str">
        <f t="shared" si="0"/>
        <v>Governance</v>
      </c>
      <c r="I42" t="str">
        <f t="shared" si="1"/>
        <v>Environmental</v>
      </c>
      <c r="J42" s="19">
        <f t="shared" si="2"/>
        <v>-7</v>
      </c>
      <c r="K42" s="19">
        <f t="shared" si="3"/>
        <v>-83</v>
      </c>
      <c r="L42" s="19">
        <f t="shared" si="4"/>
        <v>-90</v>
      </c>
      <c r="M42" s="17">
        <f t="shared" si="5"/>
        <v>90</v>
      </c>
      <c r="N42" s="22">
        <f t="shared" si="6"/>
        <v>0.21329639889196675</v>
      </c>
      <c r="O42" s="22">
        <f t="shared" si="7"/>
        <v>0.11911357340720222</v>
      </c>
      <c r="P42" s="22">
        <f t="shared" si="8"/>
        <v>9.4182825484764532E-2</v>
      </c>
      <c r="Q42" t="str">
        <f t="shared" si="9"/>
        <v/>
      </c>
      <c r="S42">
        <f t="shared" si="10"/>
        <v>90.000995799999998</v>
      </c>
      <c r="T42" s="23">
        <f t="shared" si="11"/>
        <v>9.5178625484764537E-2</v>
      </c>
    </row>
    <row r="43" spans="1:20" ht="15" customHeight="1" x14ac:dyDescent="0.35">
      <c r="A43" t="str">
        <f>Benchmarking!A43</f>
        <v>ACM Research Inc</v>
      </c>
      <c r="B43" t="str">
        <f>Benchmarking!B43</f>
        <v>acmr</v>
      </c>
      <c r="C43" t="str">
        <f>Benchmarking!C43</f>
        <v>Semiconductors</v>
      </c>
      <c r="D43" s="17">
        <f>Benchmarking!D43</f>
        <v>410</v>
      </c>
      <c r="E43" s="17">
        <f>Benchmarking!E43</f>
        <v>232</v>
      </c>
      <c r="F43" s="17">
        <f>Benchmarking!F43</f>
        <v>325</v>
      </c>
      <c r="G43" s="17">
        <f>Benchmarking!G43</f>
        <v>967</v>
      </c>
      <c r="H43" t="str">
        <f t="shared" si="0"/>
        <v>Environmental</v>
      </c>
      <c r="I43" t="str">
        <f t="shared" si="1"/>
        <v>Social</v>
      </c>
      <c r="J43" s="19">
        <f t="shared" si="2"/>
        <v>178</v>
      </c>
      <c r="K43" s="19">
        <f t="shared" si="3"/>
        <v>-93</v>
      </c>
      <c r="L43" s="19">
        <f t="shared" si="4"/>
        <v>85</v>
      </c>
      <c r="M43" s="17">
        <f t="shared" si="5"/>
        <v>178</v>
      </c>
      <c r="N43" s="22">
        <f t="shared" si="6"/>
        <v>0.43351800554016623</v>
      </c>
      <c r="O43" s="22">
        <f t="shared" si="7"/>
        <v>0.20498614958448755</v>
      </c>
      <c r="P43" s="22">
        <f t="shared" si="8"/>
        <v>0.22853185595567868</v>
      </c>
      <c r="Q43" t="str">
        <f t="shared" si="9"/>
        <v/>
      </c>
      <c r="S43">
        <f t="shared" si="10"/>
        <v>178.0009957</v>
      </c>
      <c r="T43" s="23">
        <f t="shared" si="11"/>
        <v>0.22952755595567867</v>
      </c>
    </row>
    <row r="44" spans="1:20" ht="15" customHeight="1" x14ac:dyDescent="0.35">
      <c r="A44" t="str">
        <f>Benchmarking!A44</f>
        <v>Acorda Therapeutics Inc</v>
      </c>
      <c r="B44" t="str">
        <f>Benchmarking!B44</f>
        <v>acor</v>
      </c>
      <c r="C44" t="str">
        <f>Benchmarking!C44</f>
        <v>Biotechnology</v>
      </c>
      <c r="D44" s="17">
        <f>Benchmarking!D44</f>
        <v>230</v>
      </c>
      <c r="E44" s="17">
        <f>Benchmarking!E44</f>
        <v>307</v>
      </c>
      <c r="F44" s="17">
        <f>Benchmarking!F44</f>
        <v>310</v>
      </c>
      <c r="G44" s="17">
        <f>Benchmarking!G44</f>
        <v>847</v>
      </c>
      <c r="H44" t="str">
        <f t="shared" si="0"/>
        <v>Governance</v>
      </c>
      <c r="I44" t="str">
        <f t="shared" si="1"/>
        <v>Environmental</v>
      </c>
      <c r="J44" s="19">
        <f t="shared" si="2"/>
        <v>-77</v>
      </c>
      <c r="K44" s="19">
        <f t="shared" si="3"/>
        <v>-3</v>
      </c>
      <c r="L44" s="19">
        <f t="shared" si="4"/>
        <v>-80</v>
      </c>
      <c r="M44" s="17">
        <f t="shared" si="5"/>
        <v>80</v>
      </c>
      <c r="N44" s="22">
        <f t="shared" si="6"/>
        <v>0.33656509695290859</v>
      </c>
      <c r="O44" s="22">
        <f t="shared" si="7"/>
        <v>0.19529085872576177</v>
      </c>
      <c r="P44" s="22">
        <f t="shared" si="8"/>
        <v>0.14127423822714683</v>
      </c>
      <c r="Q44" t="str">
        <f t="shared" si="9"/>
        <v/>
      </c>
      <c r="S44">
        <f t="shared" si="10"/>
        <v>80.000995599999996</v>
      </c>
      <c r="T44" s="23">
        <f t="shared" si="11"/>
        <v>0.14226983822714684</v>
      </c>
    </row>
    <row r="45" spans="1:20" ht="15" customHeight="1" x14ac:dyDescent="0.35">
      <c r="A45" t="str">
        <f>Benchmarking!A45</f>
        <v>ACNB Corp</v>
      </c>
      <c r="B45" t="str">
        <f>Benchmarking!B45</f>
        <v>acnb</v>
      </c>
      <c r="C45" t="str">
        <f>Benchmarking!C45</f>
        <v>Banking</v>
      </c>
      <c r="D45" s="17">
        <f>Benchmarking!D45</f>
        <v>220</v>
      </c>
      <c r="E45" s="17">
        <f>Benchmarking!E45</f>
        <v>219</v>
      </c>
      <c r="F45" s="17">
        <f>Benchmarking!F45</f>
        <v>215</v>
      </c>
      <c r="G45" s="17">
        <f>Benchmarking!G45</f>
        <v>654</v>
      </c>
      <c r="H45" t="str">
        <f t="shared" si="0"/>
        <v>Environmental</v>
      </c>
      <c r="I45" t="str">
        <f t="shared" si="1"/>
        <v>Governance</v>
      </c>
      <c r="J45" s="19">
        <f t="shared" si="2"/>
        <v>1</v>
      </c>
      <c r="K45" s="19">
        <f t="shared" si="3"/>
        <v>4</v>
      </c>
      <c r="L45" s="19">
        <f t="shared" si="4"/>
        <v>5</v>
      </c>
      <c r="M45" s="17">
        <f t="shared" si="5"/>
        <v>5</v>
      </c>
      <c r="N45" s="22">
        <f t="shared" si="6"/>
        <v>0.1038781163434903</v>
      </c>
      <c r="O45" s="22">
        <f t="shared" si="7"/>
        <v>0.14681440443213298</v>
      </c>
      <c r="P45" s="22">
        <f t="shared" si="8"/>
        <v>-4.293628808864268E-2</v>
      </c>
      <c r="Q45" t="str">
        <f t="shared" si="9"/>
        <v/>
      </c>
      <c r="S45">
        <f t="shared" si="10"/>
        <v>5.0009955000000001</v>
      </c>
      <c r="T45" s="23">
        <f t="shared" si="11"/>
        <v>-4.1940788088642676E-2</v>
      </c>
    </row>
    <row r="46" spans="1:20" ht="15" customHeight="1" x14ac:dyDescent="0.35">
      <c r="A46" t="str">
        <f>Benchmarking!A46</f>
        <v>Aclaris Therapeutics Inc</v>
      </c>
      <c r="B46" t="str">
        <f>Benchmarking!B46</f>
        <v>acrs</v>
      </c>
      <c r="C46" t="str">
        <f>Benchmarking!C46</f>
        <v>Pharmaceuticals</v>
      </c>
      <c r="D46" s="17">
        <f>Benchmarking!D46</f>
        <v>230</v>
      </c>
      <c r="E46" s="17">
        <f>Benchmarking!E46</f>
        <v>207</v>
      </c>
      <c r="F46" s="17">
        <f>Benchmarking!F46</f>
        <v>220</v>
      </c>
      <c r="G46" s="17">
        <f>Benchmarking!G46</f>
        <v>657</v>
      </c>
      <c r="H46" t="str">
        <f t="shared" si="0"/>
        <v>Environmental</v>
      </c>
      <c r="I46" t="str">
        <f t="shared" si="1"/>
        <v>Social</v>
      </c>
      <c r="J46" s="19">
        <f t="shared" si="2"/>
        <v>23</v>
      </c>
      <c r="K46" s="19">
        <f t="shared" si="3"/>
        <v>-13</v>
      </c>
      <c r="L46" s="19">
        <f t="shared" si="4"/>
        <v>10</v>
      </c>
      <c r="M46" s="17">
        <f t="shared" si="5"/>
        <v>23</v>
      </c>
      <c r="N46" s="22">
        <f t="shared" si="6"/>
        <v>0.11080332409972299</v>
      </c>
      <c r="O46" s="22">
        <f t="shared" si="7"/>
        <v>9.0027700831024932E-2</v>
      </c>
      <c r="P46" s="22">
        <f t="shared" si="8"/>
        <v>2.0775623268698057E-2</v>
      </c>
      <c r="Q46" t="str">
        <f t="shared" si="9"/>
        <v/>
      </c>
      <c r="S46">
        <f t="shared" si="10"/>
        <v>23.000995400000001</v>
      </c>
      <c r="T46" s="23">
        <f t="shared" si="11"/>
        <v>2.1771023268698057E-2</v>
      </c>
    </row>
    <row r="47" spans="1:20" ht="15" customHeight="1" x14ac:dyDescent="0.35">
      <c r="A47" t="str">
        <f>Benchmarking!A47</f>
        <v>AcelRx Pharmaceuticals Inc</v>
      </c>
      <c r="B47" t="str">
        <f>Benchmarking!B47</f>
        <v>acrx</v>
      </c>
      <c r="C47" t="str">
        <f>Benchmarking!C47</f>
        <v>Pharmaceuticals</v>
      </c>
      <c r="D47" s="17">
        <f>Benchmarking!D47</f>
        <v>200</v>
      </c>
      <c r="E47" s="17">
        <f>Benchmarking!E47</f>
        <v>237</v>
      </c>
      <c r="F47" s="17">
        <f>Benchmarking!F47</f>
        <v>300</v>
      </c>
      <c r="G47" s="17">
        <f>Benchmarking!G47</f>
        <v>737</v>
      </c>
      <c r="H47" t="str">
        <f t="shared" si="0"/>
        <v>Governance</v>
      </c>
      <c r="I47" t="str">
        <f t="shared" si="1"/>
        <v>Environmental</v>
      </c>
      <c r="J47" s="19">
        <f t="shared" si="2"/>
        <v>-37</v>
      </c>
      <c r="K47" s="19">
        <f t="shared" si="3"/>
        <v>-63</v>
      </c>
      <c r="L47" s="19">
        <f t="shared" si="4"/>
        <v>-100</v>
      </c>
      <c r="M47" s="17">
        <f t="shared" si="5"/>
        <v>100</v>
      </c>
      <c r="N47" s="22">
        <f t="shared" si="6"/>
        <v>0.20637119113573407</v>
      </c>
      <c r="O47" s="22">
        <f t="shared" si="7"/>
        <v>1.3850415512465374E-3</v>
      </c>
      <c r="P47" s="22">
        <f t="shared" si="8"/>
        <v>0.20498614958448755</v>
      </c>
      <c r="Q47" t="str">
        <f t="shared" si="9"/>
        <v/>
      </c>
      <c r="S47">
        <f t="shared" si="10"/>
        <v>100.0009953</v>
      </c>
      <c r="T47" s="23">
        <f t="shared" si="11"/>
        <v>0.20598144958448755</v>
      </c>
    </row>
    <row r="48" spans="1:20" ht="15" customHeight="1" x14ac:dyDescent="0.35">
      <c r="A48" t="str">
        <f>Benchmarking!A48</f>
        <v>Enact Holdings Inc</v>
      </c>
      <c r="B48" t="str">
        <f>Benchmarking!B48</f>
        <v>act</v>
      </c>
      <c r="C48" t="str">
        <f>Benchmarking!C48</f>
        <v>Financial Services</v>
      </c>
      <c r="D48" s="17">
        <f>Benchmarking!D48</f>
        <v>540</v>
      </c>
      <c r="E48" s="17">
        <f>Benchmarking!E48</f>
        <v>328</v>
      </c>
      <c r="F48" s="17">
        <f>Benchmarking!F48</f>
        <v>315</v>
      </c>
      <c r="G48" s="17">
        <f>Benchmarking!G48</f>
        <v>1183</v>
      </c>
      <c r="H48" t="str">
        <f t="shared" si="0"/>
        <v>Environmental</v>
      </c>
      <c r="I48" t="str">
        <f t="shared" si="1"/>
        <v>Governance</v>
      </c>
      <c r="J48" s="19">
        <f t="shared" si="2"/>
        <v>212</v>
      </c>
      <c r="K48" s="19">
        <f t="shared" si="3"/>
        <v>13</v>
      </c>
      <c r="L48" s="19">
        <f t="shared" si="4"/>
        <v>225</v>
      </c>
      <c r="M48" s="17">
        <f t="shared" si="5"/>
        <v>225</v>
      </c>
      <c r="N48" s="22">
        <f t="shared" si="6"/>
        <v>0.86149584487534625</v>
      </c>
      <c r="O48" s="22">
        <f t="shared" si="7"/>
        <v>0.80609418282548473</v>
      </c>
      <c r="P48" s="22">
        <f t="shared" si="8"/>
        <v>5.5401662049861522E-2</v>
      </c>
      <c r="Q48" t="str">
        <f t="shared" si="9"/>
        <v/>
      </c>
      <c r="S48">
        <f t="shared" si="10"/>
        <v>225.00099520000001</v>
      </c>
      <c r="T48" s="23">
        <f t="shared" si="11"/>
        <v>5.6396862049861524E-2</v>
      </c>
    </row>
    <row r="49" spans="1:20" ht="15" customHeight="1" x14ac:dyDescent="0.35">
      <c r="A49" t="str">
        <f>Benchmarking!A49</f>
        <v>Acacia Research Corp</v>
      </c>
      <c r="B49" t="str">
        <f>Benchmarking!B49</f>
        <v>actg</v>
      </c>
      <c r="C49" t="str">
        <f>Benchmarking!C49</f>
        <v>Financial Services</v>
      </c>
      <c r="D49" s="17">
        <f>Benchmarking!D49</f>
        <v>200</v>
      </c>
      <c r="E49" s="17">
        <f>Benchmarking!E49</f>
        <v>200</v>
      </c>
      <c r="F49" s="17">
        <f>Benchmarking!F49</f>
        <v>275</v>
      </c>
      <c r="G49" s="17">
        <f>Benchmarking!G49</f>
        <v>675</v>
      </c>
      <c r="H49" t="str">
        <f t="shared" si="0"/>
        <v>Governance</v>
      </c>
      <c r="I49" t="str">
        <f t="shared" si="1"/>
        <v>Environmental</v>
      </c>
      <c r="J49" s="19">
        <f t="shared" si="2"/>
        <v>0</v>
      </c>
      <c r="K49" s="19">
        <f t="shared" si="3"/>
        <v>-75</v>
      </c>
      <c r="L49" s="19">
        <f t="shared" si="4"/>
        <v>-75</v>
      </c>
      <c r="M49" s="17">
        <f t="shared" si="5"/>
        <v>75</v>
      </c>
      <c r="N49" s="22">
        <f t="shared" si="6"/>
        <v>0.13573407202216067</v>
      </c>
      <c r="O49" s="22">
        <f t="shared" si="7"/>
        <v>1.3850415512465374E-3</v>
      </c>
      <c r="P49" s="22">
        <f t="shared" si="8"/>
        <v>0.13434903047091415</v>
      </c>
      <c r="Q49" t="str">
        <f t="shared" si="9"/>
        <v/>
      </c>
      <c r="S49">
        <f t="shared" si="10"/>
        <v>75.000995099999997</v>
      </c>
      <c r="T49" s="23">
        <f t="shared" si="11"/>
        <v>0.13534413047091415</v>
      </c>
    </row>
    <row r="50" spans="1:20" ht="15" customHeight="1" x14ac:dyDescent="0.35">
      <c r="A50" t="str">
        <f>Benchmarking!A50</f>
        <v>ACV Auctions Inc</v>
      </c>
      <c r="B50" t="str">
        <f>Benchmarking!B50</f>
        <v>acva</v>
      </c>
      <c r="C50" t="str">
        <f>Benchmarking!C50</f>
        <v>Commercial Services &amp; Supplies</v>
      </c>
      <c r="D50" s="17">
        <f>Benchmarking!D50</f>
        <v>235</v>
      </c>
      <c r="E50" s="17">
        <f>Benchmarking!E50</f>
        <v>262</v>
      </c>
      <c r="F50" s="17">
        <f>Benchmarking!F50</f>
        <v>315</v>
      </c>
      <c r="G50" s="17">
        <f>Benchmarking!G50</f>
        <v>812</v>
      </c>
      <c r="H50" t="str">
        <f t="shared" si="0"/>
        <v>Governance</v>
      </c>
      <c r="I50" t="str">
        <f t="shared" si="1"/>
        <v>Environmental</v>
      </c>
      <c r="J50" s="19">
        <f t="shared" si="2"/>
        <v>-27</v>
      </c>
      <c r="K50" s="19">
        <f t="shared" si="3"/>
        <v>-53</v>
      </c>
      <c r="L50" s="19">
        <f t="shared" si="4"/>
        <v>-80</v>
      </c>
      <c r="M50" s="17">
        <f t="shared" si="5"/>
        <v>80</v>
      </c>
      <c r="N50" s="22">
        <f t="shared" si="6"/>
        <v>0.29916897506925205</v>
      </c>
      <c r="O50" s="22">
        <f t="shared" si="7"/>
        <v>0.22160664819944598</v>
      </c>
      <c r="P50" s="22">
        <f t="shared" si="8"/>
        <v>7.7562326869806075E-2</v>
      </c>
      <c r="Q50" t="str">
        <f t="shared" si="9"/>
        <v/>
      </c>
      <c r="S50">
        <f t="shared" si="10"/>
        <v>80.000995000000003</v>
      </c>
      <c r="T50" s="23">
        <f t="shared" si="11"/>
        <v>7.8557326869806071E-2</v>
      </c>
    </row>
    <row r="51" spans="1:20" ht="15" customHeight="1" x14ac:dyDescent="0.35">
      <c r="A51" t="str">
        <f>Benchmarking!A51</f>
        <v>Adagene Inc</v>
      </c>
      <c r="B51" t="str">
        <f>Benchmarking!B51</f>
        <v>adag</v>
      </c>
      <c r="C51" t="str">
        <f>Benchmarking!C51</f>
        <v>Biotechnology</v>
      </c>
      <c r="D51" s="17">
        <f>Benchmarking!D51</f>
        <v>295</v>
      </c>
      <c r="E51" s="17">
        <f>Benchmarking!E51</f>
        <v>301</v>
      </c>
      <c r="F51" s="17">
        <f>Benchmarking!F51</f>
        <v>305</v>
      </c>
      <c r="G51" s="17">
        <f>Benchmarking!G51</f>
        <v>901</v>
      </c>
      <c r="H51" t="str">
        <f t="shared" si="0"/>
        <v>Governance</v>
      </c>
      <c r="I51" t="str">
        <f t="shared" si="1"/>
        <v>Environmental</v>
      </c>
      <c r="J51" s="19">
        <f t="shared" si="2"/>
        <v>-6</v>
      </c>
      <c r="K51" s="19">
        <f t="shared" si="3"/>
        <v>-4</v>
      </c>
      <c r="L51" s="19">
        <f t="shared" si="4"/>
        <v>-10</v>
      </c>
      <c r="M51" s="17">
        <f t="shared" si="5"/>
        <v>10</v>
      </c>
      <c r="N51" s="22">
        <f t="shared" si="6"/>
        <v>0.37673130193905818</v>
      </c>
      <c r="O51" s="22">
        <f t="shared" si="7"/>
        <v>0.34487534626038779</v>
      </c>
      <c r="P51" s="22">
        <f t="shared" si="8"/>
        <v>3.1855955678670389E-2</v>
      </c>
      <c r="Q51" t="str">
        <f t="shared" si="9"/>
        <v/>
      </c>
      <c r="S51">
        <f t="shared" si="10"/>
        <v>10.0009949</v>
      </c>
      <c r="T51" s="23">
        <f t="shared" si="11"/>
        <v>3.2850855678670389E-2</v>
      </c>
    </row>
    <row r="52" spans="1:20" ht="15" customHeight="1" x14ac:dyDescent="0.35">
      <c r="A52" t="str">
        <f>Benchmarking!A52</f>
        <v>Acurx Pharmaceuticals Inc</v>
      </c>
      <c r="B52" t="str">
        <f>Benchmarking!B52</f>
        <v>acxp</v>
      </c>
      <c r="C52" t="str">
        <f>Benchmarking!C52</f>
        <v>Biotechnology</v>
      </c>
      <c r="D52" s="17">
        <f>Benchmarking!D52</f>
        <v>235</v>
      </c>
      <c r="E52" s="17">
        <f>Benchmarking!E52</f>
        <v>301</v>
      </c>
      <c r="F52" s="17">
        <f>Benchmarking!F52</f>
        <v>305</v>
      </c>
      <c r="G52" s="17">
        <f>Benchmarking!G52</f>
        <v>841</v>
      </c>
      <c r="H52" t="str">
        <f t="shared" si="0"/>
        <v>Governance</v>
      </c>
      <c r="I52" t="str">
        <f t="shared" si="1"/>
        <v>Environmental</v>
      </c>
      <c r="J52" s="19">
        <f t="shared" si="2"/>
        <v>-66</v>
      </c>
      <c r="K52" s="19">
        <f t="shared" si="3"/>
        <v>-4</v>
      </c>
      <c r="L52" s="19">
        <f t="shared" si="4"/>
        <v>-70</v>
      </c>
      <c r="M52" s="17">
        <f t="shared" si="5"/>
        <v>70</v>
      </c>
      <c r="N52" s="22">
        <f t="shared" si="6"/>
        <v>0.32963988919667592</v>
      </c>
      <c r="O52" s="22">
        <f t="shared" si="7"/>
        <v>0.22160664819944598</v>
      </c>
      <c r="P52" s="22">
        <f t="shared" si="8"/>
        <v>0.10803324099722994</v>
      </c>
      <c r="Q52" t="str">
        <f t="shared" si="9"/>
        <v/>
      </c>
      <c r="S52">
        <f t="shared" si="10"/>
        <v>70.000994800000001</v>
      </c>
      <c r="T52" s="23">
        <f t="shared" si="11"/>
        <v>0.10902804099722994</v>
      </c>
    </row>
    <row r="53" spans="1:20" ht="15" customHeight="1" x14ac:dyDescent="0.35">
      <c r="A53" t="str">
        <f>Benchmarking!A53</f>
        <v>Adobe Inc</v>
      </c>
      <c r="B53" t="str">
        <f>Benchmarking!B53</f>
        <v>adbe</v>
      </c>
      <c r="C53" t="str">
        <f>Benchmarking!C53</f>
        <v>Technology</v>
      </c>
      <c r="D53" s="17">
        <f>Benchmarking!D53</f>
        <v>200</v>
      </c>
      <c r="E53" s="17">
        <f>Benchmarking!E53</f>
        <v>221</v>
      </c>
      <c r="F53" s="17">
        <f>Benchmarking!F53</f>
        <v>200</v>
      </c>
      <c r="G53" s="17">
        <f>Benchmarking!G53</f>
        <v>621</v>
      </c>
      <c r="H53" t="str">
        <f t="shared" si="0"/>
        <v>Social</v>
      </c>
      <c r="I53" t="str">
        <f t="shared" si="1"/>
        <v>Environmental</v>
      </c>
      <c r="J53" s="19">
        <f t="shared" si="2"/>
        <v>-21</v>
      </c>
      <c r="K53" s="19">
        <f t="shared" si="3"/>
        <v>21</v>
      </c>
      <c r="L53" s="19">
        <f t="shared" si="4"/>
        <v>0</v>
      </c>
      <c r="M53" s="17">
        <f t="shared" si="5"/>
        <v>21</v>
      </c>
      <c r="N53" s="22">
        <f t="shared" si="6"/>
        <v>4.2936288088642659E-2</v>
      </c>
      <c r="O53" s="22">
        <f t="shared" si="7"/>
        <v>1.3850415512465374E-3</v>
      </c>
      <c r="P53" s="22">
        <f t="shared" si="8"/>
        <v>4.1551246537396121E-2</v>
      </c>
      <c r="Q53" t="str">
        <f t="shared" si="9"/>
        <v/>
      </c>
      <c r="S53">
        <f t="shared" si="10"/>
        <v>21.0009947</v>
      </c>
      <c r="T53" s="23">
        <f t="shared" si="11"/>
        <v>4.2545946537396122E-2</v>
      </c>
    </row>
    <row r="54" spans="1:20" ht="15" customHeight="1" x14ac:dyDescent="0.35">
      <c r="A54" t="str">
        <f>Benchmarking!A54</f>
        <v>Adaptimmune Therapeutics PLC</v>
      </c>
      <c r="B54" t="str">
        <f>Benchmarking!B54</f>
        <v>adap</v>
      </c>
      <c r="C54" t="str">
        <f>Benchmarking!C54</f>
        <v>Biotechnology</v>
      </c>
      <c r="D54" s="17">
        <f>Benchmarking!D54</f>
        <v>365</v>
      </c>
      <c r="E54" s="17">
        <f>Benchmarking!E54</f>
        <v>283</v>
      </c>
      <c r="F54" s="17">
        <f>Benchmarking!F54</f>
        <v>305</v>
      </c>
      <c r="G54" s="17">
        <f>Benchmarking!G54</f>
        <v>953</v>
      </c>
      <c r="H54" t="str">
        <f t="shared" si="0"/>
        <v>Environmental</v>
      </c>
      <c r="I54" t="str">
        <f t="shared" si="1"/>
        <v>Social</v>
      </c>
      <c r="J54" s="19">
        <f t="shared" si="2"/>
        <v>82</v>
      </c>
      <c r="K54" s="19">
        <f t="shared" si="3"/>
        <v>-22</v>
      </c>
      <c r="L54" s="19">
        <f t="shared" si="4"/>
        <v>60</v>
      </c>
      <c r="M54" s="17">
        <f t="shared" si="5"/>
        <v>82</v>
      </c>
      <c r="N54" s="22">
        <f t="shared" si="6"/>
        <v>0.42382271468144045</v>
      </c>
      <c r="O54" s="22">
        <f t="shared" si="7"/>
        <v>0.33518005540166207</v>
      </c>
      <c r="P54" s="22">
        <f t="shared" si="8"/>
        <v>8.864265927977838E-2</v>
      </c>
      <c r="Q54" t="str">
        <f t="shared" si="9"/>
        <v/>
      </c>
      <c r="S54">
        <f t="shared" si="10"/>
        <v>82.000994599999999</v>
      </c>
      <c r="T54" s="23">
        <f t="shared" si="11"/>
        <v>8.9637259279778378E-2</v>
      </c>
    </row>
    <row r="55" spans="1:20" ht="15" customHeight="1" x14ac:dyDescent="0.35">
      <c r="A55" t="str">
        <f>Benchmarking!A55</f>
        <v>ADMA Biologics Inc</v>
      </c>
      <c r="B55" t="str">
        <f>Benchmarking!B55</f>
        <v>adma</v>
      </c>
      <c r="C55" t="str">
        <f>Benchmarking!C55</f>
        <v>Biotechnology</v>
      </c>
      <c r="D55" s="17">
        <f>Benchmarking!D55</f>
        <v>240</v>
      </c>
      <c r="E55" s="17">
        <f>Benchmarking!E55</f>
        <v>264</v>
      </c>
      <c r="F55" s="17">
        <f>Benchmarking!F55</f>
        <v>320</v>
      </c>
      <c r="G55" s="17">
        <f>Benchmarking!G55</f>
        <v>824</v>
      </c>
      <c r="H55" t="str">
        <f t="shared" si="0"/>
        <v>Governance</v>
      </c>
      <c r="I55" t="str">
        <f t="shared" si="1"/>
        <v>Environmental</v>
      </c>
      <c r="J55" s="19">
        <f t="shared" si="2"/>
        <v>-24</v>
      </c>
      <c r="K55" s="19">
        <f t="shared" si="3"/>
        <v>-56</v>
      </c>
      <c r="L55" s="19">
        <f t="shared" si="4"/>
        <v>-80</v>
      </c>
      <c r="M55" s="17">
        <f t="shared" si="5"/>
        <v>80</v>
      </c>
      <c r="N55" s="22">
        <f t="shared" si="6"/>
        <v>0.31440443213296398</v>
      </c>
      <c r="O55" s="22">
        <f t="shared" si="7"/>
        <v>0.24376731301939059</v>
      </c>
      <c r="P55" s="22">
        <f t="shared" si="8"/>
        <v>7.0637119113573399E-2</v>
      </c>
      <c r="Q55" t="str">
        <f t="shared" si="9"/>
        <v/>
      </c>
      <c r="S55">
        <f t="shared" si="10"/>
        <v>80.000994500000004</v>
      </c>
      <c r="T55" s="23">
        <f t="shared" si="11"/>
        <v>7.1631619113573394E-2</v>
      </c>
    </row>
    <row r="56" spans="1:20" ht="15" customHeight="1" x14ac:dyDescent="0.35">
      <c r="A56" t="str">
        <f>Benchmarking!A56</f>
        <v>Advanced Emissions Solutions Inc</v>
      </c>
      <c r="B56" t="str">
        <f>Benchmarking!B56</f>
        <v>ades</v>
      </c>
      <c r="C56" t="str">
        <f>Benchmarking!C56</f>
        <v>Chemicals</v>
      </c>
      <c r="D56" s="17">
        <f>Benchmarking!D56</f>
        <v>205</v>
      </c>
      <c r="E56" s="17">
        <f>Benchmarking!E56</f>
        <v>201</v>
      </c>
      <c r="F56" s="17">
        <f>Benchmarking!F56</f>
        <v>300</v>
      </c>
      <c r="G56" s="17">
        <f>Benchmarking!G56</f>
        <v>706</v>
      </c>
      <c r="H56" t="str">
        <f t="shared" si="0"/>
        <v>Governance</v>
      </c>
      <c r="I56" t="str">
        <f t="shared" si="1"/>
        <v>Social</v>
      </c>
      <c r="J56" s="19">
        <f t="shared" si="2"/>
        <v>4</v>
      </c>
      <c r="K56" s="19">
        <f t="shared" si="3"/>
        <v>-99</v>
      </c>
      <c r="L56" s="19">
        <f t="shared" si="4"/>
        <v>-95</v>
      </c>
      <c r="M56" s="17">
        <f t="shared" si="5"/>
        <v>99</v>
      </c>
      <c r="N56" s="22">
        <f t="shared" si="6"/>
        <v>0.17174515235457063</v>
      </c>
      <c r="O56" s="22">
        <f t="shared" si="7"/>
        <v>3.1855955678670361E-2</v>
      </c>
      <c r="P56" s="22">
        <f t="shared" si="8"/>
        <v>0.13988919667590027</v>
      </c>
      <c r="Q56" t="str">
        <f t="shared" si="9"/>
        <v/>
      </c>
      <c r="S56">
        <f t="shared" si="10"/>
        <v>99.000994399999996</v>
      </c>
      <c r="T56" s="23">
        <f t="shared" si="11"/>
        <v>0.14088359667590028</v>
      </c>
    </row>
    <row r="57" spans="1:20" ht="15" customHeight="1" x14ac:dyDescent="0.35">
      <c r="A57" t="str">
        <f>Benchmarking!A57</f>
        <v>Analog Devices Inc</v>
      </c>
      <c r="B57" t="str">
        <f>Benchmarking!B57</f>
        <v>adi</v>
      </c>
      <c r="C57" t="str">
        <f>Benchmarking!C57</f>
        <v>Semiconductors</v>
      </c>
      <c r="D57" s="17">
        <f>Benchmarking!D57</f>
        <v>350</v>
      </c>
      <c r="E57" s="17">
        <f>Benchmarking!E57</f>
        <v>318</v>
      </c>
      <c r="F57" s="17">
        <f>Benchmarking!F57</f>
        <v>300</v>
      </c>
      <c r="G57" s="17">
        <f>Benchmarking!G57</f>
        <v>968</v>
      </c>
      <c r="H57" t="str">
        <f t="shared" si="0"/>
        <v>Environmental</v>
      </c>
      <c r="I57" t="str">
        <f t="shared" si="1"/>
        <v>Governance</v>
      </c>
      <c r="J57" s="19">
        <f t="shared" si="2"/>
        <v>32</v>
      </c>
      <c r="K57" s="19">
        <f t="shared" si="3"/>
        <v>18</v>
      </c>
      <c r="L57" s="19">
        <f t="shared" si="4"/>
        <v>50</v>
      </c>
      <c r="M57" s="17">
        <f t="shared" si="5"/>
        <v>50</v>
      </c>
      <c r="N57" s="22">
        <f t="shared" si="6"/>
        <v>0.43490304709141275</v>
      </c>
      <c r="O57" s="22">
        <f t="shared" si="7"/>
        <v>0.39335180055401664</v>
      </c>
      <c r="P57" s="22">
        <f t="shared" si="8"/>
        <v>4.1551246537396114E-2</v>
      </c>
      <c r="Q57" t="str">
        <f t="shared" si="9"/>
        <v/>
      </c>
      <c r="S57">
        <f t="shared" si="10"/>
        <v>50.000994300000002</v>
      </c>
      <c r="T57" s="23">
        <f t="shared" si="11"/>
        <v>4.2545546537396117E-2</v>
      </c>
    </row>
    <row r="58" spans="1:20" ht="15" customHeight="1" x14ac:dyDescent="0.35">
      <c r="A58" t="str">
        <f>Benchmarking!A58</f>
        <v>Adial Pharmaceuticals Inc</v>
      </c>
      <c r="B58" t="str">
        <f>Benchmarking!B58</f>
        <v>adil</v>
      </c>
      <c r="C58" t="str">
        <f>Benchmarking!C58</f>
        <v>Pharmaceuticals</v>
      </c>
      <c r="D58" s="17">
        <f>Benchmarking!D58</f>
        <v>200</v>
      </c>
      <c r="E58" s="17">
        <f>Benchmarking!E58</f>
        <v>203</v>
      </c>
      <c r="F58" s="17">
        <f>Benchmarking!F58</f>
        <v>300</v>
      </c>
      <c r="G58" s="17">
        <f>Benchmarking!G58</f>
        <v>703</v>
      </c>
      <c r="H58" t="str">
        <f t="shared" si="0"/>
        <v>Governance</v>
      </c>
      <c r="I58" t="str">
        <f t="shared" si="1"/>
        <v>Environmental</v>
      </c>
      <c r="J58" s="19">
        <f t="shared" si="2"/>
        <v>-3</v>
      </c>
      <c r="K58" s="19">
        <f t="shared" si="3"/>
        <v>-97</v>
      </c>
      <c r="L58" s="19">
        <f t="shared" si="4"/>
        <v>-100</v>
      </c>
      <c r="M58" s="17">
        <f t="shared" si="5"/>
        <v>100</v>
      </c>
      <c r="N58" s="22">
        <f t="shared" si="6"/>
        <v>0.16620498614958448</v>
      </c>
      <c r="O58" s="22">
        <f t="shared" si="7"/>
        <v>1.3850415512465374E-3</v>
      </c>
      <c r="P58" s="22">
        <f t="shared" si="8"/>
        <v>0.16481994459833796</v>
      </c>
      <c r="Q58" t="str">
        <f t="shared" si="9"/>
        <v/>
      </c>
      <c r="S58">
        <f t="shared" si="10"/>
        <v>100.00099419999999</v>
      </c>
      <c r="T58" s="23">
        <f t="shared" si="11"/>
        <v>0.16581414459833796</v>
      </c>
    </row>
    <row r="59" spans="1:20" ht="15" customHeight="1" x14ac:dyDescent="0.35">
      <c r="A59" t="str">
        <f>Benchmarking!A59</f>
        <v>Adamis Pharmaceuticals Corp</v>
      </c>
      <c r="B59" t="str">
        <f>Benchmarking!B59</f>
        <v>admp</v>
      </c>
      <c r="C59" t="str">
        <f>Benchmarking!C59</f>
        <v>Pharmaceuticals</v>
      </c>
      <c r="D59" s="17">
        <f>Benchmarking!D59</f>
        <v>285</v>
      </c>
      <c r="E59" s="17">
        <f>Benchmarking!E59</f>
        <v>204</v>
      </c>
      <c r="F59" s="17">
        <f>Benchmarking!F59</f>
        <v>215</v>
      </c>
      <c r="G59" s="17">
        <f>Benchmarking!G59</f>
        <v>704</v>
      </c>
      <c r="H59" t="str">
        <f t="shared" si="0"/>
        <v>Environmental</v>
      </c>
      <c r="I59" t="str">
        <f t="shared" si="1"/>
        <v>Social</v>
      </c>
      <c r="J59" s="19">
        <f t="shared" si="2"/>
        <v>81</v>
      </c>
      <c r="K59" s="19">
        <f t="shared" si="3"/>
        <v>-11</v>
      </c>
      <c r="L59" s="19">
        <f t="shared" si="4"/>
        <v>70</v>
      </c>
      <c r="M59" s="17">
        <f t="shared" si="5"/>
        <v>81</v>
      </c>
      <c r="N59" s="22">
        <f t="shared" si="6"/>
        <v>0.16897506925207756</v>
      </c>
      <c r="O59" s="22">
        <f t="shared" si="7"/>
        <v>6.5096952908587261E-2</v>
      </c>
      <c r="P59" s="22">
        <f t="shared" si="8"/>
        <v>0.1038781163434903</v>
      </c>
      <c r="Q59" t="str">
        <f t="shared" si="9"/>
        <v/>
      </c>
      <c r="S59">
        <f t="shared" si="10"/>
        <v>81.0009941</v>
      </c>
      <c r="T59" s="23">
        <f t="shared" si="11"/>
        <v>0.1048722163434903</v>
      </c>
    </row>
    <row r="60" spans="1:20" ht="15" customHeight="1" x14ac:dyDescent="0.35">
      <c r="A60" t="str">
        <f>Benchmarking!A60</f>
        <v>Acer Therapeutics Inc</v>
      </c>
      <c r="B60" t="str">
        <f>Benchmarking!B60</f>
        <v>acer</v>
      </c>
      <c r="C60" t="str">
        <f>Benchmarking!C60</f>
        <v>Pharmaceuticals</v>
      </c>
      <c r="D60" s="17">
        <f>Benchmarking!D60</f>
        <v>223</v>
      </c>
      <c r="E60" s="17">
        <f>Benchmarking!E60</f>
        <v>291</v>
      </c>
      <c r="F60" s="17">
        <f>Benchmarking!F60</f>
        <v>310</v>
      </c>
      <c r="G60" s="17">
        <f>Benchmarking!G60</f>
        <v>824</v>
      </c>
      <c r="H60" t="str">
        <f t="shared" si="0"/>
        <v>Governance</v>
      </c>
      <c r="I60" t="str">
        <f t="shared" si="1"/>
        <v>Environmental</v>
      </c>
      <c r="J60" s="19">
        <f t="shared" si="2"/>
        <v>-68</v>
      </c>
      <c r="K60" s="19">
        <f t="shared" si="3"/>
        <v>-19</v>
      </c>
      <c r="L60" s="19">
        <f t="shared" si="4"/>
        <v>-87</v>
      </c>
      <c r="M60" s="17">
        <f t="shared" si="5"/>
        <v>87</v>
      </c>
      <c r="N60" s="22">
        <f t="shared" si="6"/>
        <v>0.31440443213296398</v>
      </c>
      <c r="O60" s="22">
        <f t="shared" si="7"/>
        <v>0.16620498614958448</v>
      </c>
      <c r="P60" s="22">
        <f t="shared" si="8"/>
        <v>0.1481994459833795</v>
      </c>
      <c r="Q60" t="str">
        <f t="shared" si="9"/>
        <v/>
      </c>
      <c r="S60">
        <f t="shared" si="10"/>
        <v>87.000994000000006</v>
      </c>
      <c r="T60" s="23">
        <f t="shared" si="11"/>
        <v>0.1491934459833795</v>
      </c>
    </row>
    <row r="61" spans="1:20" ht="15" customHeight="1" x14ac:dyDescent="0.35">
      <c r="A61" t="str">
        <f>Benchmarking!A61</f>
        <v>Edoc Acquisition Corp</v>
      </c>
      <c r="B61" t="str">
        <f>Benchmarking!B61</f>
        <v>adoc</v>
      </c>
      <c r="C61" t="str">
        <f>Benchmarking!C61</f>
        <v>Unclassified</v>
      </c>
      <c r="D61" s="17">
        <f>Benchmarking!D61</f>
        <v>215</v>
      </c>
      <c r="E61" s="17">
        <f>Benchmarking!E61</f>
        <v>301</v>
      </c>
      <c r="F61" s="17">
        <f>Benchmarking!F61</f>
        <v>300</v>
      </c>
      <c r="G61" s="17">
        <f>Benchmarking!G61</f>
        <v>816</v>
      </c>
      <c r="H61" t="str">
        <f t="shared" si="0"/>
        <v>Social</v>
      </c>
      <c r="I61" t="str">
        <f t="shared" si="1"/>
        <v>Environmental</v>
      </c>
      <c r="J61" s="19">
        <f t="shared" si="2"/>
        <v>-86</v>
      </c>
      <c r="K61" s="19">
        <f t="shared" si="3"/>
        <v>1</v>
      </c>
      <c r="L61" s="19">
        <f t="shared" si="4"/>
        <v>-85</v>
      </c>
      <c r="M61" s="17">
        <f t="shared" si="5"/>
        <v>86</v>
      </c>
      <c r="N61" s="22">
        <f t="shared" si="6"/>
        <v>0.30193905817174516</v>
      </c>
      <c r="O61" s="22">
        <f t="shared" si="7"/>
        <v>0.11911357340720222</v>
      </c>
      <c r="P61" s="22">
        <f t="shared" si="8"/>
        <v>0.18282548476454294</v>
      </c>
      <c r="Q61" t="str">
        <f t="shared" si="9"/>
        <v/>
      </c>
      <c r="S61">
        <f t="shared" si="10"/>
        <v>86.000993899999997</v>
      </c>
      <c r="T61" s="23">
        <f t="shared" si="11"/>
        <v>0.18381938476454293</v>
      </c>
    </row>
    <row r="62" spans="1:20" ht="15" customHeight="1" x14ac:dyDescent="0.35">
      <c r="A62" t="str">
        <f>Benchmarking!A62</f>
        <v>Addus Homecare Corp</v>
      </c>
      <c r="B62" t="str">
        <f>Benchmarking!B62</f>
        <v>adus</v>
      </c>
      <c r="C62" t="str">
        <f>Benchmarking!C62</f>
        <v>Health Care</v>
      </c>
      <c r="D62" s="17">
        <f>Benchmarking!D62</f>
        <v>210</v>
      </c>
      <c r="E62" s="17">
        <f>Benchmarking!E62</f>
        <v>215</v>
      </c>
      <c r="F62" s="17">
        <f>Benchmarking!F62</f>
        <v>218</v>
      </c>
      <c r="G62" s="17">
        <f>Benchmarking!G62</f>
        <v>643</v>
      </c>
      <c r="H62" t="str">
        <f t="shared" si="0"/>
        <v>Governance</v>
      </c>
      <c r="I62" t="str">
        <f t="shared" si="1"/>
        <v>Environmental</v>
      </c>
      <c r="J62" s="19">
        <f t="shared" si="2"/>
        <v>-5</v>
      </c>
      <c r="K62" s="19">
        <f t="shared" si="3"/>
        <v>-3</v>
      </c>
      <c r="L62" s="19">
        <f t="shared" si="4"/>
        <v>-8</v>
      </c>
      <c r="M62" s="17">
        <f t="shared" si="5"/>
        <v>8</v>
      </c>
      <c r="N62" s="22">
        <f t="shared" si="6"/>
        <v>8.3102493074792241E-2</v>
      </c>
      <c r="O62" s="22">
        <f t="shared" si="7"/>
        <v>9.141274238227147E-2</v>
      </c>
      <c r="P62" s="22">
        <f t="shared" si="8"/>
        <v>-8.3102493074792283E-3</v>
      </c>
      <c r="Q62" t="str">
        <f t="shared" si="9"/>
        <v/>
      </c>
      <c r="S62">
        <f t="shared" si="10"/>
        <v>8.0009937999999998</v>
      </c>
      <c r="T62" s="23">
        <f t="shared" si="11"/>
        <v>-7.3164493074792288E-3</v>
      </c>
    </row>
    <row r="63" spans="1:20" ht="15" customHeight="1" x14ac:dyDescent="0.35">
      <c r="A63" t="str">
        <f>Benchmarking!A63</f>
        <v>Arch Capital Group Ltd</v>
      </c>
      <c r="B63" t="str">
        <f>Benchmarking!B63</f>
        <v>acgl</v>
      </c>
      <c r="C63" t="str">
        <f>Benchmarking!C63</f>
        <v>Insurance</v>
      </c>
      <c r="D63" s="17">
        <f>Benchmarking!D63</f>
        <v>500</v>
      </c>
      <c r="E63" s="17">
        <f>Benchmarking!E63</f>
        <v>300</v>
      </c>
      <c r="F63" s="17">
        <f>Benchmarking!F63</f>
        <v>300</v>
      </c>
      <c r="G63" s="17">
        <f>Benchmarking!G63</f>
        <v>1100</v>
      </c>
      <c r="H63" t="str">
        <f t="shared" si="0"/>
        <v>Environmental</v>
      </c>
      <c r="I63" t="str">
        <f t="shared" si="1"/>
        <v>Social</v>
      </c>
      <c r="J63" s="19">
        <f t="shared" si="2"/>
        <v>200</v>
      </c>
      <c r="K63" s="19">
        <f t="shared" si="3"/>
        <v>0</v>
      </c>
      <c r="L63" s="19">
        <f t="shared" si="4"/>
        <v>200</v>
      </c>
      <c r="M63" s="17">
        <f t="shared" si="5"/>
        <v>200</v>
      </c>
      <c r="N63" s="22">
        <f t="shared" si="6"/>
        <v>0.56925207756232687</v>
      </c>
      <c r="O63" s="22">
        <f t="shared" si="7"/>
        <v>0.36565096952908588</v>
      </c>
      <c r="P63" s="22">
        <f t="shared" si="8"/>
        <v>0.203601108033241</v>
      </c>
      <c r="Q63" t="str">
        <f t="shared" si="9"/>
        <v/>
      </c>
      <c r="S63">
        <f t="shared" si="10"/>
        <v>200.00099370000001</v>
      </c>
      <c r="T63" s="23">
        <f t="shared" si="11"/>
        <v>0.20459480803324098</v>
      </c>
    </row>
    <row r="64" spans="1:20" ht="15" customHeight="1" x14ac:dyDescent="0.35">
      <c r="A64" t="str">
        <f>Benchmarking!A64</f>
        <v>Adaptive Biotechnologies Corp</v>
      </c>
      <c r="B64" t="str">
        <f>Benchmarking!B64</f>
        <v>adpt</v>
      </c>
      <c r="C64" t="str">
        <f>Benchmarking!C64</f>
        <v>Life Sciences Tools &amp; Services</v>
      </c>
      <c r="D64" s="17">
        <f>Benchmarking!D64</f>
        <v>260</v>
      </c>
      <c r="E64" s="17">
        <f>Benchmarking!E64</f>
        <v>348</v>
      </c>
      <c r="F64" s="17">
        <f>Benchmarking!F64</f>
        <v>260</v>
      </c>
      <c r="G64" s="17">
        <f>Benchmarking!G64</f>
        <v>868</v>
      </c>
      <c r="H64" t="str">
        <f t="shared" si="0"/>
        <v>Social</v>
      </c>
      <c r="I64" t="str">
        <f t="shared" si="1"/>
        <v>Environmental</v>
      </c>
      <c r="J64" s="19">
        <f t="shared" si="2"/>
        <v>-88</v>
      </c>
      <c r="K64" s="19">
        <f t="shared" si="3"/>
        <v>88</v>
      </c>
      <c r="L64" s="19">
        <f t="shared" si="4"/>
        <v>0</v>
      </c>
      <c r="M64" s="17">
        <f t="shared" si="5"/>
        <v>88</v>
      </c>
      <c r="N64" s="22">
        <f t="shared" si="6"/>
        <v>0.34903047091412742</v>
      </c>
      <c r="O64" s="22">
        <f t="shared" si="7"/>
        <v>0.29085872576177285</v>
      </c>
      <c r="P64" s="22">
        <f t="shared" si="8"/>
        <v>5.817174515235457E-2</v>
      </c>
      <c r="Q64" t="str">
        <f t="shared" si="9"/>
        <v/>
      </c>
      <c r="S64">
        <f t="shared" si="10"/>
        <v>88.000993600000001</v>
      </c>
      <c r="T64" s="23">
        <f t="shared" si="11"/>
        <v>5.9165345152354568E-2</v>
      </c>
    </row>
    <row r="65" spans="1:20" ht="15" customHeight="1" x14ac:dyDescent="0.35">
      <c r="A65" t="str">
        <f>Benchmarking!A65</f>
        <v>Autodesk Inc</v>
      </c>
      <c r="B65" t="str">
        <f>Benchmarking!B65</f>
        <v>adsk</v>
      </c>
      <c r="C65" t="str">
        <f>Benchmarking!C65</f>
        <v>Technology</v>
      </c>
      <c r="D65" s="17">
        <f>Benchmarking!D65</f>
        <v>555</v>
      </c>
      <c r="E65" s="17">
        <f>Benchmarking!E65</f>
        <v>304</v>
      </c>
      <c r="F65" s="17">
        <f>Benchmarking!F65</f>
        <v>310</v>
      </c>
      <c r="G65" s="17">
        <f>Benchmarking!G65</f>
        <v>1169</v>
      </c>
      <c r="H65" t="str">
        <f t="shared" si="0"/>
        <v>Environmental</v>
      </c>
      <c r="I65" t="str">
        <f t="shared" si="1"/>
        <v>Social</v>
      </c>
      <c r="J65" s="19">
        <f t="shared" si="2"/>
        <v>251</v>
      </c>
      <c r="K65" s="19">
        <f t="shared" si="3"/>
        <v>-6</v>
      </c>
      <c r="L65" s="19">
        <f t="shared" si="4"/>
        <v>245</v>
      </c>
      <c r="M65" s="17">
        <f t="shared" si="5"/>
        <v>251</v>
      </c>
      <c r="N65" s="22">
        <f t="shared" si="6"/>
        <v>0.82271468144044324</v>
      </c>
      <c r="O65" s="22">
        <f t="shared" si="7"/>
        <v>0.554016620498615</v>
      </c>
      <c r="P65" s="22">
        <f t="shared" si="8"/>
        <v>0.26869806094182824</v>
      </c>
      <c r="Q65" t="str">
        <f t="shared" si="9"/>
        <v/>
      </c>
      <c r="S65">
        <f t="shared" si="10"/>
        <v>251.00099349999999</v>
      </c>
      <c r="T65" s="23">
        <f t="shared" si="11"/>
        <v>0.26969156094182822</v>
      </c>
    </row>
    <row r="66" spans="1:20" ht="15" customHeight="1" x14ac:dyDescent="0.35">
      <c r="A66" t="str">
        <f>Benchmarking!A66</f>
        <v>Automatic Data Processing Inc</v>
      </c>
      <c r="B66" t="str">
        <f>Benchmarking!B66</f>
        <v>adp</v>
      </c>
      <c r="C66" t="str">
        <f>Benchmarking!C66</f>
        <v>Technology</v>
      </c>
      <c r="D66" s="17">
        <f>Benchmarking!D66</f>
        <v>500</v>
      </c>
      <c r="E66" s="17">
        <f>Benchmarking!E66</f>
        <v>300</v>
      </c>
      <c r="F66" s="17">
        <f>Benchmarking!F66</f>
        <v>200</v>
      </c>
      <c r="G66" s="17">
        <f>Benchmarking!G66</f>
        <v>1000</v>
      </c>
      <c r="H66" t="str">
        <f t="shared" si="0"/>
        <v>Environmental</v>
      </c>
      <c r="I66" t="str">
        <f t="shared" si="1"/>
        <v>Governance</v>
      </c>
      <c r="J66" s="19">
        <f t="shared" si="2"/>
        <v>200</v>
      </c>
      <c r="K66" s="19">
        <f t="shared" si="3"/>
        <v>100</v>
      </c>
      <c r="L66" s="19">
        <f t="shared" si="4"/>
        <v>300</v>
      </c>
      <c r="M66" s="17">
        <f t="shared" si="5"/>
        <v>300</v>
      </c>
      <c r="N66" s="22">
        <f t="shared" si="6"/>
        <v>0.45567867036011078</v>
      </c>
      <c r="O66" s="22">
        <f t="shared" si="7"/>
        <v>2.7700831024930748E-3</v>
      </c>
      <c r="P66" s="22">
        <f t="shared" si="8"/>
        <v>0.45290858725761773</v>
      </c>
      <c r="Q66" t="str">
        <f t="shared" si="9"/>
        <v/>
      </c>
      <c r="S66">
        <f t="shared" si="10"/>
        <v>300.00099340000003</v>
      </c>
      <c r="T66" s="23">
        <f t="shared" si="11"/>
        <v>0.45390198725761771</v>
      </c>
    </row>
    <row r="67" spans="1:20" ht="15" customHeight="1" x14ac:dyDescent="0.35">
      <c r="A67" t="str">
        <f>Benchmarking!A67</f>
        <v>Aditxt Inc</v>
      </c>
      <c r="B67" t="str">
        <f>Benchmarking!B67</f>
        <v>adtx</v>
      </c>
      <c r="C67" t="str">
        <f>Benchmarking!C67</f>
        <v>Biotechnology</v>
      </c>
      <c r="D67" s="17">
        <f>Benchmarking!D67</f>
        <v>210</v>
      </c>
      <c r="E67" s="17">
        <f>Benchmarking!E67</f>
        <v>224</v>
      </c>
      <c r="F67" s="17">
        <f>Benchmarking!F67</f>
        <v>305</v>
      </c>
      <c r="G67" s="17">
        <f>Benchmarking!G67</f>
        <v>739</v>
      </c>
      <c r="H67" t="str">
        <f t="shared" si="0"/>
        <v>Governance</v>
      </c>
      <c r="I67" t="str">
        <f t="shared" si="1"/>
        <v>Environmental</v>
      </c>
      <c r="J67" s="19">
        <f t="shared" si="2"/>
        <v>-14</v>
      </c>
      <c r="K67" s="19">
        <f t="shared" si="3"/>
        <v>-81</v>
      </c>
      <c r="L67" s="19">
        <f t="shared" si="4"/>
        <v>-95</v>
      </c>
      <c r="M67" s="17">
        <f t="shared" si="5"/>
        <v>95</v>
      </c>
      <c r="N67" s="22">
        <f t="shared" si="6"/>
        <v>0.20914127423822715</v>
      </c>
      <c r="O67" s="22">
        <f t="shared" si="7"/>
        <v>9.141274238227147E-2</v>
      </c>
      <c r="P67" s="22">
        <f t="shared" si="8"/>
        <v>0.11772853185595568</v>
      </c>
      <c r="Q67" t="str">
        <f t="shared" si="9"/>
        <v/>
      </c>
      <c r="S67">
        <f t="shared" si="10"/>
        <v>95.000993300000005</v>
      </c>
      <c r="T67" s="23">
        <f t="shared" si="11"/>
        <v>0.11872183185595568</v>
      </c>
    </row>
    <row r="68" spans="1:20" ht="15" customHeight="1" x14ac:dyDescent="0.35">
      <c r="A68" t="str">
        <f>Benchmarking!A68</f>
        <v>Advantage Solutions Inc</v>
      </c>
      <c r="B68" t="str">
        <f>Benchmarking!B68</f>
        <v>adv</v>
      </c>
      <c r="C68" t="str">
        <f>Benchmarking!C68</f>
        <v>Media</v>
      </c>
      <c r="D68" s="17">
        <f>Benchmarking!D68</f>
        <v>515</v>
      </c>
      <c r="E68" s="17">
        <f>Benchmarking!E68</f>
        <v>269</v>
      </c>
      <c r="F68" s="17">
        <f>Benchmarking!F68</f>
        <v>328</v>
      </c>
      <c r="G68" s="17">
        <f>Benchmarking!G68</f>
        <v>1112</v>
      </c>
      <c r="H68" t="str">
        <f t="shared" ref="H68:H131" si="12">IF(AND(D68&gt;=E68,D68&gt;=F68),"Environmental",IF(AND(E68&gt;=D68,E68&gt;=F68),"Social","Governance"))</f>
        <v>Environmental</v>
      </c>
      <c r="I68" t="str">
        <f t="shared" ref="I68:I131" si="13">IF(AND(D68&lt;=E68,D68&lt;=F68),"Environmental",IF(AND(E68&lt;=D68,E68&lt;=F68),"Social","Governance"))</f>
        <v>Social</v>
      </c>
      <c r="J68" s="19">
        <f t="shared" ref="J68:J131" si="14">D68-E68</f>
        <v>246</v>
      </c>
      <c r="K68" s="19">
        <f t="shared" ref="K68:K131" si="15">E68-F68</f>
        <v>-59</v>
      </c>
      <c r="L68" s="19">
        <f t="shared" ref="L68:L131" si="16">D68-F68</f>
        <v>187</v>
      </c>
      <c r="M68" s="17">
        <f t="shared" ref="M68:M131" si="17">MAX(D68:F68)-MIN(D68:F68)</f>
        <v>246</v>
      </c>
      <c r="N68" s="22">
        <f t="shared" ref="N68:N131" si="18">RANK(G68,$G$4:$G$725,1)/COUNT($G$4:$G$725)</f>
        <v>0.64265927977839332</v>
      </c>
      <c r="O68" s="22">
        <f t="shared" ref="O68:O131" si="19">MIN(RANK(D68,$D$4:$D$725,1)/COUNT($D$4:$D$725),RANK(E68,$E$4:$E$725,1)/COUNT($E$4:$E$725),RANK(F68,$F$4:$F$725,1)/COUNT($F$4:$F$725))</f>
        <v>0.31301939058171746</v>
      </c>
      <c r="P68" s="22">
        <f t="shared" ref="P68:P131" si="20">N68-O68</f>
        <v>0.32963988919667586</v>
      </c>
      <c r="Q68" t="str">
        <f t="shared" ref="Q68:Q131" si="21">IF(AND(N68&gt;=0.7,P68&gt;=0.4),"High ESG / weak pillar (analytical flag - not an ESG rating) - warrants investigation","")</f>
        <v/>
      </c>
      <c r="S68">
        <f t="shared" ref="S68:S131" si="22">M68+(10000-ROW())/10000000</f>
        <v>246.00099320000001</v>
      </c>
      <c r="T68" s="23">
        <f t="shared" ref="T68:T131" si="23">P68+(10000-ROW())/10000000</f>
        <v>0.33063308919667589</v>
      </c>
    </row>
    <row r="69" spans="1:20" ht="15" customHeight="1" x14ac:dyDescent="0.35">
      <c r="A69" t="str">
        <f>Benchmarking!A69</f>
        <v>Adverum Biotechnologies Inc</v>
      </c>
      <c r="B69" t="str">
        <f>Benchmarking!B69</f>
        <v>advm</v>
      </c>
      <c r="C69" t="str">
        <f>Benchmarking!C69</f>
        <v>Biotechnology</v>
      </c>
      <c r="D69" s="17">
        <f>Benchmarking!D69</f>
        <v>262</v>
      </c>
      <c r="E69" s="17">
        <f>Benchmarking!E69</f>
        <v>321</v>
      </c>
      <c r="F69" s="17">
        <f>Benchmarking!F69</f>
        <v>235</v>
      </c>
      <c r="G69" s="17">
        <f>Benchmarking!G69</f>
        <v>818</v>
      </c>
      <c r="H69" t="str">
        <f t="shared" si="12"/>
        <v>Social</v>
      </c>
      <c r="I69" t="str">
        <f t="shared" si="13"/>
        <v>Governance</v>
      </c>
      <c r="J69" s="19">
        <f t="shared" si="14"/>
        <v>-59</v>
      </c>
      <c r="K69" s="19">
        <f t="shared" si="15"/>
        <v>86</v>
      </c>
      <c r="L69" s="19">
        <f t="shared" si="16"/>
        <v>27</v>
      </c>
      <c r="M69" s="17">
        <f t="shared" si="17"/>
        <v>86</v>
      </c>
      <c r="N69" s="22">
        <f t="shared" si="18"/>
        <v>0.30609418282548478</v>
      </c>
      <c r="O69" s="22">
        <f t="shared" si="19"/>
        <v>0.24653739612188366</v>
      </c>
      <c r="P69" s="22">
        <f t="shared" si="20"/>
        <v>5.9556786703601122E-2</v>
      </c>
      <c r="Q69" t="str">
        <f t="shared" si="21"/>
        <v/>
      </c>
      <c r="S69">
        <f t="shared" si="22"/>
        <v>86.000993100000002</v>
      </c>
      <c r="T69" s="23">
        <f t="shared" si="23"/>
        <v>6.0549886703601119E-2</v>
      </c>
    </row>
    <row r="70" spans="1:20" ht="15" customHeight="1" x14ac:dyDescent="0.35">
      <c r="A70" t="str">
        <f>Benchmarking!A70</f>
        <v>Aehr Test Systems</v>
      </c>
      <c r="B70" t="str">
        <f>Benchmarking!B70</f>
        <v>aehr</v>
      </c>
      <c r="C70" t="str">
        <f>Benchmarking!C70</f>
        <v>Semiconductors</v>
      </c>
      <c r="D70" s="17">
        <f>Benchmarking!D70</f>
        <v>290</v>
      </c>
      <c r="E70" s="17">
        <f>Benchmarking!E70</f>
        <v>262</v>
      </c>
      <c r="F70" s="17">
        <f>Benchmarking!F70</f>
        <v>300</v>
      </c>
      <c r="G70" s="17">
        <f>Benchmarking!G70</f>
        <v>852</v>
      </c>
      <c r="H70" t="str">
        <f t="shared" si="12"/>
        <v>Governance</v>
      </c>
      <c r="I70" t="str">
        <f t="shared" si="13"/>
        <v>Social</v>
      </c>
      <c r="J70" s="19">
        <f t="shared" si="14"/>
        <v>28</v>
      </c>
      <c r="K70" s="19">
        <f t="shared" si="15"/>
        <v>-38</v>
      </c>
      <c r="L70" s="19">
        <f t="shared" si="16"/>
        <v>-10</v>
      </c>
      <c r="M70" s="17">
        <f t="shared" si="17"/>
        <v>38</v>
      </c>
      <c r="N70" s="22">
        <f t="shared" si="18"/>
        <v>0.34072022160664822</v>
      </c>
      <c r="O70" s="22">
        <f t="shared" si="19"/>
        <v>0.29916897506925205</v>
      </c>
      <c r="P70" s="22">
        <f t="shared" si="20"/>
        <v>4.1551246537396169E-2</v>
      </c>
      <c r="Q70" t="str">
        <f t="shared" si="21"/>
        <v/>
      </c>
      <c r="S70">
        <f t="shared" si="22"/>
        <v>38.000993000000001</v>
      </c>
      <c r="T70" s="23">
        <f t="shared" si="23"/>
        <v>4.254424653739617E-2</v>
      </c>
    </row>
    <row r="71" spans="1:20" ht="15" customHeight="1" x14ac:dyDescent="0.35">
      <c r="A71" t="str">
        <f>Benchmarking!A71</f>
        <v>Antelope Enterprise Holdings Ltd</v>
      </c>
      <c r="B71" t="str">
        <f>Benchmarking!B71</f>
        <v>aehl</v>
      </c>
      <c r="C71" t="str">
        <f>Benchmarking!C71</f>
        <v>Building</v>
      </c>
      <c r="D71" s="17">
        <f>Benchmarking!D71</f>
        <v>238</v>
      </c>
      <c r="E71" s="17">
        <f>Benchmarking!E71</f>
        <v>237</v>
      </c>
      <c r="F71" s="17">
        <f>Benchmarking!F71</f>
        <v>325</v>
      </c>
      <c r="G71" s="17">
        <f>Benchmarking!G71</f>
        <v>800</v>
      </c>
      <c r="H71" t="str">
        <f t="shared" si="12"/>
        <v>Governance</v>
      </c>
      <c r="I71" t="str">
        <f t="shared" si="13"/>
        <v>Social</v>
      </c>
      <c r="J71" s="19">
        <f t="shared" si="14"/>
        <v>1</v>
      </c>
      <c r="K71" s="19">
        <f t="shared" si="15"/>
        <v>-88</v>
      </c>
      <c r="L71" s="19">
        <f t="shared" si="16"/>
        <v>-87</v>
      </c>
      <c r="M71" s="17">
        <f t="shared" si="17"/>
        <v>88</v>
      </c>
      <c r="N71" s="22">
        <f t="shared" si="18"/>
        <v>0.28670360110803322</v>
      </c>
      <c r="O71" s="22">
        <f t="shared" si="19"/>
        <v>0.22299168975069253</v>
      </c>
      <c r="P71" s="22">
        <f t="shared" si="20"/>
        <v>6.3711911357340695E-2</v>
      </c>
      <c r="Q71" t="str">
        <f t="shared" si="21"/>
        <v/>
      </c>
      <c r="S71">
        <f t="shared" si="22"/>
        <v>88.0009929</v>
      </c>
      <c r="T71" s="23">
        <f t="shared" si="23"/>
        <v>6.47048113573407E-2</v>
      </c>
    </row>
    <row r="72" spans="1:20" ht="15" customHeight="1" x14ac:dyDescent="0.35">
      <c r="A72" t="str">
        <f>Benchmarking!A72</f>
        <v>Alset Ehome International Inc</v>
      </c>
      <c r="B72" t="str">
        <f>Benchmarking!B72</f>
        <v>aei</v>
      </c>
      <c r="C72" t="str">
        <f>Benchmarking!C72</f>
        <v>Real Estate</v>
      </c>
      <c r="D72" s="17">
        <f>Benchmarking!D72</f>
        <v>520</v>
      </c>
      <c r="E72" s="17">
        <f>Benchmarking!E72</f>
        <v>207</v>
      </c>
      <c r="F72" s="17">
        <f>Benchmarking!F72</f>
        <v>210</v>
      </c>
      <c r="G72" s="17">
        <f>Benchmarking!G72</f>
        <v>937</v>
      </c>
      <c r="H72" t="str">
        <f t="shared" si="12"/>
        <v>Environmental</v>
      </c>
      <c r="I72" t="str">
        <f t="shared" si="13"/>
        <v>Social</v>
      </c>
      <c r="J72" s="19">
        <f t="shared" si="14"/>
        <v>313</v>
      </c>
      <c r="K72" s="19">
        <f t="shared" si="15"/>
        <v>-3</v>
      </c>
      <c r="L72" s="19">
        <f t="shared" si="16"/>
        <v>310</v>
      </c>
      <c r="M72" s="17">
        <f t="shared" si="17"/>
        <v>313</v>
      </c>
      <c r="N72" s="22">
        <f t="shared" si="18"/>
        <v>0.40443213296398894</v>
      </c>
      <c r="O72" s="22">
        <f t="shared" si="19"/>
        <v>9.0027700831024932E-2</v>
      </c>
      <c r="P72" s="22">
        <f t="shared" si="20"/>
        <v>0.31440443213296398</v>
      </c>
      <c r="Q72" t="str">
        <f t="shared" si="21"/>
        <v/>
      </c>
      <c r="S72">
        <f t="shared" si="22"/>
        <v>313.00099280000001</v>
      </c>
      <c r="T72" s="23">
        <f t="shared" si="23"/>
        <v>0.315397232132964</v>
      </c>
    </row>
    <row r="73" spans="1:20" ht="15" customHeight="1" x14ac:dyDescent="0.35">
      <c r="A73" t="str">
        <f>Benchmarking!A73</f>
        <v>Advanced Energy Industries Inc</v>
      </c>
      <c r="B73" t="str">
        <f>Benchmarking!B73</f>
        <v>aeis</v>
      </c>
      <c r="C73" t="str">
        <f>Benchmarking!C73</f>
        <v>Electrical Equipment</v>
      </c>
      <c r="D73" s="17">
        <f>Benchmarking!D73</f>
        <v>500</v>
      </c>
      <c r="E73" s="17">
        <f>Benchmarking!E73</f>
        <v>300</v>
      </c>
      <c r="F73" s="17">
        <f>Benchmarking!F73</f>
        <v>300</v>
      </c>
      <c r="G73" s="17">
        <f>Benchmarking!G73</f>
        <v>1100</v>
      </c>
      <c r="H73" t="str">
        <f t="shared" si="12"/>
        <v>Environmental</v>
      </c>
      <c r="I73" t="str">
        <f t="shared" si="13"/>
        <v>Social</v>
      </c>
      <c r="J73" s="19">
        <f t="shared" si="14"/>
        <v>200</v>
      </c>
      <c r="K73" s="19">
        <f t="shared" si="15"/>
        <v>0</v>
      </c>
      <c r="L73" s="19">
        <f t="shared" si="16"/>
        <v>200</v>
      </c>
      <c r="M73" s="17">
        <f t="shared" si="17"/>
        <v>200</v>
      </c>
      <c r="N73" s="22">
        <f t="shared" si="18"/>
        <v>0.56925207756232687</v>
      </c>
      <c r="O73" s="22">
        <f t="shared" si="19"/>
        <v>0.36565096952908588</v>
      </c>
      <c r="P73" s="22">
        <f t="shared" si="20"/>
        <v>0.203601108033241</v>
      </c>
      <c r="Q73" t="str">
        <f t="shared" si="21"/>
        <v/>
      </c>
      <c r="S73">
        <f t="shared" si="22"/>
        <v>200.00099270000001</v>
      </c>
      <c r="T73" s="23">
        <f t="shared" si="23"/>
        <v>0.20459380803324101</v>
      </c>
    </row>
    <row r="74" spans="1:20" ht="15" customHeight="1" x14ac:dyDescent="0.35">
      <c r="A74" t="str">
        <f>Benchmarking!A74</f>
        <v>American Electric Power Company Inc</v>
      </c>
      <c r="B74" t="str">
        <f>Benchmarking!B74</f>
        <v>aep</v>
      </c>
      <c r="C74" t="str">
        <f>Benchmarking!C74</f>
        <v>Utilities</v>
      </c>
      <c r="D74" s="17">
        <f>Benchmarking!D74</f>
        <v>500</v>
      </c>
      <c r="E74" s="17">
        <f>Benchmarking!E74</f>
        <v>300</v>
      </c>
      <c r="F74" s="17">
        <f>Benchmarking!F74</f>
        <v>300</v>
      </c>
      <c r="G74" s="17">
        <f>Benchmarking!G74</f>
        <v>1100</v>
      </c>
      <c r="H74" t="str">
        <f t="shared" si="12"/>
        <v>Environmental</v>
      </c>
      <c r="I74" t="str">
        <f t="shared" si="13"/>
        <v>Social</v>
      </c>
      <c r="J74" s="19">
        <f t="shared" si="14"/>
        <v>200</v>
      </c>
      <c r="K74" s="19">
        <f t="shared" si="15"/>
        <v>0</v>
      </c>
      <c r="L74" s="19">
        <f t="shared" si="16"/>
        <v>200</v>
      </c>
      <c r="M74" s="17">
        <f t="shared" si="17"/>
        <v>200</v>
      </c>
      <c r="N74" s="22">
        <f t="shared" si="18"/>
        <v>0.56925207756232687</v>
      </c>
      <c r="O74" s="22">
        <f t="shared" si="19"/>
        <v>0.36565096952908588</v>
      </c>
      <c r="P74" s="22">
        <f t="shared" si="20"/>
        <v>0.203601108033241</v>
      </c>
      <c r="Q74" t="str">
        <f t="shared" si="21"/>
        <v/>
      </c>
      <c r="S74">
        <f t="shared" si="22"/>
        <v>200.00099259999999</v>
      </c>
      <c r="T74" s="23">
        <f t="shared" si="23"/>
        <v>0.20459370803324101</v>
      </c>
    </row>
    <row r="75" spans="1:20" ht="15" customHeight="1" x14ac:dyDescent="0.35">
      <c r="A75" t="str">
        <f>Benchmarking!A75</f>
        <v>Aethlon Medical Inc</v>
      </c>
      <c r="B75" t="str">
        <f>Benchmarking!B75</f>
        <v>aemd</v>
      </c>
      <c r="C75" t="str">
        <f>Benchmarking!C75</f>
        <v>Health Care</v>
      </c>
      <c r="D75" s="17">
        <f>Benchmarking!D75</f>
        <v>200</v>
      </c>
      <c r="E75" s="17">
        <f>Benchmarking!E75</f>
        <v>262</v>
      </c>
      <c r="F75" s="17">
        <f>Benchmarking!F75</f>
        <v>315</v>
      </c>
      <c r="G75" s="17">
        <f>Benchmarking!G75</f>
        <v>777</v>
      </c>
      <c r="H75" t="str">
        <f t="shared" si="12"/>
        <v>Governance</v>
      </c>
      <c r="I75" t="str">
        <f t="shared" si="13"/>
        <v>Environmental</v>
      </c>
      <c r="J75" s="19">
        <f t="shared" si="14"/>
        <v>-62</v>
      </c>
      <c r="K75" s="19">
        <f t="shared" si="15"/>
        <v>-53</v>
      </c>
      <c r="L75" s="19">
        <f t="shared" si="16"/>
        <v>-115</v>
      </c>
      <c r="M75" s="17">
        <f t="shared" si="17"/>
        <v>115</v>
      </c>
      <c r="N75" s="22">
        <f t="shared" si="18"/>
        <v>0.2742382271468144</v>
      </c>
      <c r="O75" s="22">
        <f t="shared" si="19"/>
        <v>1.3850415512465374E-3</v>
      </c>
      <c r="P75" s="22">
        <f t="shared" si="20"/>
        <v>0.27285318559556787</v>
      </c>
      <c r="Q75" t="str">
        <f t="shared" si="21"/>
        <v/>
      </c>
      <c r="S75">
        <f t="shared" si="22"/>
        <v>115.0009925</v>
      </c>
      <c r="T75" s="23">
        <f t="shared" si="23"/>
        <v>0.27384568559556788</v>
      </c>
    </row>
    <row r="76" spans="1:20" ht="15" customHeight="1" x14ac:dyDescent="0.35">
      <c r="A76" t="str">
        <f>Benchmarking!A76</f>
        <v>Allied Esports Entertainment Inc</v>
      </c>
      <c r="B76" t="str">
        <f>Benchmarking!B76</f>
        <v>aese</v>
      </c>
      <c r="C76" t="str">
        <f>Benchmarking!C76</f>
        <v>Hotels Restaurants &amp; Leisure</v>
      </c>
      <c r="D76" s="17">
        <f>Benchmarking!D76</f>
        <v>200</v>
      </c>
      <c r="E76" s="17">
        <f>Benchmarking!E76</f>
        <v>200</v>
      </c>
      <c r="F76" s="17">
        <f>Benchmarking!F76</f>
        <v>200</v>
      </c>
      <c r="G76" s="17">
        <f>Benchmarking!G76</f>
        <v>600</v>
      </c>
      <c r="H76" t="str">
        <f t="shared" si="12"/>
        <v>Environmental</v>
      </c>
      <c r="I76" t="str">
        <f t="shared" si="13"/>
        <v>Environmental</v>
      </c>
      <c r="J76" s="19">
        <f t="shared" si="14"/>
        <v>0</v>
      </c>
      <c r="K76" s="19">
        <f t="shared" si="15"/>
        <v>0</v>
      </c>
      <c r="L76" s="19">
        <f t="shared" si="16"/>
        <v>0</v>
      </c>
      <c r="M76" s="17">
        <f t="shared" si="17"/>
        <v>0</v>
      </c>
      <c r="N76" s="22">
        <f t="shared" si="18"/>
        <v>1.3850415512465374E-3</v>
      </c>
      <c r="O76" s="22">
        <f t="shared" si="19"/>
        <v>1.3850415512465374E-3</v>
      </c>
      <c r="P76" s="22">
        <f t="shared" si="20"/>
        <v>0</v>
      </c>
      <c r="Q76" t="str">
        <f t="shared" si="21"/>
        <v/>
      </c>
      <c r="S76">
        <f t="shared" si="22"/>
        <v>9.9240000000000005E-4</v>
      </c>
      <c r="T76" s="23">
        <f t="shared" si="23"/>
        <v>9.9240000000000005E-4</v>
      </c>
    </row>
    <row r="77" spans="1:20" ht="15" customHeight="1" x14ac:dyDescent="0.35">
      <c r="A77" t="str">
        <f>Benchmarking!A77</f>
        <v>AudioEye Inc</v>
      </c>
      <c r="B77" t="str">
        <f>Benchmarking!B77</f>
        <v>aeye</v>
      </c>
      <c r="C77" t="str">
        <f>Benchmarking!C77</f>
        <v>Technology</v>
      </c>
      <c r="D77" s="17">
        <f>Benchmarking!D77</f>
        <v>235</v>
      </c>
      <c r="E77" s="17">
        <f>Benchmarking!E77</f>
        <v>301</v>
      </c>
      <c r="F77" s="17">
        <f>Benchmarking!F77</f>
        <v>308</v>
      </c>
      <c r="G77" s="17">
        <f>Benchmarking!G77</f>
        <v>844</v>
      </c>
      <c r="H77" t="str">
        <f t="shared" si="12"/>
        <v>Governance</v>
      </c>
      <c r="I77" t="str">
        <f t="shared" si="13"/>
        <v>Environmental</v>
      </c>
      <c r="J77" s="19">
        <f t="shared" si="14"/>
        <v>-66</v>
      </c>
      <c r="K77" s="19">
        <f t="shared" si="15"/>
        <v>-7</v>
      </c>
      <c r="L77" s="19">
        <f t="shared" si="16"/>
        <v>-73</v>
      </c>
      <c r="M77" s="17">
        <f t="shared" si="17"/>
        <v>73</v>
      </c>
      <c r="N77" s="22">
        <f t="shared" si="18"/>
        <v>0.33379501385041549</v>
      </c>
      <c r="O77" s="22">
        <f t="shared" si="19"/>
        <v>0.22160664819944598</v>
      </c>
      <c r="P77" s="22">
        <f t="shared" si="20"/>
        <v>0.11218836565096951</v>
      </c>
      <c r="Q77" t="str">
        <f t="shared" si="21"/>
        <v/>
      </c>
      <c r="S77">
        <f t="shared" si="22"/>
        <v>73.000992299999993</v>
      </c>
      <c r="T77" s="23">
        <f t="shared" si="23"/>
        <v>0.11318066565096951</v>
      </c>
    </row>
    <row r="78" spans="1:20" ht="15" customHeight="1" x14ac:dyDescent="0.35">
      <c r="A78" t="str">
        <f>Benchmarking!A78</f>
        <v>Aerie Pharmaceuticals Inc</v>
      </c>
      <c r="B78" t="str">
        <f>Benchmarking!B78</f>
        <v>aeri</v>
      </c>
      <c r="C78" t="str">
        <f>Benchmarking!C78</f>
        <v>Pharmaceuticals</v>
      </c>
      <c r="D78" s="17">
        <f>Benchmarking!D78</f>
        <v>500</v>
      </c>
      <c r="E78" s="17">
        <f>Benchmarking!E78</f>
        <v>264</v>
      </c>
      <c r="F78" s="17">
        <f>Benchmarking!F78</f>
        <v>310</v>
      </c>
      <c r="G78" s="17">
        <f>Benchmarking!G78</f>
        <v>1074</v>
      </c>
      <c r="H78" t="str">
        <f t="shared" si="12"/>
        <v>Environmental</v>
      </c>
      <c r="I78" t="str">
        <f t="shared" si="13"/>
        <v>Social</v>
      </c>
      <c r="J78" s="19">
        <f t="shared" si="14"/>
        <v>236</v>
      </c>
      <c r="K78" s="19">
        <f t="shared" si="15"/>
        <v>-46</v>
      </c>
      <c r="L78" s="19">
        <f t="shared" si="16"/>
        <v>190</v>
      </c>
      <c r="M78" s="17">
        <f t="shared" si="17"/>
        <v>236</v>
      </c>
      <c r="N78" s="22">
        <f t="shared" si="18"/>
        <v>0.53047091412742386</v>
      </c>
      <c r="O78" s="22">
        <f t="shared" si="19"/>
        <v>0.30609418282548478</v>
      </c>
      <c r="P78" s="22">
        <f t="shared" si="20"/>
        <v>0.22437673130193908</v>
      </c>
      <c r="Q78" t="str">
        <f t="shared" si="21"/>
        <v/>
      </c>
      <c r="S78">
        <f t="shared" si="22"/>
        <v>236.00099220000001</v>
      </c>
      <c r="T78" s="23">
        <f t="shared" si="23"/>
        <v>0.22536893130193908</v>
      </c>
    </row>
    <row r="79" spans="1:20" ht="15" customHeight="1" x14ac:dyDescent="0.35">
      <c r="A79" t="str">
        <f>Benchmarking!A79</f>
        <v>ADDvantage Technologies Group Inc</v>
      </c>
      <c r="B79" t="str">
        <f>Benchmarking!B79</f>
        <v>aey</v>
      </c>
      <c r="C79" t="str">
        <f>Benchmarking!C79</f>
        <v>Electrical Equipment</v>
      </c>
      <c r="D79" s="17">
        <f>Benchmarking!D79</f>
        <v>235</v>
      </c>
      <c r="E79" s="17">
        <f>Benchmarking!E79</f>
        <v>234</v>
      </c>
      <c r="F79" s="17">
        <f>Benchmarking!F79</f>
        <v>300</v>
      </c>
      <c r="G79" s="17">
        <f>Benchmarking!G79</f>
        <v>769</v>
      </c>
      <c r="H79" t="str">
        <f t="shared" si="12"/>
        <v>Governance</v>
      </c>
      <c r="I79" t="str">
        <f t="shared" si="13"/>
        <v>Social</v>
      </c>
      <c r="J79" s="19">
        <f t="shared" si="14"/>
        <v>1</v>
      </c>
      <c r="K79" s="19">
        <f t="shared" si="15"/>
        <v>-66</v>
      </c>
      <c r="L79" s="19">
        <f t="shared" si="16"/>
        <v>-65</v>
      </c>
      <c r="M79" s="17">
        <f t="shared" si="17"/>
        <v>66</v>
      </c>
      <c r="N79" s="22">
        <f t="shared" si="18"/>
        <v>0.25900277008310252</v>
      </c>
      <c r="O79" s="22">
        <f t="shared" si="19"/>
        <v>0.21191135734072022</v>
      </c>
      <c r="P79" s="22">
        <f t="shared" si="20"/>
        <v>4.7091412742382294E-2</v>
      </c>
      <c r="Q79" t="str">
        <f t="shared" si="21"/>
        <v/>
      </c>
      <c r="S79">
        <f t="shared" si="22"/>
        <v>66.000992100000005</v>
      </c>
      <c r="T79" s="23">
        <f t="shared" si="23"/>
        <v>4.8083512742382296E-2</v>
      </c>
    </row>
    <row r="80" spans="1:20" ht="15" customHeight="1" x14ac:dyDescent="0.35">
      <c r="A80" t="str">
        <f>Benchmarking!A80</f>
        <v>AF Acquisition Corp</v>
      </c>
      <c r="B80" t="str">
        <f>Benchmarking!B80</f>
        <v>afaq</v>
      </c>
      <c r="C80" t="str">
        <f>Benchmarking!C80</f>
        <v>Unclassified</v>
      </c>
      <c r="D80" s="17">
        <f>Benchmarking!D80</f>
        <v>200</v>
      </c>
      <c r="E80" s="17">
        <f>Benchmarking!E80</f>
        <v>200</v>
      </c>
      <c r="F80" s="17">
        <f>Benchmarking!F80</f>
        <v>200</v>
      </c>
      <c r="G80" s="17">
        <f>Benchmarking!G80</f>
        <v>600</v>
      </c>
      <c r="H80" t="str">
        <f t="shared" si="12"/>
        <v>Environmental</v>
      </c>
      <c r="I80" t="str">
        <f t="shared" si="13"/>
        <v>Environmental</v>
      </c>
      <c r="J80" s="19">
        <f t="shared" si="14"/>
        <v>0</v>
      </c>
      <c r="K80" s="19">
        <f t="shared" si="15"/>
        <v>0</v>
      </c>
      <c r="L80" s="19">
        <f t="shared" si="16"/>
        <v>0</v>
      </c>
      <c r="M80" s="17">
        <f t="shared" si="17"/>
        <v>0</v>
      </c>
      <c r="N80" s="22">
        <f t="shared" si="18"/>
        <v>1.3850415512465374E-3</v>
      </c>
      <c r="O80" s="22">
        <f t="shared" si="19"/>
        <v>1.3850415512465374E-3</v>
      </c>
      <c r="P80" s="22">
        <f t="shared" si="20"/>
        <v>0</v>
      </c>
      <c r="Q80" t="str">
        <f t="shared" si="21"/>
        <v/>
      </c>
      <c r="S80">
        <f t="shared" si="22"/>
        <v>9.9200000000000004E-4</v>
      </c>
      <c r="T80" s="23">
        <f t="shared" si="23"/>
        <v>9.9200000000000004E-4</v>
      </c>
    </row>
    <row r="81" spans="1:20" ht="15" customHeight="1" x14ac:dyDescent="0.35">
      <c r="A81" t="str">
        <f>Benchmarking!A81</f>
        <v>Affimed NV</v>
      </c>
      <c r="B81" t="str">
        <f>Benchmarking!B81</f>
        <v>afmd</v>
      </c>
      <c r="C81" t="str">
        <f>Benchmarking!C81</f>
        <v>Biotechnology</v>
      </c>
      <c r="D81" s="17">
        <f>Benchmarking!D81</f>
        <v>368</v>
      </c>
      <c r="E81" s="17">
        <f>Benchmarking!E81</f>
        <v>304</v>
      </c>
      <c r="F81" s="17">
        <f>Benchmarking!F81</f>
        <v>310</v>
      </c>
      <c r="G81" s="17">
        <f>Benchmarking!G81</f>
        <v>982</v>
      </c>
      <c r="H81" t="str">
        <f t="shared" si="12"/>
        <v>Environmental</v>
      </c>
      <c r="I81" t="str">
        <f t="shared" si="13"/>
        <v>Social</v>
      </c>
      <c r="J81" s="19">
        <f t="shared" si="14"/>
        <v>64</v>
      </c>
      <c r="K81" s="19">
        <f t="shared" si="15"/>
        <v>-6</v>
      </c>
      <c r="L81" s="19">
        <f t="shared" si="16"/>
        <v>58</v>
      </c>
      <c r="M81" s="17">
        <f t="shared" si="17"/>
        <v>64</v>
      </c>
      <c r="N81" s="22">
        <f t="shared" si="18"/>
        <v>0.44459833795013848</v>
      </c>
      <c r="O81" s="22">
        <f t="shared" si="19"/>
        <v>0.42520775623268697</v>
      </c>
      <c r="P81" s="22">
        <f t="shared" si="20"/>
        <v>1.9390581717451505E-2</v>
      </c>
      <c r="Q81" t="str">
        <f t="shared" si="21"/>
        <v/>
      </c>
      <c r="S81">
        <f t="shared" si="22"/>
        <v>64.000991900000002</v>
      </c>
      <c r="T81" s="23">
        <f t="shared" si="23"/>
        <v>2.0382481717451505E-2</v>
      </c>
    </row>
    <row r="82" spans="1:20" ht="15" customHeight="1" x14ac:dyDescent="0.35">
      <c r="A82" t="str">
        <f>Benchmarking!A82</f>
        <v>AFC Gamma Inc</v>
      </c>
      <c r="B82" t="str">
        <f>Benchmarking!B82</f>
        <v>afcg</v>
      </c>
      <c r="C82" t="str">
        <f>Benchmarking!C82</f>
        <v>Real Estate</v>
      </c>
      <c r="D82" s="17">
        <f>Benchmarking!D82</f>
        <v>255</v>
      </c>
      <c r="E82" s="17">
        <f>Benchmarking!E82</f>
        <v>204</v>
      </c>
      <c r="F82" s="17">
        <f>Benchmarking!F82</f>
        <v>226</v>
      </c>
      <c r="G82" s="17">
        <f>Benchmarking!G82</f>
        <v>685</v>
      </c>
      <c r="H82" t="str">
        <f t="shared" si="12"/>
        <v>Environmental</v>
      </c>
      <c r="I82" t="str">
        <f t="shared" si="13"/>
        <v>Social</v>
      </c>
      <c r="J82" s="19">
        <f t="shared" si="14"/>
        <v>51</v>
      </c>
      <c r="K82" s="19">
        <f t="shared" si="15"/>
        <v>-22</v>
      </c>
      <c r="L82" s="19">
        <f t="shared" si="16"/>
        <v>29</v>
      </c>
      <c r="M82" s="17">
        <f t="shared" si="17"/>
        <v>51</v>
      </c>
      <c r="N82" s="22">
        <f t="shared" si="18"/>
        <v>0.14542936288088643</v>
      </c>
      <c r="O82" s="22">
        <f t="shared" si="19"/>
        <v>6.5096952908587261E-2</v>
      </c>
      <c r="P82" s="22">
        <f t="shared" si="20"/>
        <v>8.0332409972299165E-2</v>
      </c>
      <c r="Q82" t="str">
        <f t="shared" si="21"/>
        <v/>
      </c>
      <c r="S82">
        <f t="shared" si="22"/>
        <v>51.000991800000001</v>
      </c>
      <c r="T82" s="23">
        <f t="shared" si="23"/>
        <v>8.1324209972299166E-2</v>
      </c>
    </row>
    <row r="83" spans="1:20" ht="15" customHeight="1" x14ac:dyDescent="0.35">
      <c r="A83" t="str">
        <f>Benchmarking!A83</f>
        <v>Affinity Bancshares Inc</v>
      </c>
      <c r="B83" t="str">
        <f>Benchmarking!B83</f>
        <v>afbi</v>
      </c>
      <c r="C83" t="str">
        <f>Benchmarking!C83</f>
        <v>Banking</v>
      </c>
      <c r="D83" s="17">
        <f>Benchmarking!D83</f>
        <v>200</v>
      </c>
      <c r="E83" s="17">
        <f>Benchmarking!E83</f>
        <v>207</v>
      </c>
      <c r="F83" s="17">
        <f>Benchmarking!F83</f>
        <v>200</v>
      </c>
      <c r="G83" s="17">
        <f>Benchmarking!G83</f>
        <v>607</v>
      </c>
      <c r="H83" t="str">
        <f t="shared" si="12"/>
        <v>Social</v>
      </c>
      <c r="I83" t="str">
        <f t="shared" si="13"/>
        <v>Environmental</v>
      </c>
      <c r="J83" s="19">
        <f t="shared" si="14"/>
        <v>-7</v>
      </c>
      <c r="K83" s="19">
        <f t="shared" si="15"/>
        <v>7</v>
      </c>
      <c r="L83" s="19">
        <f t="shared" si="16"/>
        <v>0</v>
      </c>
      <c r="M83" s="17">
        <f t="shared" si="17"/>
        <v>7</v>
      </c>
      <c r="N83" s="22">
        <f t="shared" si="18"/>
        <v>1.9390581717451522E-2</v>
      </c>
      <c r="O83" s="22">
        <f t="shared" si="19"/>
        <v>1.3850415512465374E-3</v>
      </c>
      <c r="P83" s="22">
        <f t="shared" si="20"/>
        <v>1.8005540166204984E-2</v>
      </c>
      <c r="Q83" t="str">
        <f t="shared" si="21"/>
        <v/>
      </c>
      <c r="S83">
        <f t="shared" si="22"/>
        <v>7.0009917000000002</v>
      </c>
      <c r="T83" s="23">
        <f t="shared" si="23"/>
        <v>1.8997240166204986E-2</v>
      </c>
    </row>
    <row r="84" spans="1:20" ht="15" customHeight="1" x14ac:dyDescent="0.35">
      <c r="A84" t="str">
        <f>Benchmarking!A84</f>
        <v>Affirm Holdings Inc</v>
      </c>
      <c r="B84" t="str">
        <f>Benchmarking!B84</f>
        <v>afrm</v>
      </c>
      <c r="C84" t="str">
        <f>Benchmarking!C84</f>
        <v>Technology</v>
      </c>
      <c r="D84" s="17">
        <f>Benchmarking!D84</f>
        <v>225</v>
      </c>
      <c r="E84" s="17">
        <f>Benchmarking!E84</f>
        <v>335</v>
      </c>
      <c r="F84" s="17">
        <f>Benchmarking!F84</f>
        <v>335</v>
      </c>
      <c r="G84" s="17">
        <f>Benchmarking!G84</f>
        <v>895</v>
      </c>
      <c r="H84" t="str">
        <f t="shared" si="12"/>
        <v>Social</v>
      </c>
      <c r="I84" t="str">
        <f t="shared" si="13"/>
        <v>Environmental</v>
      </c>
      <c r="J84" s="19">
        <f t="shared" si="14"/>
        <v>-110</v>
      </c>
      <c r="K84" s="19">
        <f t="shared" si="15"/>
        <v>0</v>
      </c>
      <c r="L84" s="19">
        <f t="shared" si="16"/>
        <v>-110</v>
      </c>
      <c r="M84" s="17">
        <f t="shared" si="17"/>
        <v>110</v>
      </c>
      <c r="N84" s="22">
        <f t="shared" si="18"/>
        <v>0.3670360110803324</v>
      </c>
      <c r="O84" s="22">
        <f t="shared" si="19"/>
        <v>0.17036011080332411</v>
      </c>
      <c r="P84" s="22">
        <f t="shared" si="20"/>
        <v>0.19667590027700829</v>
      </c>
      <c r="Q84" t="str">
        <f t="shared" si="21"/>
        <v/>
      </c>
      <c r="S84">
        <f t="shared" si="22"/>
        <v>110.00099160000001</v>
      </c>
      <c r="T84" s="23">
        <f t="shared" si="23"/>
        <v>0.1976675002770083</v>
      </c>
    </row>
    <row r="85" spans="1:20" ht="15" customHeight="1" x14ac:dyDescent="0.35">
      <c r="A85" t="str">
        <f>Benchmarking!A85</f>
        <v>Acutus Medical Inc</v>
      </c>
      <c r="B85" t="str">
        <f>Benchmarking!B85</f>
        <v>afib</v>
      </c>
      <c r="C85" t="str">
        <f>Benchmarking!C85</f>
        <v>Health Care</v>
      </c>
      <c r="D85" s="17">
        <f>Benchmarking!D85</f>
        <v>205</v>
      </c>
      <c r="E85" s="17">
        <f>Benchmarking!E85</f>
        <v>211</v>
      </c>
      <c r="F85" s="17">
        <f>Benchmarking!F85</f>
        <v>235</v>
      </c>
      <c r="G85" s="17">
        <f>Benchmarking!G85</f>
        <v>651</v>
      </c>
      <c r="H85" t="str">
        <f t="shared" si="12"/>
        <v>Governance</v>
      </c>
      <c r="I85" t="str">
        <f t="shared" si="13"/>
        <v>Environmental</v>
      </c>
      <c r="J85" s="19">
        <f t="shared" si="14"/>
        <v>-6</v>
      </c>
      <c r="K85" s="19">
        <f t="shared" si="15"/>
        <v>-24</v>
      </c>
      <c r="L85" s="19">
        <f t="shared" si="16"/>
        <v>-30</v>
      </c>
      <c r="M85" s="17">
        <f t="shared" si="17"/>
        <v>30</v>
      </c>
      <c r="N85" s="22">
        <f t="shared" si="18"/>
        <v>9.4182825484764546E-2</v>
      </c>
      <c r="O85" s="22">
        <f t="shared" si="19"/>
        <v>5.6786703601108032E-2</v>
      </c>
      <c r="P85" s="22">
        <f t="shared" si="20"/>
        <v>3.7396121883656513E-2</v>
      </c>
      <c r="Q85" t="str">
        <f t="shared" si="21"/>
        <v/>
      </c>
      <c r="S85">
        <f t="shared" si="22"/>
        <v>30.000991500000001</v>
      </c>
      <c r="T85" s="23">
        <f t="shared" si="23"/>
        <v>3.8387621883656513E-2</v>
      </c>
    </row>
    <row r="86" spans="1:20" ht="15" customHeight="1" x14ac:dyDescent="0.35">
      <c r="A86" t="str">
        <f>Benchmarking!A86</f>
        <v>Agenus Inc</v>
      </c>
      <c r="B86" t="str">
        <f>Benchmarking!B86</f>
        <v>agen</v>
      </c>
      <c r="C86" t="str">
        <f>Benchmarking!C86</f>
        <v>Biotechnology</v>
      </c>
      <c r="D86" s="17">
        <f>Benchmarking!D86</f>
        <v>290</v>
      </c>
      <c r="E86" s="17">
        <f>Benchmarking!E86</f>
        <v>245</v>
      </c>
      <c r="F86" s="17">
        <f>Benchmarking!F86</f>
        <v>300</v>
      </c>
      <c r="G86" s="17">
        <f>Benchmarking!G86</f>
        <v>835</v>
      </c>
      <c r="H86" t="str">
        <f t="shared" si="12"/>
        <v>Governance</v>
      </c>
      <c r="I86" t="str">
        <f t="shared" si="13"/>
        <v>Social</v>
      </c>
      <c r="J86" s="19">
        <f t="shared" si="14"/>
        <v>45</v>
      </c>
      <c r="K86" s="19">
        <f t="shared" si="15"/>
        <v>-55</v>
      </c>
      <c r="L86" s="19">
        <f t="shared" si="16"/>
        <v>-10</v>
      </c>
      <c r="M86" s="17">
        <f t="shared" si="17"/>
        <v>55</v>
      </c>
      <c r="N86" s="22">
        <f t="shared" si="18"/>
        <v>0.32409972299168976</v>
      </c>
      <c r="O86" s="22">
        <f t="shared" si="19"/>
        <v>0.25623268698060941</v>
      </c>
      <c r="P86" s="22">
        <f t="shared" si="20"/>
        <v>6.7867036011080351E-2</v>
      </c>
      <c r="Q86" t="str">
        <f t="shared" si="21"/>
        <v/>
      </c>
      <c r="S86">
        <f t="shared" si="22"/>
        <v>55.000991399999997</v>
      </c>
      <c r="T86" s="23">
        <f t="shared" si="23"/>
        <v>6.8858436011080354E-2</v>
      </c>
    </row>
    <row r="87" spans="1:20" ht="15" customHeight="1" x14ac:dyDescent="0.35">
      <c r="A87" t="str">
        <f>Benchmarking!A87</f>
        <v>Afya Ltd</v>
      </c>
      <c r="B87" t="str">
        <f>Benchmarking!B87</f>
        <v>afya</v>
      </c>
      <c r="C87" t="str">
        <f>Benchmarking!C87</f>
        <v>Diversified Consumer Services</v>
      </c>
      <c r="D87" s="17">
        <f>Benchmarking!D87</f>
        <v>290</v>
      </c>
      <c r="E87" s="17">
        <f>Benchmarking!E87</f>
        <v>203</v>
      </c>
      <c r="F87" s="17">
        <f>Benchmarking!F87</f>
        <v>205</v>
      </c>
      <c r="G87" s="17">
        <f>Benchmarking!G87</f>
        <v>698</v>
      </c>
      <c r="H87" t="str">
        <f t="shared" si="12"/>
        <v>Environmental</v>
      </c>
      <c r="I87" t="str">
        <f t="shared" si="13"/>
        <v>Social</v>
      </c>
      <c r="J87" s="19">
        <f t="shared" si="14"/>
        <v>87</v>
      </c>
      <c r="K87" s="19">
        <f t="shared" si="15"/>
        <v>-2</v>
      </c>
      <c r="L87" s="19">
        <f t="shared" si="16"/>
        <v>85</v>
      </c>
      <c r="M87" s="17">
        <f t="shared" si="17"/>
        <v>87</v>
      </c>
      <c r="N87" s="22">
        <f t="shared" si="18"/>
        <v>0.16204986149584488</v>
      </c>
      <c r="O87" s="22">
        <f t="shared" si="19"/>
        <v>5.1246537396121887E-2</v>
      </c>
      <c r="P87" s="22">
        <f t="shared" si="20"/>
        <v>0.11080332409972299</v>
      </c>
      <c r="Q87" t="str">
        <f t="shared" si="21"/>
        <v/>
      </c>
      <c r="S87">
        <f t="shared" si="22"/>
        <v>87.000991299999995</v>
      </c>
      <c r="T87" s="23">
        <f t="shared" si="23"/>
        <v>0.11179462409972299</v>
      </c>
    </row>
    <row r="88" spans="1:20" ht="15" customHeight="1" x14ac:dyDescent="0.35">
      <c r="A88" t="str">
        <f>Benchmarking!A88</f>
        <v>AgroFresh Solutions Inc</v>
      </c>
      <c r="B88" t="str">
        <f>Benchmarking!B88</f>
        <v>agfs</v>
      </c>
      <c r="C88" t="str">
        <f>Benchmarking!C88</f>
        <v>Chemicals</v>
      </c>
      <c r="D88" s="17">
        <f>Benchmarking!D88</f>
        <v>500</v>
      </c>
      <c r="E88" s="17">
        <f>Benchmarking!E88</f>
        <v>301</v>
      </c>
      <c r="F88" s="17">
        <f>Benchmarking!F88</f>
        <v>275</v>
      </c>
      <c r="G88" s="17">
        <f>Benchmarking!G88</f>
        <v>1076</v>
      </c>
      <c r="H88" t="str">
        <f t="shared" si="12"/>
        <v>Environmental</v>
      </c>
      <c r="I88" t="str">
        <f t="shared" si="13"/>
        <v>Governance</v>
      </c>
      <c r="J88" s="19">
        <f t="shared" si="14"/>
        <v>199</v>
      </c>
      <c r="K88" s="19">
        <f t="shared" si="15"/>
        <v>26</v>
      </c>
      <c r="L88" s="19">
        <f t="shared" si="16"/>
        <v>225</v>
      </c>
      <c r="M88" s="17">
        <f t="shared" si="17"/>
        <v>225</v>
      </c>
      <c r="N88" s="22">
        <f t="shared" si="18"/>
        <v>0.53324099722991691</v>
      </c>
      <c r="O88" s="22">
        <f t="shared" si="19"/>
        <v>0.35180055401662053</v>
      </c>
      <c r="P88" s="22">
        <f t="shared" si="20"/>
        <v>0.18144044321329639</v>
      </c>
      <c r="Q88" t="str">
        <f t="shared" si="21"/>
        <v/>
      </c>
      <c r="S88">
        <f t="shared" si="22"/>
        <v>225.00099119999999</v>
      </c>
      <c r="T88" s="23">
        <f t="shared" si="23"/>
        <v>0.18243164321329638</v>
      </c>
    </row>
    <row r="89" spans="1:20" ht="15" customHeight="1" x14ac:dyDescent="0.35">
      <c r="A89" t="str">
        <f>Benchmarking!A89</f>
        <v>Agrify Corp</v>
      </c>
      <c r="B89" t="str">
        <f>Benchmarking!B89</f>
        <v>agfy</v>
      </c>
      <c r="C89" t="str">
        <f>Benchmarking!C89</f>
        <v>Machinery</v>
      </c>
      <c r="D89" s="17">
        <f>Benchmarking!D89</f>
        <v>540</v>
      </c>
      <c r="E89" s="17">
        <f>Benchmarking!E89</f>
        <v>361</v>
      </c>
      <c r="F89" s="17">
        <f>Benchmarking!F89</f>
        <v>305</v>
      </c>
      <c r="G89" s="17">
        <f>Benchmarking!G89</f>
        <v>1206</v>
      </c>
      <c r="H89" t="str">
        <f t="shared" si="12"/>
        <v>Environmental</v>
      </c>
      <c r="I89" t="str">
        <f t="shared" si="13"/>
        <v>Governance</v>
      </c>
      <c r="J89" s="19">
        <f t="shared" si="14"/>
        <v>179</v>
      </c>
      <c r="K89" s="19">
        <f t="shared" si="15"/>
        <v>56</v>
      </c>
      <c r="L89" s="19">
        <f t="shared" si="16"/>
        <v>235</v>
      </c>
      <c r="M89" s="17">
        <f t="shared" si="17"/>
        <v>235</v>
      </c>
      <c r="N89" s="22">
        <f t="shared" si="18"/>
        <v>0.89473684210526316</v>
      </c>
      <c r="O89" s="22">
        <f t="shared" si="19"/>
        <v>0.63296398891966754</v>
      </c>
      <c r="P89" s="22">
        <f t="shared" si="20"/>
        <v>0.26177285318559562</v>
      </c>
      <c r="Q89" t="str">
        <f t="shared" si="21"/>
        <v/>
      </c>
      <c r="S89">
        <f t="shared" si="22"/>
        <v>235.00099109999999</v>
      </c>
      <c r="T89" s="23">
        <f t="shared" si="23"/>
        <v>0.26276395318559564</v>
      </c>
    </row>
    <row r="90" spans="1:20" ht="15" customHeight="1" x14ac:dyDescent="0.35">
      <c r="A90" t="str">
        <f>Benchmarking!A90</f>
        <v>AgileThought Inc</v>
      </c>
      <c r="B90" t="str">
        <f>Benchmarking!B90</f>
        <v>agil</v>
      </c>
      <c r="C90" t="str">
        <f>Benchmarking!C90</f>
        <v>Technology</v>
      </c>
      <c r="D90" s="17">
        <f>Benchmarking!D90</f>
        <v>340</v>
      </c>
      <c r="E90" s="17">
        <f>Benchmarking!E90</f>
        <v>299</v>
      </c>
      <c r="F90" s="17">
        <f>Benchmarking!F90</f>
        <v>305</v>
      </c>
      <c r="G90" s="17">
        <f>Benchmarking!G90</f>
        <v>944</v>
      </c>
      <c r="H90" t="str">
        <f t="shared" si="12"/>
        <v>Environmental</v>
      </c>
      <c r="I90" t="str">
        <f t="shared" si="13"/>
        <v>Social</v>
      </c>
      <c r="J90" s="19">
        <f t="shared" si="14"/>
        <v>41</v>
      </c>
      <c r="K90" s="19">
        <f t="shared" si="15"/>
        <v>-6</v>
      </c>
      <c r="L90" s="19">
        <f t="shared" si="16"/>
        <v>35</v>
      </c>
      <c r="M90" s="17">
        <f t="shared" si="17"/>
        <v>41</v>
      </c>
      <c r="N90" s="22">
        <f t="shared" si="18"/>
        <v>0.41412742382271467</v>
      </c>
      <c r="O90" s="22">
        <f t="shared" si="19"/>
        <v>0.36288088642659277</v>
      </c>
      <c r="P90" s="22">
        <f t="shared" si="20"/>
        <v>5.1246537396121894E-2</v>
      </c>
      <c r="Q90" t="str">
        <f t="shared" si="21"/>
        <v/>
      </c>
      <c r="S90">
        <f t="shared" si="22"/>
        <v>41.000990999999999</v>
      </c>
      <c r="T90" s="23">
        <f t="shared" si="23"/>
        <v>5.2237537396121893E-2</v>
      </c>
    </row>
    <row r="91" spans="1:20" ht="15" customHeight="1" x14ac:dyDescent="0.35">
      <c r="A91" t="str">
        <f>Benchmarking!A91</f>
        <v>AGM Group Holdings Inc</v>
      </c>
      <c r="B91" t="str">
        <f>Benchmarking!B91</f>
        <v>agmh</v>
      </c>
      <c r="C91" t="str">
        <f>Benchmarking!C91</f>
        <v>Financial Services</v>
      </c>
      <c r="D91" s="17">
        <f>Benchmarking!D91</f>
        <v>205</v>
      </c>
      <c r="E91" s="17">
        <f>Benchmarking!E91</f>
        <v>204</v>
      </c>
      <c r="F91" s="17">
        <f>Benchmarking!F91</f>
        <v>210</v>
      </c>
      <c r="G91" s="17">
        <f>Benchmarking!G91</f>
        <v>619</v>
      </c>
      <c r="H91" t="str">
        <f t="shared" si="12"/>
        <v>Governance</v>
      </c>
      <c r="I91" t="str">
        <f t="shared" si="13"/>
        <v>Social</v>
      </c>
      <c r="J91" s="19">
        <f t="shared" si="14"/>
        <v>1</v>
      </c>
      <c r="K91" s="19">
        <f t="shared" si="15"/>
        <v>-6</v>
      </c>
      <c r="L91" s="19">
        <f t="shared" si="16"/>
        <v>-5</v>
      </c>
      <c r="M91" s="17">
        <f t="shared" si="17"/>
        <v>6</v>
      </c>
      <c r="N91" s="22">
        <f t="shared" si="18"/>
        <v>3.8781163434903045E-2</v>
      </c>
      <c r="O91" s="22">
        <f t="shared" si="19"/>
        <v>5.6786703601108032E-2</v>
      </c>
      <c r="P91" s="22">
        <f t="shared" si="20"/>
        <v>-1.8005540166204988E-2</v>
      </c>
      <c r="Q91" t="str">
        <f t="shared" si="21"/>
        <v/>
      </c>
      <c r="S91">
        <f t="shared" si="22"/>
        <v>6.0009908999999997</v>
      </c>
      <c r="T91" s="23">
        <f t="shared" si="23"/>
        <v>-1.7014640166204988E-2</v>
      </c>
    </row>
    <row r="92" spans="1:20" ht="15" customHeight="1" x14ac:dyDescent="0.35">
      <c r="A92" t="str">
        <f>Benchmarking!A92</f>
        <v>Agios Pharmaceuticals Inc</v>
      </c>
      <c r="B92" t="str">
        <f>Benchmarking!B92</f>
        <v>agio</v>
      </c>
      <c r="C92" t="str">
        <f>Benchmarking!C92</f>
        <v>Biotechnology</v>
      </c>
      <c r="D92" s="17">
        <f>Benchmarking!D92</f>
        <v>520</v>
      </c>
      <c r="E92" s="17">
        <f>Benchmarking!E92</f>
        <v>303</v>
      </c>
      <c r="F92" s="17">
        <f>Benchmarking!F92</f>
        <v>325</v>
      </c>
      <c r="G92" s="17">
        <f>Benchmarking!G92</f>
        <v>1148</v>
      </c>
      <c r="H92" t="str">
        <f t="shared" si="12"/>
        <v>Environmental</v>
      </c>
      <c r="I92" t="str">
        <f t="shared" si="13"/>
        <v>Social</v>
      </c>
      <c r="J92" s="19">
        <f t="shared" si="14"/>
        <v>217</v>
      </c>
      <c r="K92" s="19">
        <f t="shared" si="15"/>
        <v>-22</v>
      </c>
      <c r="L92" s="19">
        <f t="shared" si="16"/>
        <v>195</v>
      </c>
      <c r="M92" s="17">
        <f t="shared" si="17"/>
        <v>217</v>
      </c>
      <c r="N92" s="22">
        <f t="shared" si="18"/>
        <v>0.76177285318559562</v>
      </c>
      <c r="O92" s="22">
        <f t="shared" si="19"/>
        <v>0.52493074792243766</v>
      </c>
      <c r="P92" s="22">
        <f t="shared" si="20"/>
        <v>0.23684210526315796</v>
      </c>
      <c r="Q92" t="str">
        <f t="shared" si="21"/>
        <v/>
      </c>
      <c r="S92">
        <f t="shared" si="22"/>
        <v>217.00099080000001</v>
      </c>
      <c r="T92" s="23">
        <f t="shared" si="23"/>
        <v>0.23783290526315798</v>
      </c>
    </row>
    <row r="93" spans="1:20" ht="15" customHeight="1" x14ac:dyDescent="0.35">
      <c r="A93" t="str">
        <f>Benchmarking!A93</f>
        <v>Aeglea Bio Therapeutics Inc</v>
      </c>
      <c r="B93" t="str">
        <f>Benchmarking!B93</f>
        <v>agle</v>
      </c>
      <c r="C93" t="str">
        <f>Benchmarking!C93</f>
        <v>Biotechnology</v>
      </c>
      <c r="D93" s="17">
        <f>Benchmarking!D93</f>
        <v>205</v>
      </c>
      <c r="E93" s="17">
        <f>Benchmarking!E93</f>
        <v>223</v>
      </c>
      <c r="F93" s="17">
        <f>Benchmarking!F93</f>
        <v>200</v>
      </c>
      <c r="G93" s="17">
        <f>Benchmarking!G93</f>
        <v>628</v>
      </c>
      <c r="H93" t="str">
        <f t="shared" si="12"/>
        <v>Social</v>
      </c>
      <c r="I93" t="str">
        <f t="shared" si="13"/>
        <v>Governance</v>
      </c>
      <c r="J93" s="19">
        <f t="shared" si="14"/>
        <v>-18</v>
      </c>
      <c r="K93" s="19">
        <f t="shared" si="15"/>
        <v>23</v>
      </c>
      <c r="L93" s="19">
        <f t="shared" si="16"/>
        <v>5</v>
      </c>
      <c r="M93" s="17">
        <f t="shared" si="17"/>
        <v>23</v>
      </c>
      <c r="N93" s="22">
        <f t="shared" si="18"/>
        <v>5.4016620498614956E-2</v>
      </c>
      <c r="O93" s="22">
        <f t="shared" si="19"/>
        <v>2.7700831024930748E-3</v>
      </c>
      <c r="P93" s="22">
        <f t="shared" si="20"/>
        <v>5.124653739612188E-2</v>
      </c>
      <c r="Q93" t="str">
        <f t="shared" si="21"/>
        <v/>
      </c>
      <c r="S93">
        <f t="shared" si="22"/>
        <v>23.000990699999999</v>
      </c>
      <c r="T93" s="23">
        <f t="shared" si="23"/>
        <v>5.2237237396121877E-2</v>
      </c>
    </row>
    <row r="94" spans="1:20" ht="15" customHeight="1" x14ac:dyDescent="0.35">
      <c r="A94" t="str">
        <f>Benchmarking!A94</f>
        <v>AGNC Investment Corp</v>
      </c>
      <c r="B94" t="str">
        <f>Benchmarking!B94</f>
        <v>agnc</v>
      </c>
      <c r="C94" t="str">
        <f>Benchmarking!C94</f>
        <v>Real Estate</v>
      </c>
      <c r="D94" s="17">
        <f>Benchmarking!D94</f>
        <v>382</v>
      </c>
      <c r="E94" s="17">
        <f>Benchmarking!E94</f>
        <v>242</v>
      </c>
      <c r="F94" s="17">
        <f>Benchmarking!F94</f>
        <v>305</v>
      </c>
      <c r="G94" s="17">
        <f>Benchmarking!G94</f>
        <v>929</v>
      </c>
      <c r="H94" t="str">
        <f t="shared" si="12"/>
        <v>Environmental</v>
      </c>
      <c r="I94" t="str">
        <f t="shared" si="13"/>
        <v>Social</v>
      </c>
      <c r="J94" s="19">
        <f t="shared" si="14"/>
        <v>140</v>
      </c>
      <c r="K94" s="19">
        <f t="shared" si="15"/>
        <v>-63</v>
      </c>
      <c r="L94" s="19">
        <f t="shared" si="16"/>
        <v>77</v>
      </c>
      <c r="M94" s="17">
        <f t="shared" si="17"/>
        <v>140</v>
      </c>
      <c r="N94" s="22">
        <f t="shared" si="18"/>
        <v>0.39473684210526316</v>
      </c>
      <c r="O94" s="22">
        <f t="shared" si="19"/>
        <v>0.24238227146814403</v>
      </c>
      <c r="P94" s="22">
        <f t="shared" si="20"/>
        <v>0.15235457063711913</v>
      </c>
      <c r="Q94" t="str">
        <f t="shared" si="21"/>
        <v/>
      </c>
      <c r="S94">
        <f t="shared" si="22"/>
        <v>140.00099059999999</v>
      </c>
      <c r="T94" s="23">
        <f t="shared" si="23"/>
        <v>0.15334517063711914</v>
      </c>
    </row>
    <row r="95" spans="1:20" ht="15" customHeight="1" x14ac:dyDescent="0.35">
      <c r="A95" t="str">
        <f>Benchmarking!A95</f>
        <v>AgriFORCE Growing Systems Ltd</v>
      </c>
      <c r="B95" t="str">
        <f>Benchmarking!B95</f>
        <v>agri</v>
      </c>
      <c r="C95" t="str">
        <f>Benchmarking!C95</f>
        <v>Food Products</v>
      </c>
      <c r="D95" s="17">
        <f>Benchmarking!D95</f>
        <v>510</v>
      </c>
      <c r="E95" s="17">
        <f>Benchmarking!E95</f>
        <v>248</v>
      </c>
      <c r="F95" s="17">
        <f>Benchmarking!F95</f>
        <v>305</v>
      </c>
      <c r="G95" s="17">
        <f>Benchmarking!G95</f>
        <v>1063</v>
      </c>
      <c r="H95" t="str">
        <f t="shared" si="12"/>
        <v>Environmental</v>
      </c>
      <c r="I95" t="str">
        <f t="shared" si="13"/>
        <v>Social</v>
      </c>
      <c r="J95" s="19">
        <f t="shared" si="14"/>
        <v>262</v>
      </c>
      <c r="K95" s="19">
        <f t="shared" si="15"/>
        <v>-57</v>
      </c>
      <c r="L95" s="19">
        <f t="shared" si="16"/>
        <v>205</v>
      </c>
      <c r="M95" s="17">
        <f t="shared" si="17"/>
        <v>262</v>
      </c>
      <c r="N95" s="22">
        <f t="shared" si="18"/>
        <v>0.51939058171745156</v>
      </c>
      <c r="O95" s="22">
        <f t="shared" si="19"/>
        <v>0.26454293628808867</v>
      </c>
      <c r="P95" s="22">
        <f t="shared" si="20"/>
        <v>0.25484764542936289</v>
      </c>
      <c r="Q95" t="str">
        <f t="shared" si="21"/>
        <v/>
      </c>
      <c r="S95">
        <f t="shared" si="22"/>
        <v>262.0009905</v>
      </c>
      <c r="T95" s="23">
        <f t="shared" si="23"/>
        <v>0.2558381454293629</v>
      </c>
    </row>
    <row r="96" spans="1:20" ht="15" customHeight="1" x14ac:dyDescent="0.35">
      <c r="A96" t="str">
        <f>Benchmarking!A96</f>
        <v>Agile Therapeutics Inc</v>
      </c>
      <c r="B96" t="str">
        <f>Benchmarking!B96</f>
        <v>agrx</v>
      </c>
      <c r="C96" t="str">
        <f>Benchmarking!C96</f>
        <v>Pharmaceuticals</v>
      </c>
      <c r="D96" s="17">
        <f>Benchmarking!D96</f>
        <v>240</v>
      </c>
      <c r="E96" s="17">
        <f>Benchmarking!E96</f>
        <v>203</v>
      </c>
      <c r="F96" s="17">
        <f>Benchmarking!F96</f>
        <v>260</v>
      </c>
      <c r="G96" s="17">
        <f>Benchmarking!G96</f>
        <v>703</v>
      </c>
      <c r="H96" t="str">
        <f t="shared" si="12"/>
        <v>Governance</v>
      </c>
      <c r="I96" t="str">
        <f t="shared" si="13"/>
        <v>Social</v>
      </c>
      <c r="J96" s="19">
        <f t="shared" si="14"/>
        <v>37</v>
      </c>
      <c r="K96" s="19">
        <f t="shared" si="15"/>
        <v>-57</v>
      </c>
      <c r="L96" s="19">
        <f t="shared" si="16"/>
        <v>-20</v>
      </c>
      <c r="M96" s="17">
        <f t="shared" si="17"/>
        <v>57</v>
      </c>
      <c r="N96" s="22">
        <f t="shared" si="18"/>
        <v>0.16620498614958448</v>
      </c>
      <c r="O96" s="22">
        <f t="shared" si="19"/>
        <v>5.1246537396121887E-2</v>
      </c>
      <c r="P96" s="22">
        <f t="shared" si="20"/>
        <v>0.11495844875346259</v>
      </c>
      <c r="Q96" t="str">
        <f t="shared" si="21"/>
        <v/>
      </c>
      <c r="S96">
        <f t="shared" si="22"/>
        <v>57.000990399999999</v>
      </c>
      <c r="T96" s="23">
        <f t="shared" si="23"/>
        <v>0.11594884875346259</v>
      </c>
    </row>
    <row r="97" spans="1:20" ht="15" customHeight="1" x14ac:dyDescent="0.35">
      <c r="A97" t="str">
        <f>Benchmarking!A97</f>
        <v>Agilysys Inc</v>
      </c>
      <c r="B97" t="str">
        <f>Benchmarking!B97</f>
        <v>agys</v>
      </c>
      <c r="C97" t="str">
        <f>Benchmarking!C97</f>
        <v>Technology</v>
      </c>
      <c r="D97" s="17">
        <f>Benchmarking!D97</f>
        <v>500</v>
      </c>
      <c r="E97" s="17">
        <f>Benchmarking!E97</f>
        <v>303</v>
      </c>
      <c r="F97" s="17">
        <f>Benchmarking!F97</f>
        <v>300</v>
      </c>
      <c r="G97" s="17">
        <f>Benchmarking!G97</f>
        <v>1103</v>
      </c>
      <c r="H97" t="str">
        <f t="shared" si="12"/>
        <v>Environmental</v>
      </c>
      <c r="I97" t="str">
        <f t="shared" si="13"/>
        <v>Governance</v>
      </c>
      <c r="J97" s="19">
        <f t="shared" si="14"/>
        <v>197</v>
      </c>
      <c r="K97" s="19">
        <f t="shared" si="15"/>
        <v>3</v>
      </c>
      <c r="L97" s="19">
        <f t="shared" si="16"/>
        <v>200</v>
      </c>
      <c r="M97" s="17">
        <f t="shared" si="17"/>
        <v>200</v>
      </c>
      <c r="N97" s="22">
        <f t="shared" si="18"/>
        <v>0.61634349030470914</v>
      </c>
      <c r="O97" s="22">
        <f t="shared" si="19"/>
        <v>0.39335180055401664</v>
      </c>
      <c r="P97" s="22">
        <f t="shared" si="20"/>
        <v>0.2229916897506925</v>
      </c>
      <c r="Q97" t="str">
        <f t="shared" si="21"/>
        <v/>
      </c>
      <c r="S97">
        <f t="shared" si="22"/>
        <v>200.00099030000001</v>
      </c>
      <c r="T97" s="23">
        <f t="shared" si="23"/>
        <v>0.2239819897506925</v>
      </c>
    </row>
    <row r="98" spans="1:20" ht="15" customHeight="1" x14ac:dyDescent="0.35">
      <c r="A98" t="str">
        <f>Benchmarking!A98</f>
        <v>Applied Genetic Technologies Corp</v>
      </c>
      <c r="B98" t="str">
        <f>Benchmarking!B98</f>
        <v>agtc</v>
      </c>
      <c r="C98" t="str">
        <f>Benchmarking!C98</f>
        <v>Biotechnology</v>
      </c>
      <c r="D98" s="17">
        <f>Benchmarking!D98</f>
        <v>235</v>
      </c>
      <c r="E98" s="17">
        <f>Benchmarking!E98</f>
        <v>323</v>
      </c>
      <c r="F98" s="17">
        <f>Benchmarking!F98</f>
        <v>305</v>
      </c>
      <c r="G98" s="17">
        <f>Benchmarking!G98</f>
        <v>863</v>
      </c>
      <c r="H98" t="str">
        <f t="shared" si="12"/>
        <v>Social</v>
      </c>
      <c r="I98" t="str">
        <f t="shared" si="13"/>
        <v>Environmental</v>
      </c>
      <c r="J98" s="19">
        <f t="shared" si="14"/>
        <v>-88</v>
      </c>
      <c r="K98" s="19">
        <f t="shared" si="15"/>
        <v>18</v>
      </c>
      <c r="L98" s="19">
        <f t="shared" si="16"/>
        <v>-70</v>
      </c>
      <c r="M98" s="17">
        <f t="shared" si="17"/>
        <v>88</v>
      </c>
      <c r="N98" s="22">
        <f t="shared" si="18"/>
        <v>0.34626038781163437</v>
      </c>
      <c r="O98" s="22">
        <f t="shared" si="19"/>
        <v>0.22160664819944598</v>
      </c>
      <c r="P98" s="22">
        <f t="shared" si="20"/>
        <v>0.1246537396121884</v>
      </c>
      <c r="Q98" t="str">
        <f t="shared" si="21"/>
        <v/>
      </c>
      <c r="S98">
        <f t="shared" si="22"/>
        <v>88.000990200000004</v>
      </c>
      <c r="T98" s="23">
        <f t="shared" si="23"/>
        <v>0.12564393961218839</v>
      </c>
    </row>
    <row r="99" spans="1:20" ht="15" customHeight="1" x14ac:dyDescent="0.35">
      <c r="A99" t="str">
        <f>Benchmarking!A99</f>
        <v>Adapthealth Corp</v>
      </c>
      <c r="B99" t="str">
        <f>Benchmarking!B99</f>
        <v>ahco</v>
      </c>
      <c r="C99" t="str">
        <f>Benchmarking!C99</f>
        <v>Health Care</v>
      </c>
      <c r="D99" s="17">
        <f>Benchmarking!D99</f>
        <v>210</v>
      </c>
      <c r="E99" s="17">
        <f>Benchmarking!E99</f>
        <v>211</v>
      </c>
      <c r="F99" s="17">
        <f>Benchmarking!F99</f>
        <v>235</v>
      </c>
      <c r="G99" s="17">
        <f>Benchmarking!G99</f>
        <v>656</v>
      </c>
      <c r="H99" t="str">
        <f t="shared" si="12"/>
        <v>Governance</v>
      </c>
      <c r="I99" t="str">
        <f t="shared" si="13"/>
        <v>Environmental</v>
      </c>
      <c r="J99" s="19">
        <f t="shared" si="14"/>
        <v>-1</v>
      </c>
      <c r="K99" s="19">
        <f t="shared" si="15"/>
        <v>-24</v>
      </c>
      <c r="L99" s="19">
        <f t="shared" si="16"/>
        <v>-25</v>
      </c>
      <c r="M99" s="17">
        <f t="shared" si="17"/>
        <v>25</v>
      </c>
      <c r="N99" s="22">
        <f t="shared" si="18"/>
        <v>0.10664819944598337</v>
      </c>
      <c r="O99" s="22">
        <f t="shared" si="19"/>
        <v>9.141274238227147E-2</v>
      </c>
      <c r="P99" s="22">
        <f t="shared" si="20"/>
        <v>1.5235457063711905E-2</v>
      </c>
      <c r="Q99" t="str">
        <f t="shared" si="21"/>
        <v/>
      </c>
      <c r="S99">
        <f t="shared" si="22"/>
        <v>25.000990099999999</v>
      </c>
      <c r="T99" s="23">
        <f t="shared" si="23"/>
        <v>1.6225557063711905E-2</v>
      </c>
    </row>
    <row r="100" spans="1:20" ht="15" customHeight="1" x14ac:dyDescent="0.35">
      <c r="A100" t="str">
        <f>Benchmarking!A100</f>
        <v>Allied Healthcare Products Inc</v>
      </c>
      <c r="B100" t="str">
        <f>Benchmarking!B100</f>
        <v>ahpi</v>
      </c>
      <c r="C100" t="str">
        <f>Benchmarking!C100</f>
        <v>Health Care</v>
      </c>
      <c r="D100" s="17">
        <f>Benchmarking!D100</f>
        <v>210</v>
      </c>
      <c r="E100" s="17">
        <f>Benchmarking!E100</f>
        <v>228</v>
      </c>
      <c r="F100" s="17">
        <f>Benchmarking!F100</f>
        <v>325</v>
      </c>
      <c r="G100" s="17">
        <f>Benchmarking!G100</f>
        <v>763</v>
      </c>
      <c r="H100" t="str">
        <f t="shared" si="12"/>
        <v>Governance</v>
      </c>
      <c r="I100" t="str">
        <f t="shared" si="13"/>
        <v>Environmental</v>
      </c>
      <c r="J100" s="19">
        <f t="shared" si="14"/>
        <v>-18</v>
      </c>
      <c r="K100" s="19">
        <f t="shared" si="15"/>
        <v>-97</v>
      </c>
      <c r="L100" s="19">
        <f t="shared" si="16"/>
        <v>-115</v>
      </c>
      <c r="M100" s="17">
        <f t="shared" si="17"/>
        <v>115</v>
      </c>
      <c r="N100" s="22">
        <f t="shared" si="18"/>
        <v>0.24930747922437674</v>
      </c>
      <c r="O100" s="22">
        <f t="shared" si="19"/>
        <v>9.141274238227147E-2</v>
      </c>
      <c r="P100" s="22">
        <f t="shared" si="20"/>
        <v>0.15789473684210525</v>
      </c>
      <c r="Q100" t="str">
        <f t="shared" si="21"/>
        <v/>
      </c>
      <c r="S100">
        <f t="shared" si="22"/>
        <v>115.00099</v>
      </c>
      <c r="T100" s="23">
        <f t="shared" si="23"/>
        <v>0.15888473684210525</v>
      </c>
    </row>
    <row r="101" spans="1:20" ht="15" customHeight="1" x14ac:dyDescent="0.35">
      <c r="A101" t="str">
        <f>Benchmarking!A101</f>
        <v>AIB Acquisition Corp</v>
      </c>
      <c r="B101" t="str">
        <f>Benchmarking!B101</f>
        <v>aib</v>
      </c>
      <c r="C101" t="str">
        <f>Benchmarking!C101</f>
        <v>Unclassified</v>
      </c>
      <c r="D101" s="17">
        <f>Benchmarking!D101</f>
        <v>215</v>
      </c>
      <c r="E101" s="17">
        <f>Benchmarking!E101</f>
        <v>227</v>
      </c>
      <c r="F101" s="17">
        <f>Benchmarking!F101</f>
        <v>300</v>
      </c>
      <c r="G101" s="17">
        <f>Benchmarking!G101</f>
        <v>742</v>
      </c>
      <c r="H101" t="str">
        <f t="shared" si="12"/>
        <v>Governance</v>
      </c>
      <c r="I101" t="str">
        <f t="shared" si="13"/>
        <v>Environmental</v>
      </c>
      <c r="J101" s="19">
        <f t="shared" si="14"/>
        <v>-12</v>
      </c>
      <c r="K101" s="19">
        <f t="shared" si="15"/>
        <v>-73</v>
      </c>
      <c r="L101" s="19">
        <f t="shared" si="16"/>
        <v>-85</v>
      </c>
      <c r="M101" s="17">
        <f t="shared" si="17"/>
        <v>85</v>
      </c>
      <c r="N101" s="22">
        <f t="shared" si="18"/>
        <v>0.21329639889196675</v>
      </c>
      <c r="O101" s="22">
        <f t="shared" si="19"/>
        <v>0.11911357340720222</v>
      </c>
      <c r="P101" s="22">
        <f t="shared" si="20"/>
        <v>9.4182825484764532E-2</v>
      </c>
      <c r="Q101" t="str">
        <f t="shared" si="21"/>
        <v/>
      </c>
      <c r="S101">
        <f t="shared" si="22"/>
        <v>85.000989899999993</v>
      </c>
      <c r="T101" s="23">
        <f t="shared" si="23"/>
        <v>9.5172725484764534E-2</v>
      </c>
    </row>
    <row r="102" spans="1:20" ht="15" customHeight="1" x14ac:dyDescent="0.35">
      <c r="A102" t="str">
        <f>Benchmarking!A102</f>
        <v>ADTRAN Inc</v>
      </c>
      <c r="B102" t="str">
        <f>Benchmarking!B102</f>
        <v>adtn</v>
      </c>
      <c r="C102" t="str">
        <f>Benchmarking!C102</f>
        <v>Communications</v>
      </c>
      <c r="D102" s="17">
        <f>Benchmarking!D102</f>
        <v>510</v>
      </c>
      <c r="E102" s="17">
        <f>Benchmarking!E102</f>
        <v>308</v>
      </c>
      <c r="F102" s="17">
        <f>Benchmarking!F102</f>
        <v>300</v>
      </c>
      <c r="G102" s="17">
        <f>Benchmarking!G102</f>
        <v>1118</v>
      </c>
      <c r="H102" t="str">
        <f t="shared" si="12"/>
        <v>Environmental</v>
      </c>
      <c r="I102" t="str">
        <f t="shared" si="13"/>
        <v>Governance</v>
      </c>
      <c r="J102" s="19">
        <f t="shared" si="14"/>
        <v>202</v>
      </c>
      <c r="K102" s="19">
        <f t="shared" si="15"/>
        <v>8</v>
      </c>
      <c r="L102" s="19">
        <f t="shared" si="16"/>
        <v>210</v>
      </c>
      <c r="M102" s="17">
        <f t="shared" si="17"/>
        <v>210</v>
      </c>
      <c r="N102" s="22">
        <f t="shared" si="18"/>
        <v>0.65650969529085867</v>
      </c>
      <c r="O102" s="22">
        <f t="shared" si="19"/>
        <v>0.39335180055401664</v>
      </c>
      <c r="P102" s="22">
        <f t="shared" si="20"/>
        <v>0.26315789473684204</v>
      </c>
      <c r="Q102" t="str">
        <f t="shared" si="21"/>
        <v/>
      </c>
      <c r="S102">
        <f t="shared" si="22"/>
        <v>210.00098980000001</v>
      </c>
      <c r="T102" s="23">
        <f t="shared" si="23"/>
        <v>0.26414769473684202</v>
      </c>
    </row>
    <row r="103" spans="1:20" ht="15" customHeight="1" x14ac:dyDescent="0.35">
      <c r="A103" t="str">
        <f>Benchmarking!A103</f>
        <v>Advent Technologies Holdings Inc</v>
      </c>
      <c r="B103" t="str">
        <f>Benchmarking!B103</f>
        <v>adn</v>
      </c>
      <c r="C103" t="str">
        <f>Benchmarking!C103</f>
        <v>Electrical Equipment</v>
      </c>
      <c r="D103" s="17">
        <f>Benchmarking!D103</f>
        <v>250</v>
      </c>
      <c r="E103" s="17">
        <f>Benchmarking!E103</f>
        <v>203</v>
      </c>
      <c r="F103" s="17">
        <f>Benchmarking!F103</f>
        <v>220</v>
      </c>
      <c r="G103" s="17">
        <f>Benchmarking!G103</f>
        <v>673</v>
      </c>
      <c r="H103" t="str">
        <f t="shared" si="12"/>
        <v>Environmental</v>
      </c>
      <c r="I103" t="str">
        <f t="shared" si="13"/>
        <v>Social</v>
      </c>
      <c r="J103" s="19">
        <f t="shared" si="14"/>
        <v>47</v>
      </c>
      <c r="K103" s="19">
        <f t="shared" si="15"/>
        <v>-17</v>
      </c>
      <c r="L103" s="19">
        <f t="shared" si="16"/>
        <v>30</v>
      </c>
      <c r="M103" s="17">
        <f t="shared" si="17"/>
        <v>47</v>
      </c>
      <c r="N103" s="22">
        <f t="shared" si="18"/>
        <v>0.13157894736842105</v>
      </c>
      <c r="O103" s="22">
        <f t="shared" si="19"/>
        <v>5.1246537396121887E-2</v>
      </c>
      <c r="P103" s="22">
        <f t="shared" si="20"/>
        <v>8.0332409972299151E-2</v>
      </c>
      <c r="Q103" t="str">
        <f t="shared" si="21"/>
        <v/>
      </c>
      <c r="S103">
        <f t="shared" si="22"/>
        <v>47.000989699999998</v>
      </c>
      <c r="T103" s="23">
        <f t="shared" si="23"/>
        <v>8.1322109972299148E-2</v>
      </c>
    </row>
    <row r="104" spans="1:20" ht="15" customHeight="1" x14ac:dyDescent="0.35">
      <c r="A104" t="str">
        <f>Benchmarking!A104</f>
        <v>Aikido Pharma Inc</v>
      </c>
      <c r="B104" t="str">
        <f>Benchmarking!B104</f>
        <v>aiki</v>
      </c>
      <c r="C104" t="str">
        <f>Benchmarking!C104</f>
        <v>Biotechnology</v>
      </c>
      <c r="D104" s="17">
        <f>Benchmarking!D104</f>
        <v>200</v>
      </c>
      <c r="E104" s="17">
        <f>Benchmarking!E104</f>
        <v>235</v>
      </c>
      <c r="F104" s="17">
        <f>Benchmarking!F104</f>
        <v>205</v>
      </c>
      <c r="G104" s="17">
        <f>Benchmarking!G104</f>
        <v>640</v>
      </c>
      <c r="H104" t="str">
        <f t="shared" si="12"/>
        <v>Social</v>
      </c>
      <c r="I104" t="str">
        <f t="shared" si="13"/>
        <v>Environmental</v>
      </c>
      <c r="J104" s="19">
        <f t="shared" si="14"/>
        <v>-35</v>
      </c>
      <c r="K104" s="19">
        <f t="shared" si="15"/>
        <v>30</v>
      </c>
      <c r="L104" s="19">
        <f t="shared" si="16"/>
        <v>-5</v>
      </c>
      <c r="M104" s="17">
        <f t="shared" si="17"/>
        <v>35</v>
      </c>
      <c r="N104" s="22">
        <f t="shared" si="18"/>
        <v>7.7562326869806089E-2</v>
      </c>
      <c r="O104" s="22">
        <f t="shared" si="19"/>
        <v>1.3850415512465374E-3</v>
      </c>
      <c r="P104" s="22">
        <f t="shared" si="20"/>
        <v>7.6177285318559551E-2</v>
      </c>
      <c r="Q104" t="str">
        <f t="shared" si="21"/>
        <v/>
      </c>
      <c r="S104">
        <f t="shared" si="22"/>
        <v>35.000989599999997</v>
      </c>
      <c r="T104" s="23">
        <f t="shared" si="23"/>
        <v>7.7166885318559544E-2</v>
      </c>
    </row>
    <row r="105" spans="1:20" ht="15" customHeight="1" x14ac:dyDescent="0.35">
      <c r="A105" t="str">
        <f>Benchmarking!A105</f>
        <v>Sports Ventures Acquisition Corp</v>
      </c>
      <c r="B105" t="str">
        <f>Benchmarking!B105</f>
        <v>akic</v>
      </c>
      <c r="C105" t="str">
        <f>Benchmarking!C105</f>
        <v>Unclassified</v>
      </c>
      <c r="D105" s="17">
        <f>Benchmarking!D105</f>
        <v>200</v>
      </c>
      <c r="E105" s="17">
        <f>Benchmarking!E105</f>
        <v>205</v>
      </c>
      <c r="F105" s="17">
        <f>Benchmarking!F105</f>
        <v>230</v>
      </c>
      <c r="G105" s="17">
        <f>Benchmarking!G105</f>
        <v>635</v>
      </c>
      <c r="H105" t="str">
        <f t="shared" si="12"/>
        <v>Governance</v>
      </c>
      <c r="I105" t="str">
        <f t="shared" si="13"/>
        <v>Environmental</v>
      </c>
      <c r="J105" s="19">
        <f t="shared" si="14"/>
        <v>-5</v>
      </c>
      <c r="K105" s="19">
        <f t="shared" si="15"/>
        <v>-25</v>
      </c>
      <c r="L105" s="19">
        <f t="shared" si="16"/>
        <v>-30</v>
      </c>
      <c r="M105" s="17">
        <f t="shared" si="17"/>
        <v>30</v>
      </c>
      <c r="N105" s="22">
        <f t="shared" si="18"/>
        <v>6.9252077562326875E-2</v>
      </c>
      <c r="O105" s="22">
        <f t="shared" si="19"/>
        <v>1.3850415512465374E-3</v>
      </c>
      <c r="P105" s="22">
        <f t="shared" si="20"/>
        <v>6.7867036011080337E-2</v>
      </c>
      <c r="Q105" t="str">
        <f t="shared" si="21"/>
        <v/>
      </c>
      <c r="S105">
        <f t="shared" si="22"/>
        <v>30.000989499999999</v>
      </c>
      <c r="T105" s="23">
        <f t="shared" si="23"/>
        <v>6.8856536011080341E-2</v>
      </c>
    </row>
    <row r="106" spans="1:20" ht="15" customHeight="1" x14ac:dyDescent="0.35">
      <c r="A106" t="str">
        <f>Benchmarking!A106</f>
        <v>Arteris Inc</v>
      </c>
      <c r="B106" t="str">
        <f>Benchmarking!B106</f>
        <v>aip</v>
      </c>
      <c r="C106" t="str">
        <f>Benchmarking!C106</f>
        <v>Technology</v>
      </c>
      <c r="D106" s="17">
        <f>Benchmarking!D106</f>
        <v>500</v>
      </c>
      <c r="E106" s="17">
        <f>Benchmarking!E106</f>
        <v>286</v>
      </c>
      <c r="F106" s="17">
        <f>Benchmarking!F106</f>
        <v>300</v>
      </c>
      <c r="G106" s="17">
        <f>Benchmarking!G106</f>
        <v>1086</v>
      </c>
      <c r="H106" t="str">
        <f t="shared" si="12"/>
        <v>Environmental</v>
      </c>
      <c r="I106" t="str">
        <f t="shared" si="13"/>
        <v>Social</v>
      </c>
      <c r="J106" s="19">
        <f t="shared" si="14"/>
        <v>214</v>
      </c>
      <c r="K106" s="19">
        <f t="shared" si="15"/>
        <v>-14</v>
      </c>
      <c r="L106" s="19">
        <f t="shared" si="16"/>
        <v>200</v>
      </c>
      <c r="M106" s="17">
        <f t="shared" si="17"/>
        <v>214</v>
      </c>
      <c r="N106" s="22">
        <f t="shared" si="18"/>
        <v>0.54709141274238227</v>
      </c>
      <c r="O106" s="22">
        <f t="shared" si="19"/>
        <v>0.34072022160664822</v>
      </c>
      <c r="P106" s="22">
        <f t="shared" si="20"/>
        <v>0.20637119113573404</v>
      </c>
      <c r="Q106" t="str">
        <f t="shared" si="21"/>
        <v/>
      </c>
      <c r="S106">
        <f t="shared" si="22"/>
        <v>214.00098940000001</v>
      </c>
      <c r="T106" s="23">
        <f t="shared" si="23"/>
        <v>0.20736059113573405</v>
      </c>
    </row>
    <row r="107" spans="1:20" ht="15" customHeight="1" x14ac:dyDescent="0.35">
      <c r="A107" t="str">
        <f>Benchmarking!A107</f>
        <v>Akero Therapeutics Inc</v>
      </c>
      <c r="B107" t="str">
        <f>Benchmarking!B107</f>
        <v>akro</v>
      </c>
      <c r="C107" t="str">
        <f>Benchmarking!C107</f>
        <v>Biotechnology</v>
      </c>
      <c r="D107" s="17">
        <f>Benchmarking!D107</f>
        <v>250</v>
      </c>
      <c r="E107" s="17">
        <f>Benchmarking!E107</f>
        <v>246</v>
      </c>
      <c r="F107" s="17">
        <f>Benchmarking!F107</f>
        <v>305</v>
      </c>
      <c r="G107" s="17">
        <f>Benchmarking!G107</f>
        <v>801</v>
      </c>
      <c r="H107" t="str">
        <f t="shared" si="12"/>
        <v>Governance</v>
      </c>
      <c r="I107" t="str">
        <f t="shared" si="13"/>
        <v>Social</v>
      </c>
      <c r="J107" s="19">
        <f t="shared" si="14"/>
        <v>4</v>
      </c>
      <c r="K107" s="19">
        <f t="shared" si="15"/>
        <v>-59</v>
      </c>
      <c r="L107" s="19">
        <f t="shared" si="16"/>
        <v>-55</v>
      </c>
      <c r="M107" s="17">
        <f t="shared" si="17"/>
        <v>59</v>
      </c>
      <c r="N107" s="22">
        <f t="shared" si="18"/>
        <v>0.28947368421052633</v>
      </c>
      <c r="O107" s="22">
        <f t="shared" si="19"/>
        <v>0.26038781163434904</v>
      </c>
      <c r="P107" s="22">
        <f t="shared" si="20"/>
        <v>2.9085872576177285E-2</v>
      </c>
      <c r="Q107" t="str">
        <f t="shared" si="21"/>
        <v/>
      </c>
      <c r="S107">
        <f t="shared" si="22"/>
        <v>59.000989300000001</v>
      </c>
      <c r="T107" s="23">
        <f t="shared" si="23"/>
        <v>3.0075172576177284E-2</v>
      </c>
    </row>
    <row r="108" spans="1:20" ht="15" customHeight="1" x14ac:dyDescent="0.35">
      <c r="A108" t="str">
        <f>Benchmarking!A108</f>
        <v>Air T Inc</v>
      </c>
      <c r="B108" t="str">
        <f>Benchmarking!B108</f>
        <v>airt</v>
      </c>
      <c r="C108" t="str">
        <f>Benchmarking!C108</f>
        <v>Logistics &amp; Transportation</v>
      </c>
      <c r="D108" s="17">
        <f>Benchmarking!D108</f>
        <v>234</v>
      </c>
      <c r="E108" s="17">
        <f>Benchmarking!E108</f>
        <v>210</v>
      </c>
      <c r="F108" s="17">
        <f>Benchmarking!F108</f>
        <v>325</v>
      </c>
      <c r="G108" s="17">
        <f>Benchmarking!G108</f>
        <v>769</v>
      </c>
      <c r="H108" t="str">
        <f t="shared" si="12"/>
        <v>Governance</v>
      </c>
      <c r="I108" t="str">
        <f t="shared" si="13"/>
        <v>Social</v>
      </c>
      <c r="J108" s="19">
        <f t="shared" si="14"/>
        <v>24</v>
      </c>
      <c r="K108" s="19">
        <f t="shared" si="15"/>
        <v>-115</v>
      </c>
      <c r="L108" s="19">
        <f t="shared" si="16"/>
        <v>-91</v>
      </c>
      <c r="M108" s="17">
        <f t="shared" si="17"/>
        <v>115</v>
      </c>
      <c r="N108" s="22">
        <f t="shared" si="18"/>
        <v>0.25900277008310252</v>
      </c>
      <c r="O108" s="22">
        <f t="shared" si="19"/>
        <v>0.11080332409972299</v>
      </c>
      <c r="P108" s="22">
        <f t="shared" si="20"/>
        <v>0.14819944598337953</v>
      </c>
      <c r="Q108" t="str">
        <f t="shared" si="21"/>
        <v/>
      </c>
      <c r="S108">
        <f t="shared" si="22"/>
        <v>115.00098920000001</v>
      </c>
      <c r="T108" s="23">
        <f t="shared" si="23"/>
        <v>0.14918864598337953</v>
      </c>
    </row>
    <row r="109" spans="1:20" ht="15" customHeight="1" x14ac:dyDescent="0.35">
      <c r="A109" t="str">
        <f>Benchmarking!A109</f>
        <v>Altra Industrial Motion Corp</v>
      </c>
      <c r="B109" t="str">
        <f>Benchmarking!B109</f>
        <v>aimc</v>
      </c>
      <c r="C109" t="str">
        <f>Benchmarking!C109</f>
        <v>Machinery</v>
      </c>
      <c r="D109" s="17">
        <f>Benchmarking!D109</f>
        <v>525</v>
      </c>
      <c r="E109" s="17">
        <f>Benchmarking!E109</f>
        <v>315</v>
      </c>
      <c r="F109" s="17">
        <f>Benchmarking!F109</f>
        <v>305</v>
      </c>
      <c r="G109" s="17">
        <f>Benchmarking!G109</f>
        <v>1145</v>
      </c>
      <c r="H109" t="str">
        <f t="shared" si="12"/>
        <v>Environmental</v>
      </c>
      <c r="I109" t="str">
        <f t="shared" si="13"/>
        <v>Governance</v>
      </c>
      <c r="J109" s="19">
        <f t="shared" si="14"/>
        <v>210</v>
      </c>
      <c r="K109" s="19">
        <f t="shared" si="15"/>
        <v>10</v>
      </c>
      <c r="L109" s="19">
        <f t="shared" si="16"/>
        <v>220</v>
      </c>
      <c r="M109" s="17">
        <f t="shared" si="17"/>
        <v>220</v>
      </c>
      <c r="N109" s="22">
        <f t="shared" si="18"/>
        <v>0.75207756232686984</v>
      </c>
      <c r="O109" s="22">
        <f t="shared" si="19"/>
        <v>0.63296398891966754</v>
      </c>
      <c r="P109" s="22">
        <f t="shared" si="20"/>
        <v>0.1191135734072023</v>
      </c>
      <c r="Q109" t="str">
        <f t="shared" si="21"/>
        <v/>
      </c>
      <c r="S109">
        <f t="shared" si="22"/>
        <v>220.0009891</v>
      </c>
      <c r="T109" s="23">
        <f t="shared" si="23"/>
        <v>0.12010267340720231</v>
      </c>
    </row>
    <row r="110" spans="1:20" ht="15" customHeight="1" x14ac:dyDescent="0.35">
      <c r="A110" t="str">
        <f>Benchmarking!A110</f>
        <v>Akebia Therapeutics Inc</v>
      </c>
      <c r="B110" t="str">
        <f>Benchmarking!B110</f>
        <v>akba</v>
      </c>
      <c r="C110" t="str">
        <f>Benchmarking!C110</f>
        <v>Biotechnology</v>
      </c>
      <c r="D110" s="17">
        <f>Benchmarking!D110</f>
        <v>200</v>
      </c>
      <c r="E110" s="17">
        <f>Benchmarking!E110</f>
        <v>218</v>
      </c>
      <c r="F110" s="17">
        <f>Benchmarking!F110</f>
        <v>215</v>
      </c>
      <c r="G110" s="17">
        <f>Benchmarking!G110</f>
        <v>633</v>
      </c>
      <c r="H110" t="str">
        <f t="shared" si="12"/>
        <v>Social</v>
      </c>
      <c r="I110" t="str">
        <f t="shared" si="13"/>
        <v>Environmental</v>
      </c>
      <c r="J110" s="19">
        <f t="shared" si="14"/>
        <v>-18</v>
      </c>
      <c r="K110" s="19">
        <f t="shared" si="15"/>
        <v>3</v>
      </c>
      <c r="L110" s="19">
        <f t="shared" si="16"/>
        <v>-15</v>
      </c>
      <c r="M110" s="17">
        <f t="shared" si="17"/>
        <v>18</v>
      </c>
      <c r="N110" s="22">
        <f t="shared" si="18"/>
        <v>6.3711911357340723E-2</v>
      </c>
      <c r="O110" s="22">
        <f t="shared" si="19"/>
        <v>1.3850415512465374E-3</v>
      </c>
      <c r="P110" s="22">
        <f t="shared" si="20"/>
        <v>6.2326869806094184E-2</v>
      </c>
      <c r="Q110" t="str">
        <f t="shared" si="21"/>
        <v/>
      </c>
      <c r="S110">
        <f t="shared" si="22"/>
        <v>18.000989000000001</v>
      </c>
      <c r="T110" s="23">
        <f t="shared" si="23"/>
        <v>6.3315869806094188E-2</v>
      </c>
    </row>
    <row r="111" spans="1:20" ht="15" customHeight="1" x14ac:dyDescent="0.35">
      <c r="A111" t="str">
        <f>Benchmarking!A111</f>
        <v>Airgain Inc</v>
      </c>
      <c r="B111" t="str">
        <f>Benchmarking!B111</f>
        <v>airg</v>
      </c>
      <c r="C111" t="str">
        <f>Benchmarking!C111</f>
        <v>Electrical Equipment</v>
      </c>
      <c r="D111" s="17">
        <f>Benchmarking!D111</f>
        <v>500</v>
      </c>
      <c r="E111" s="17">
        <f>Benchmarking!E111</f>
        <v>300</v>
      </c>
      <c r="F111" s="17">
        <f>Benchmarking!F111</f>
        <v>330</v>
      </c>
      <c r="G111" s="17">
        <f>Benchmarking!G111</f>
        <v>1130</v>
      </c>
      <c r="H111" t="str">
        <f t="shared" si="12"/>
        <v>Environmental</v>
      </c>
      <c r="I111" t="str">
        <f t="shared" si="13"/>
        <v>Social</v>
      </c>
      <c r="J111" s="19">
        <f t="shared" si="14"/>
        <v>200</v>
      </c>
      <c r="K111" s="19">
        <f t="shared" si="15"/>
        <v>-30</v>
      </c>
      <c r="L111" s="19">
        <f t="shared" si="16"/>
        <v>170</v>
      </c>
      <c r="M111" s="17">
        <f t="shared" si="17"/>
        <v>200</v>
      </c>
      <c r="N111" s="22">
        <f t="shared" si="18"/>
        <v>0.69667590027700832</v>
      </c>
      <c r="O111" s="22">
        <f t="shared" si="19"/>
        <v>0.36565096952908588</v>
      </c>
      <c r="P111" s="22">
        <f t="shared" si="20"/>
        <v>0.33102493074792244</v>
      </c>
      <c r="Q111" t="str">
        <f t="shared" si="21"/>
        <v/>
      </c>
      <c r="S111">
        <f t="shared" si="22"/>
        <v>200.00098890000001</v>
      </c>
      <c r="T111" s="23">
        <f t="shared" si="23"/>
        <v>0.33201383074792246</v>
      </c>
    </row>
    <row r="112" spans="1:20" ht="15" customHeight="1" x14ac:dyDescent="0.35">
      <c r="A112" t="str">
        <f>Benchmarking!A112</f>
        <v>Airsculpt Technologies Inc</v>
      </c>
      <c r="B112" t="str">
        <f>Benchmarking!B112</f>
        <v>airs</v>
      </c>
      <c r="C112" t="str">
        <f>Benchmarking!C112</f>
        <v>Health Care</v>
      </c>
      <c r="D112" s="17">
        <f>Benchmarking!D112</f>
        <v>210</v>
      </c>
      <c r="E112" s="17">
        <f>Benchmarking!E112</f>
        <v>201</v>
      </c>
      <c r="F112" s="17">
        <f>Benchmarking!F112</f>
        <v>205</v>
      </c>
      <c r="G112" s="17">
        <f>Benchmarking!G112</f>
        <v>616</v>
      </c>
      <c r="H112" t="str">
        <f t="shared" si="12"/>
        <v>Environmental</v>
      </c>
      <c r="I112" t="str">
        <f t="shared" si="13"/>
        <v>Social</v>
      </c>
      <c r="J112" s="19">
        <f t="shared" si="14"/>
        <v>9</v>
      </c>
      <c r="K112" s="19">
        <f t="shared" si="15"/>
        <v>-4</v>
      </c>
      <c r="L112" s="19">
        <f t="shared" si="16"/>
        <v>5</v>
      </c>
      <c r="M112" s="17">
        <f t="shared" si="17"/>
        <v>9</v>
      </c>
      <c r="N112" s="22">
        <f t="shared" si="18"/>
        <v>3.3240997229916899E-2</v>
      </c>
      <c r="O112" s="22">
        <f t="shared" si="19"/>
        <v>3.1855955678670361E-2</v>
      </c>
      <c r="P112" s="22">
        <f t="shared" si="20"/>
        <v>1.385041551246538E-3</v>
      </c>
      <c r="Q112" t="str">
        <f t="shared" si="21"/>
        <v/>
      </c>
      <c r="S112">
        <f t="shared" si="22"/>
        <v>9.0009888</v>
      </c>
      <c r="T112" s="23">
        <f t="shared" si="23"/>
        <v>2.3738415512465378E-3</v>
      </c>
    </row>
    <row r="113" spans="1:20" ht="15" customHeight="1" x14ac:dyDescent="0.35">
      <c r="A113" t="str">
        <f>Benchmarking!A113</f>
        <v>Akamai Technologies Inc</v>
      </c>
      <c r="B113" t="str">
        <f>Benchmarking!B113</f>
        <v>akam</v>
      </c>
      <c r="C113" t="str">
        <f>Benchmarking!C113</f>
        <v>Technology</v>
      </c>
      <c r="D113" s="17">
        <f>Benchmarking!D113</f>
        <v>515</v>
      </c>
      <c r="E113" s="17">
        <f>Benchmarking!E113</f>
        <v>341</v>
      </c>
      <c r="F113" s="17">
        <f>Benchmarking!F113</f>
        <v>305</v>
      </c>
      <c r="G113" s="17">
        <f>Benchmarking!G113</f>
        <v>1161</v>
      </c>
      <c r="H113" t="str">
        <f t="shared" si="12"/>
        <v>Environmental</v>
      </c>
      <c r="I113" t="str">
        <f t="shared" si="13"/>
        <v>Governance</v>
      </c>
      <c r="J113" s="19">
        <f t="shared" si="14"/>
        <v>174</v>
      </c>
      <c r="K113" s="19">
        <f t="shared" si="15"/>
        <v>36</v>
      </c>
      <c r="L113" s="19">
        <f t="shared" si="16"/>
        <v>210</v>
      </c>
      <c r="M113" s="17">
        <f t="shared" si="17"/>
        <v>210</v>
      </c>
      <c r="N113" s="22">
        <f t="shared" si="18"/>
        <v>0.80193905817174516</v>
      </c>
      <c r="O113" s="22">
        <f t="shared" si="19"/>
        <v>0.63296398891966754</v>
      </c>
      <c r="P113" s="22">
        <f t="shared" si="20"/>
        <v>0.16897506925207761</v>
      </c>
      <c r="Q113" t="str">
        <f t="shared" si="21"/>
        <v/>
      </c>
      <c r="S113">
        <f t="shared" si="22"/>
        <v>210.00098869999999</v>
      </c>
      <c r="T113" s="23">
        <f t="shared" si="23"/>
        <v>0.16996376925207762</v>
      </c>
    </row>
    <row r="114" spans="1:20" ht="15" customHeight="1" x14ac:dyDescent="0.35">
      <c r="A114" t="str">
        <f>Benchmarking!A114</f>
        <v>Akumin Inc</v>
      </c>
      <c r="B114" t="str">
        <f>Benchmarking!B114</f>
        <v>aku</v>
      </c>
      <c r="C114" t="str">
        <f>Benchmarking!C114</f>
        <v>Health Care</v>
      </c>
      <c r="D114" s="17">
        <f>Benchmarking!D114</f>
        <v>455</v>
      </c>
      <c r="E114" s="17">
        <f>Benchmarking!E114</f>
        <v>347</v>
      </c>
      <c r="F114" s="17">
        <f>Benchmarking!F114</f>
        <v>300</v>
      </c>
      <c r="G114" s="17">
        <f>Benchmarking!G114</f>
        <v>1102</v>
      </c>
      <c r="H114" t="str">
        <f t="shared" si="12"/>
        <v>Environmental</v>
      </c>
      <c r="I114" t="str">
        <f t="shared" si="13"/>
        <v>Governance</v>
      </c>
      <c r="J114" s="19">
        <f t="shared" si="14"/>
        <v>108</v>
      </c>
      <c r="K114" s="19">
        <f t="shared" si="15"/>
        <v>47</v>
      </c>
      <c r="L114" s="19">
        <f t="shared" si="16"/>
        <v>155</v>
      </c>
      <c r="M114" s="17">
        <f t="shared" si="17"/>
        <v>155</v>
      </c>
      <c r="N114" s="22">
        <f t="shared" si="18"/>
        <v>0.61495844875346262</v>
      </c>
      <c r="O114" s="22">
        <f t="shared" si="19"/>
        <v>0.39335180055401664</v>
      </c>
      <c r="P114" s="22">
        <f t="shared" si="20"/>
        <v>0.22160664819944598</v>
      </c>
      <c r="Q114" t="str">
        <f t="shared" si="21"/>
        <v/>
      </c>
      <c r="S114">
        <f t="shared" si="22"/>
        <v>155.0009886</v>
      </c>
      <c r="T114" s="23">
        <f t="shared" si="23"/>
        <v>0.22259524819944598</v>
      </c>
    </row>
    <row r="115" spans="1:20" ht="15" customHeight="1" x14ac:dyDescent="0.35">
      <c r="A115" t="str">
        <f>Benchmarking!A115</f>
        <v>Akouos Inc</v>
      </c>
      <c r="B115" t="str">
        <f>Benchmarking!B115</f>
        <v>akus</v>
      </c>
      <c r="C115" t="str">
        <f>Benchmarking!C115</f>
        <v>Biotechnology</v>
      </c>
      <c r="D115" s="17">
        <f>Benchmarking!D115</f>
        <v>205</v>
      </c>
      <c r="E115" s="17">
        <f>Benchmarking!E115</f>
        <v>221</v>
      </c>
      <c r="F115" s="17">
        <f>Benchmarking!F115</f>
        <v>295</v>
      </c>
      <c r="G115" s="17">
        <f>Benchmarking!G115</f>
        <v>721</v>
      </c>
      <c r="H115" t="str">
        <f t="shared" si="12"/>
        <v>Governance</v>
      </c>
      <c r="I115" t="str">
        <f t="shared" si="13"/>
        <v>Environmental</v>
      </c>
      <c r="J115" s="19">
        <f t="shared" si="14"/>
        <v>-16</v>
      </c>
      <c r="K115" s="19">
        <f t="shared" si="15"/>
        <v>-74</v>
      </c>
      <c r="L115" s="19">
        <f t="shared" si="16"/>
        <v>-90</v>
      </c>
      <c r="M115" s="17">
        <f t="shared" si="17"/>
        <v>90</v>
      </c>
      <c r="N115" s="22">
        <f t="shared" si="18"/>
        <v>0.18698060941828254</v>
      </c>
      <c r="O115" s="22">
        <f t="shared" si="19"/>
        <v>5.6786703601108032E-2</v>
      </c>
      <c r="P115" s="22">
        <f t="shared" si="20"/>
        <v>0.13019390581717449</v>
      </c>
      <c r="Q115" t="str">
        <f t="shared" si="21"/>
        <v/>
      </c>
      <c r="S115">
        <f t="shared" si="22"/>
        <v>90.000988500000005</v>
      </c>
      <c r="T115" s="23">
        <f t="shared" si="23"/>
        <v>0.1311824058171745</v>
      </c>
    </row>
    <row r="116" spans="1:20" ht="15" customHeight="1" x14ac:dyDescent="0.35">
      <c r="A116" t="str">
        <f>Benchmarking!A116</f>
        <v>Akoustis Technologies Inc</v>
      </c>
      <c r="B116" t="str">
        <f>Benchmarking!B116</f>
        <v>akts</v>
      </c>
      <c r="C116" t="str">
        <f>Benchmarking!C116</f>
        <v>Electrical Equipment</v>
      </c>
      <c r="D116" s="17">
        <f>Benchmarking!D116</f>
        <v>222</v>
      </c>
      <c r="E116" s="17">
        <f>Benchmarking!E116</f>
        <v>302</v>
      </c>
      <c r="F116" s="17">
        <f>Benchmarking!F116</f>
        <v>428</v>
      </c>
      <c r="G116" s="17">
        <f>Benchmarking!G116</f>
        <v>952</v>
      </c>
      <c r="H116" t="str">
        <f t="shared" si="12"/>
        <v>Governance</v>
      </c>
      <c r="I116" t="str">
        <f t="shared" si="13"/>
        <v>Environmental</v>
      </c>
      <c r="J116" s="19">
        <f t="shared" si="14"/>
        <v>-80</v>
      </c>
      <c r="K116" s="19">
        <f t="shared" si="15"/>
        <v>-126</v>
      </c>
      <c r="L116" s="19">
        <f t="shared" si="16"/>
        <v>-206</v>
      </c>
      <c r="M116" s="17">
        <f t="shared" si="17"/>
        <v>206</v>
      </c>
      <c r="N116" s="22">
        <f t="shared" si="18"/>
        <v>0.42243767313019392</v>
      </c>
      <c r="O116" s="22">
        <f t="shared" si="19"/>
        <v>0.16343490304709141</v>
      </c>
      <c r="P116" s="22">
        <f t="shared" si="20"/>
        <v>0.25900277008310252</v>
      </c>
      <c r="Q116" t="str">
        <f t="shared" si="21"/>
        <v/>
      </c>
      <c r="S116">
        <f t="shared" si="22"/>
        <v>206.00098840000001</v>
      </c>
      <c r="T116" s="23">
        <f t="shared" si="23"/>
        <v>0.25999117008310252</v>
      </c>
    </row>
    <row r="117" spans="1:20" ht="15" customHeight="1" x14ac:dyDescent="0.35">
      <c r="A117" t="str">
        <f>Benchmarking!A117</f>
        <v>Akari Therapeutics PLC</v>
      </c>
      <c r="B117" t="str">
        <f>Benchmarking!B117</f>
        <v>aktx</v>
      </c>
      <c r="C117" t="str">
        <f>Benchmarking!C117</f>
        <v>Pharmaceuticals</v>
      </c>
      <c r="D117" s="17">
        <f>Benchmarking!D117</f>
        <v>225</v>
      </c>
      <c r="E117" s="17">
        <f>Benchmarking!E117</f>
        <v>216</v>
      </c>
      <c r="F117" s="17">
        <f>Benchmarking!F117</f>
        <v>305</v>
      </c>
      <c r="G117" s="17">
        <f>Benchmarking!G117</f>
        <v>746</v>
      </c>
      <c r="H117" t="str">
        <f t="shared" si="12"/>
        <v>Governance</v>
      </c>
      <c r="I117" t="str">
        <f t="shared" si="13"/>
        <v>Social</v>
      </c>
      <c r="J117" s="19">
        <f t="shared" si="14"/>
        <v>9</v>
      </c>
      <c r="K117" s="19">
        <f t="shared" si="15"/>
        <v>-89</v>
      </c>
      <c r="L117" s="19">
        <f t="shared" si="16"/>
        <v>-80</v>
      </c>
      <c r="M117" s="17">
        <f t="shared" si="17"/>
        <v>89</v>
      </c>
      <c r="N117" s="22">
        <f t="shared" si="18"/>
        <v>0.22160664819944598</v>
      </c>
      <c r="O117" s="22">
        <f t="shared" si="19"/>
        <v>0.13988919667590027</v>
      </c>
      <c r="P117" s="22">
        <f t="shared" si="20"/>
        <v>8.1717451523545703E-2</v>
      </c>
      <c r="Q117" t="str">
        <f t="shared" si="21"/>
        <v/>
      </c>
      <c r="S117">
        <f t="shared" si="22"/>
        <v>89.000988300000003</v>
      </c>
      <c r="T117" s="23">
        <f t="shared" si="23"/>
        <v>8.2705751523545701E-2</v>
      </c>
    </row>
    <row r="118" spans="1:20" ht="15" customHeight="1" x14ac:dyDescent="0.35">
      <c r="A118" t="str">
        <f>Benchmarking!A118</f>
        <v>Albireo Pharma Inc</v>
      </c>
      <c r="B118" t="str">
        <f>Benchmarking!B118</f>
        <v>albo</v>
      </c>
      <c r="C118" t="str">
        <f>Benchmarking!C118</f>
        <v>Biotechnology</v>
      </c>
      <c r="D118" s="17">
        <f>Benchmarking!D118</f>
        <v>500</v>
      </c>
      <c r="E118" s="17">
        <f>Benchmarking!E118</f>
        <v>300</v>
      </c>
      <c r="F118" s="17">
        <f>Benchmarking!F118</f>
        <v>310</v>
      </c>
      <c r="G118" s="17">
        <f>Benchmarking!G118</f>
        <v>1110</v>
      </c>
      <c r="H118" t="str">
        <f t="shared" si="12"/>
        <v>Environmental</v>
      </c>
      <c r="I118" t="str">
        <f t="shared" si="13"/>
        <v>Social</v>
      </c>
      <c r="J118" s="19">
        <f t="shared" si="14"/>
        <v>200</v>
      </c>
      <c r="K118" s="19">
        <f t="shared" si="15"/>
        <v>-10</v>
      </c>
      <c r="L118" s="19">
        <f t="shared" si="16"/>
        <v>190</v>
      </c>
      <c r="M118" s="17">
        <f t="shared" si="17"/>
        <v>200</v>
      </c>
      <c r="N118" s="22">
        <f t="shared" si="18"/>
        <v>0.6357340720221607</v>
      </c>
      <c r="O118" s="22">
        <f t="shared" si="19"/>
        <v>0.36565096952908588</v>
      </c>
      <c r="P118" s="22">
        <f t="shared" si="20"/>
        <v>0.27008310249307482</v>
      </c>
      <c r="Q118" t="str">
        <f t="shared" si="21"/>
        <v/>
      </c>
      <c r="S118">
        <f t="shared" si="22"/>
        <v>200.00098819999999</v>
      </c>
      <c r="T118" s="23">
        <f t="shared" si="23"/>
        <v>0.27107130249307482</v>
      </c>
    </row>
    <row r="119" spans="1:20" ht="15" customHeight="1" x14ac:dyDescent="0.35">
      <c r="A119" t="str">
        <f>Benchmarking!A119</f>
        <v>Akoya Biosciences Inc</v>
      </c>
      <c r="B119" t="str">
        <f>Benchmarking!B119</f>
        <v>akya</v>
      </c>
      <c r="C119" t="str">
        <f>Benchmarking!C119</f>
        <v>Life Sciences Tools &amp; Services</v>
      </c>
      <c r="D119" s="17">
        <f>Benchmarking!D119</f>
        <v>512</v>
      </c>
      <c r="E119" s="17">
        <f>Benchmarking!E119</f>
        <v>303</v>
      </c>
      <c r="F119" s="17">
        <f>Benchmarking!F119</f>
        <v>215</v>
      </c>
      <c r="G119" s="17">
        <f>Benchmarking!G119</f>
        <v>1030</v>
      </c>
      <c r="H119" t="str">
        <f t="shared" si="12"/>
        <v>Environmental</v>
      </c>
      <c r="I119" t="str">
        <f t="shared" si="13"/>
        <v>Governance</v>
      </c>
      <c r="J119" s="19">
        <f t="shared" si="14"/>
        <v>209</v>
      </c>
      <c r="K119" s="19">
        <f t="shared" si="15"/>
        <v>88</v>
      </c>
      <c r="L119" s="19">
        <f t="shared" si="16"/>
        <v>297</v>
      </c>
      <c r="M119" s="17">
        <f t="shared" si="17"/>
        <v>297</v>
      </c>
      <c r="N119" s="22">
        <f t="shared" si="18"/>
        <v>0.4916897506925208</v>
      </c>
      <c r="O119" s="22">
        <f t="shared" si="19"/>
        <v>0.15373961218836565</v>
      </c>
      <c r="P119" s="22">
        <f t="shared" si="20"/>
        <v>0.33795013850415512</v>
      </c>
      <c r="Q119" t="str">
        <f t="shared" si="21"/>
        <v/>
      </c>
      <c r="S119">
        <f t="shared" si="22"/>
        <v>297.00098809999997</v>
      </c>
      <c r="T119" s="23">
        <f t="shared" si="23"/>
        <v>0.33893823850415511</v>
      </c>
    </row>
    <row r="120" spans="1:20" ht="15" customHeight="1" x14ac:dyDescent="0.35">
      <c r="A120" t="str">
        <f>Benchmarking!A120</f>
        <v>Alico Inc</v>
      </c>
      <c r="B120" t="str">
        <f>Benchmarking!B120</f>
        <v>alco</v>
      </c>
      <c r="C120" t="str">
        <f>Benchmarking!C120</f>
        <v>Food Products</v>
      </c>
      <c r="D120" s="17">
        <f>Benchmarking!D120</f>
        <v>500</v>
      </c>
      <c r="E120" s="17">
        <f>Benchmarking!E120</f>
        <v>300</v>
      </c>
      <c r="F120" s="17">
        <f>Benchmarking!F120</f>
        <v>300</v>
      </c>
      <c r="G120" s="17">
        <f>Benchmarking!G120</f>
        <v>1100</v>
      </c>
      <c r="H120" t="str">
        <f t="shared" si="12"/>
        <v>Environmental</v>
      </c>
      <c r="I120" t="str">
        <f t="shared" si="13"/>
        <v>Social</v>
      </c>
      <c r="J120" s="19">
        <f t="shared" si="14"/>
        <v>200</v>
      </c>
      <c r="K120" s="19">
        <f t="shared" si="15"/>
        <v>0</v>
      </c>
      <c r="L120" s="19">
        <f t="shared" si="16"/>
        <v>200</v>
      </c>
      <c r="M120" s="17">
        <f t="shared" si="17"/>
        <v>200</v>
      </c>
      <c r="N120" s="22">
        <f t="shared" si="18"/>
        <v>0.56925207756232687</v>
      </c>
      <c r="O120" s="22">
        <f t="shared" si="19"/>
        <v>0.36565096952908588</v>
      </c>
      <c r="P120" s="22">
        <f t="shared" si="20"/>
        <v>0.203601108033241</v>
      </c>
      <c r="Q120" t="str">
        <f t="shared" si="21"/>
        <v/>
      </c>
      <c r="S120">
        <f t="shared" si="22"/>
        <v>200.00098800000001</v>
      </c>
      <c r="T120" s="23">
        <f t="shared" si="23"/>
        <v>0.20458910803324099</v>
      </c>
    </row>
    <row r="121" spans="1:20" ht="15" customHeight="1" x14ac:dyDescent="0.35">
      <c r="A121" t="str">
        <f>Benchmarking!A121</f>
        <v>Aldeyra Therapeutics Inc</v>
      </c>
      <c r="B121" t="str">
        <f>Benchmarking!B121</f>
        <v>aldx</v>
      </c>
      <c r="C121" t="str">
        <f>Benchmarking!C121</f>
        <v>Biotechnology</v>
      </c>
      <c r="D121" s="17">
        <f>Benchmarking!D121</f>
        <v>231</v>
      </c>
      <c r="E121" s="17">
        <f>Benchmarking!E121</f>
        <v>261</v>
      </c>
      <c r="F121" s="17">
        <f>Benchmarking!F121</f>
        <v>235</v>
      </c>
      <c r="G121" s="17">
        <f>Benchmarking!G121</f>
        <v>727</v>
      </c>
      <c r="H121" t="str">
        <f t="shared" si="12"/>
        <v>Social</v>
      </c>
      <c r="I121" t="str">
        <f t="shared" si="13"/>
        <v>Environmental</v>
      </c>
      <c r="J121" s="19">
        <f t="shared" si="14"/>
        <v>-30</v>
      </c>
      <c r="K121" s="19">
        <f t="shared" si="15"/>
        <v>26</v>
      </c>
      <c r="L121" s="19">
        <f t="shared" si="16"/>
        <v>-4</v>
      </c>
      <c r="M121" s="17">
        <f t="shared" si="17"/>
        <v>30</v>
      </c>
      <c r="N121" s="22">
        <f t="shared" si="18"/>
        <v>0.19667590027700832</v>
      </c>
      <c r="O121" s="22">
        <f t="shared" si="19"/>
        <v>0.2146814404432133</v>
      </c>
      <c r="P121" s="22">
        <f t="shared" si="20"/>
        <v>-1.8005540166204981E-2</v>
      </c>
      <c r="Q121" t="str">
        <f t="shared" si="21"/>
        <v/>
      </c>
      <c r="S121">
        <f t="shared" si="22"/>
        <v>30.000987899999998</v>
      </c>
      <c r="T121" s="23">
        <f t="shared" si="23"/>
        <v>-1.7017640166204981E-2</v>
      </c>
    </row>
    <row r="122" spans="1:20" ht="15" customHeight="1" x14ac:dyDescent="0.35">
      <c r="A122" t="str">
        <f>Benchmarking!A122</f>
        <v>Alector Inc</v>
      </c>
      <c r="B122" t="str">
        <f>Benchmarking!B122</f>
        <v>alec</v>
      </c>
      <c r="C122" t="str">
        <f>Benchmarking!C122</f>
        <v>Biotechnology</v>
      </c>
      <c r="D122" s="17">
        <f>Benchmarking!D122</f>
        <v>240</v>
      </c>
      <c r="E122" s="17">
        <f>Benchmarking!E122</f>
        <v>277</v>
      </c>
      <c r="F122" s="17">
        <f>Benchmarking!F122</f>
        <v>300</v>
      </c>
      <c r="G122" s="17">
        <f>Benchmarking!G122</f>
        <v>817</v>
      </c>
      <c r="H122" t="str">
        <f t="shared" si="12"/>
        <v>Governance</v>
      </c>
      <c r="I122" t="str">
        <f t="shared" si="13"/>
        <v>Environmental</v>
      </c>
      <c r="J122" s="19">
        <f t="shared" si="14"/>
        <v>-37</v>
      </c>
      <c r="K122" s="19">
        <f t="shared" si="15"/>
        <v>-23</v>
      </c>
      <c r="L122" s="19">
        <f t="shared" si="16"/>
        <v>-60</v>
      </c>
      <c r="M122" s="17">
        <f t="shared" si="17"/>
        <v>60</v>
      </c>
      <c r="N122" s="22">
        <f t="shared" si="18"/>
        <v>0.30332409972299168</v>
      </c>
      <c r="O122" s="22">
        <f t="shared" si="19"/>
        <v>0.24376731301939059</v>
      </c>
      <c r="P122" s="22">
        <f t="shared" si="20"/>
        <v>5.9556786703601095E-2</v>
      </c>
      <c r="Q122" t="str">
        <f t="shared" si="21"/>
        <v/>
      </c>
      <c r="S122">
        <f t="shared" si="22"/>
        <v>60.000987799999997</v>
      </c>
      <c r="T122" s="23">
        <f t="shared" si="23"/>
        <v>6.0544586703601092E-2</v>
      </c>
    </row>
    <row r="123" spans="1:20" ht="15" customHeight="1" x14ac:dyDescent="0.35">
      <c r="A123" t="str">
        <f>Benchmarking!A123</f>
        <v>Allegro Microsystems Inc</v>
      </c>
      <c r="B123" t="str">
        <f>Benchmarking!B123</f>
        <v>algm</v>
      </c>
      <c r="C123" t="str">
        <f>Benchmarking!C123</f>
        <v>Semiconductors</v>
      </c>
      <c r="D123" s="17">
        <f>Benchmarking!D123</f>
        <v>542</v>
      </c>
      <c r="E123" s="17">
        <f>Benchmarking!E123</f>
        <v>314</v>
      </c>
      <c r="F123" s="17">
        <f>Benchmarking!F123</f>
        <v>250</v>
      </c>
      <c r="G123" s="17">
        <f>Benchmarking!G123</f>
        <v>1106</v>
      </c>
      <c r="H123" t="str">
        <f t="shared" si="12"/>
        <v>Environmental</v>
      </c>
      <c r="I123" t="str">
        <f t="shared" si="13"/>
        <v>Governance</v>
      </c>
      <c r="J123" s="19">
        <f t="shared" si="14"/>
        <v>228</v>
      </c>
      <c r="K123" s="19">
        <f t="shared" si="15"/>
        <v>64</v>
      </c>
      <c r="L123" s="19">
        <f t="shared" si="16"/>
        <v>292</v>
      </c>
      <c r="M123" s="17">
        <f t="shared" si="17"/>
        <v>292</v>
      </c>
      <c r="N123" s="22">
        <f t="shared" si="18"/>
        <v>0.6246537396121884</v>
      </c>
      <c r="O123" s="22">
        <f t="shared" si="19"/>
        <v>0.296398891966759</v>
      </c>
      <c r="P123" s="22">
        <f t="shared" si="20"/>
        <v>0.32825484764542939</v>
      </c>
      <c r="Q123" t="str">
        <f t="shared" si="21"/>
        <v/>
      </c>
      <c r="S123">
        <f t="shared" si="22"/>
        <v>292.0009877</v>
      </c>
      <c r="T123" s="23">
        <f t="shared" si="23"/>
        <v>0.32924254764542937</v>
      </c>
    </row>
    <row r="124" spans="1:20" ht="15" customHeight="1" x14ac:dyDescent="0.35">
      <c r="A124" t="str">
        <f>Benchmarking!A124</f>
        <v>Alfi Inc</v>
      </c>
      <c r="B124" t="str">
        <f>Benchmarking!B124</f>
        <v>alf</v>
      </c>
      <c r="C124" t="str">
        <f>Benchmarking!C124</f>
        <v>Technology</v>
      </c>
      <c r="D124" s="17">
        <f>Benchmarking!D124</f>
        <v>225</v>
      </c>
      <c r="E124" s="17">
        <f>Benchmarking!E124</f>
        <v>260</v>
      </c>
      <c r="F124" s="17">
        <f>Benchmarking!F124</f>
        <v>315</v>
      </c>
      <c r="G124" s="17">
        <f>Benchmarking!G124</f>
        <v>800</v>
      </c>
      <c r="H124" t="str">
        <f t="shared" si="12"/>
        <v>Governance</v>
      </c>
      <c r="I124" t="str">
        <f t="shared" si="13"/>
        <v>Environmental</v>
      </c>
      <c r="J124" s="19">
        <f t="shared" si="14"/>
        <v>-35</v>
      </c>
      <c r="K124" s="19">
        <f t="shared" si="15"/>
        <v>-55</v>
      </c>
      <c r="L124" s="19">
        <f t="shared" si="16"/>
        <v>-90</v>
      </c>
      <c r="M124" s="17">
        <f t="shared" si="17"/>
        <v>90</v>
      </c>
      <c r="N124" s="22">
        <f t="shared" si="18"/>
        <v>0.28670360110803322</v>
      </c>
      <c r="O124" s="22">
        <f t="shared" si="19"/>
        <v>0.17036011080332411</v>
      </c>
      <c r="P124" s="22">
        <f t="shared" si="20"/>
        <v>0.11634349030470911</v>
      </c>
      <c r="Q124" t="str">
        <f t="shared" si="21"/>
        <v/>
      </c>
      <c r="S124">
        <f t="shared" si="22"/>
        <v>90.000987600000002</v>
      </c>
      <c r="T124" s="23">
        <f t="shared" si="23"/>
        <v>0.11733109030470912</v>
      </c>
    </row>
    <row r="125" spans="1:20" ht="15" customHeight="1" x14ac:dyDescent="0.35">
      <c r="A125" t="str">
        <f>Benchmarking!A125</f>
        <v>Align Technology Inc</v>
      </c>
      <c r="B125" t="str">
        <f>Benchmarking!B125</f>
        <v>algn</v>
      </c>
      <c r="C125" t="str">
        <f>Benchmarking!C125</f>
        <v>Health Care</v>
      </c>
      <c r="D125" s="17">
        <f>Benchmarking!D125</f>
        <v>235</v>
      </c>
      <c r="E125" s="17">
        <f>Benchmarking!E125</f>
        <v>285</v>
      </c>
      <c r="F125" s="17">
        <f>Benchmarking!F125</f>
        <v>255</v>
      </c>
      <c r="G125" s="17">
        <f>Benchmarking!G125</f>
        <v>775</v>
      </c>
      <c r="H125" t="str">
        <f t="shared" si="12"/>
        <v>Social</v>
      </c>
      <c r="I125" t="str">
        <f t="shared" si="13"/>
        <v>Environmental</v>
      </c>
      <c r="J125" s="19">
        <f t="shared" si="14"/>
        <v>-50</v>
      </c>
      <c r="K125" s="19">
        <f t="shared" si="15"/>
        <v>30</v>
      </c>
      <c r="L125" s="19">
        <f t="shared" si="16"/>
        <v>-20</v>
      </c>
      <c r="M125" s="17">
        <f t="shared" si="17"/>
        <v>50</v>
      </c>
      <c r="N125" s="22">
        <f t="shared" si="18"/>
        <v>0.27285318559556787</v>
      </c>
      <c r="O125" s="22">
        <f t="shared" si="19"/>
        <v>0.22160664819944598</v>
      </c>
      <c r="P125" s="22">
        <f t="shared" si="20"/>
        <v>5.1246537396121894E-2</v>
      </c>
      <c r="Q125" t="str">
        <f t="shared" si="21"/>
        <v/>
      </c>
      <c r="S125">
        <f t="shared" si="22"/>
        <v>50.000987500000001</v>
      </c>
      <c r="T125" s="23">
        <f t="shared" si="23"/>
        <v>5.2234037396121896E-2</v>
      </c>
    </row>
    <row r="126" spans="1:20" ht="15" customHeight="1" x14ac:dyDescent="0.35">
      <c r="A126" t="str">
        <f>Benchmarking!A126</f>
        <v>Aligos Therapeutics Inc</v>
      </c>
      <c r="B126" t="str">
        <f>Benchmarking!B126</f>
        <v>algs</v>
      </c>
      <c r="C126" t="str">
        <f>Benchmarking!C126</f>
        <v>Biotechnology</v>
      </c>
      <c r="D126" s="17">
        <f>Benchmarking!D126</f>
        <v>210</v>
      </c>
      <c r="E126" s="17">
        <f>Benchmarking!E126</f>
        <v>222</v>
      </c>
      <c r="F126" s="17">
        <f>Benchmarking!F126</f>
        <v>235</v>
      </c>
      <c r="G126" s="17">
        <f>Benchmarking!G126</f>
        <v>667</v>
      </c>
      <c r="H126" t="str">
        <f t="shared" si="12"/>
        <v>Governance</v>
      </c>
      <c r="I126" t="str">
        <f t="shared" si="13"/>
        <v>Environmental</v>
      </c>
      <c r="J126" s="19">
        <f t="shared" si="14"/>
        <v>-12</v>
      </c>
      <c r="K126" s="19">
        <f t="shared" si="15"/>
        <v>-13</v>
      </c>
      <c r="L126" s="19">
        <f t="shared" si="16"/>
        <v>-25</v>
      </c>
      <c r="M126" s="17">
        <f t="shared" si="17"/>
        <v>25</v>
      </c>
      <c r="N126" s="22">
        <f t="shared" si="18"/>
        <v>0.12465373961218837</v>
      </c>
      <c r="O126" s="22">
        <f t="shared" si="19"/>
        <v>9.141274238227147E-2</v>
      </c>
      <c r="P126" s="22">
        <f t="shared" si="20"/>
        <v>3.3240997229916899E-2</v>
      </c>
      <c r="Q126" t="str">
        <f t="shared" si="21"/>
        <v/>
      </c>
      <c r="S126">
        <f t="shared" si="22"/>
        <v>25.0009874</v>
      </c>
      <c r="T126" s="23">
        <f t="shared" si="23"/>
        <v>3.4228397229916899E-2</v>
      </c>
    </row>
    <row r="127" spans="1:20" ht="15" customHeight="1" x14ac:dyDescent="0.35">
      <c r="A127" t="str">
        <f>Benchmarking!A127</f>
        <v>Alignment Healthcare LLC</v>
      </c>
      <c r="B127" t="str">
        <f>Benchmarking!B127</f>
        <v>alhc</v>
      </c>
      <c r="C127" t="str">
        <f>Benchmarking!C127</f>
        <v>Unclassified</v>
      </c>
      <c r="D127" s="17">
        <f>Benchmarking!D127</f>
        <v>210</v>
      </c>
      <c r="E127" s="17">
        <f>Benchmarking!E127</f>
        <v>302</v>
      </c>
      <c r="F127" s="17">
        <f>Benchmarking!F127</f>
        <v>256</v>
      </c>
      <c r="G127" s="17">
        <f>Benchmarking!G127</f>
        <v>768</v>
      </c>
      <c r="H127" t="str">
        <f t="shared" si="12"/>
        <v>Social</v>
      </c>
      <c r="I127" t="str">
        <f t="shared" si="13"/>
        <v>Environmental</v>
      </c>
      <c r="J127" s="19">
        <f t="shared" si="14"/>
        <v>-92</v>
      </c>
      <c r="K127" s="19">
        <f t="shared" si="15"/>
        <v>46</v>
      </c>
      <c r="L127" s="19">
        <f t="shared" si="16"/>
        <v>-46</v>
      </c>
      <c r="M127" s="17">
        <f t="shared" si="17"/>
        <v>92</v>
      </c>
      <c r="N127" s="22">
        <f t="shared" si="18"/>
        <v>0.25623268698060941</v>
      </c>
      <c r="O127" s="22">
        <f t="shared" si="19"/>
        <v>9.141274238227147E-2</v>
      </c>
      <c r="P127" s="22">
        <f t="shared" si="20"/>
        <v>0.16481994459833793</v>
      </c>
      <c r="Q127" t="str">
        <f t="shared" si="21"/>
        <v/>
      </c>
      <c r="S127">
        <f t="shared" si="22"/>
        <v>92.000987300000006</v>
      </c>
      <c r="T127" s="23">
        <f t="shared" si="23"/>
        <v>0.16580724459833793</v>
      </c>
    </row>
    <row r="128" spans="1:20" ht="15" customHeight="1" x14ac:dyDescent="0.35">
      <c r="A128" t="str">
        <f>Benchmarking!A128</f>
        <v>Alkermes Plc</v>
      </c>
      <c r="B128" t="str">
        <f>Benchmarking!B128</f>
        <v>alks</v>
      </c>
      <c r="C128" t="str">
        <f>Benchmarking!C128</f>
        <v>Biotechnology</v>
      </c>
      <c r="D128" s="17">
        <f>Benchmarking!D128</f>
        <v>415</v>
      </c>
      <c r="E128" s="17">
        <f>Benchmarking!E128</f>
        <v>302</v>
      </c>
      <c r="F128" s="17">
        <f>Benchmarking!F128</f>
        <v>333</v>
      </c>
      <c r="G128" s="17">
        <f>Benchmarking!G128</f>
        <v>1050</v>
      </c>
      <c r="H128" t="str">
        <f t="shared" si="12"/>
        <v>Environmental</v>
      </c>
      <c r="I128" t="str">
        <f t="shared" si="13"/>
        <v>Social</v>
      </c>
      <c r="J128" s="19">
        <f t="shared" si="14"/>
        <v>113</v>
      </c>
      <c r="K128" s="19">
        <f t="shared" si="15"/>
        <v>-31</v>
      </c>
      <c r="L128" s="19">
        <f t="shared" si="16"/>
        <v>82</v>
      </c>
      <c r="M128" s="17">
        <f t="shared" si="17"/>
        <v>113</v>
      </c>
      <c r="N128" s="22">
        <f t="shared" si="18"/>
        <v>0.50415512465373957</v>
      </c>
      <c r="O128" s="22">
        <f t="shared" si="19"/>
        <v>0.46121883656509693</v>
      </c>
      <c r="P128" s="22">
        <f t="shared" si="20"/>
        <v>4.2936288088642638E-2</v>
      </c>
      <c r="Q128" t="str">
        <f t="shared" si="21"/>
        <v/>
      </c>
      <c r="S128">
        <f t="shared" si="22"/>
        <v>113.0009872</v>
      </c>
      <c r="T128" s="23">
        <f t="shared" si="23"/>
        <v>4.3923488088642638E-2</v>
      </c>
    </row>
    <row r="129" spans="1:20" ht="15" customHeight="1" x14ac:dyDescent="0.35">
      <c r="A129" t="str">
        <f>Benchmarking!A129</f>
        <v>Alimera Sciences Inc</v>
      </c>
      <c r="B129" t="str">
        <f>Benchmarking!B129</f>
        <v>alim</v>
      </c>
      <c r="C129" t="str">
        <f>Benchmarking!C129</f>
        <v>Pharmaceuticals</v>
      </c>
      <c r="D129" s="17">
        <f>Benchmarking!D129</f>
        <v>220</v>
      </c>
      <c r="E129" s="17">
        <f>Benchmarking!E129</f>
        <v>228</v>
      </c>
      <c r="F129" s="17">
        <f>Benchmarking!F129</f>
        <v>243</v>
      </c>
      <c r="G129" s="17">
        <f>Benchmarking!G129</f>
        <v>691</v>
      </c>
      <c r="H129" t="str">
        <f t="shared" si="12"/>
        <v>Governance</v>
      </c>
      <c r="I129" t="str">
        <f t="shared" si="13"/>
        <v>Environmental</v>
      </c>
      <c r="J129" s="19">
        <f t="shared" si="14"/>
        <v>-8</v>
      </c>
      <c r="K129" s="19">
        <f t="shared" si="15"/>
        <v>-15</v>
      </c>
      <c r="L129" s="19">
        <f t="shared" si="16"/>
        <v>-23</v>
      </c>
      <c r="M129" s="17">
        <f t="shared" si="17"/>
        <v>23</v>
      </c>
      <c r="N129" s="22">
        <f t="shared" si="18"/>
        <v>0.1523545706371191</v>
      </c>
      <c r="O129" s="22">
        <f t="shared" si="19"/>
        <v>0.14681440443213298</v>
      </c>
      <c r="P129" s="22">
        <f t="shared" si="20"/>
        <v>5.5401662049861244E-3</v>
      </c>
      <c r="Q129" t="str">
        <f t="shared" si="21"/>
        <v/>
      </c>
      <c r="S129">
        <f t="shared" si="22"/>
        <v>23.0009871</v>
      </c>
      <c r="T129" s="23">
        <f t="shared" si="23"/>
        <v>6.5272662049861247E-3</v>
      </c>
    </row>
    <row r="130" spans="1:20" ht="15" customHeight="1" x14ac:dyDescent="0.35">
      <c r="A130" t="str">
        <f>Benchmarking!A130</f>
        <v>Allegiant Travel Co</v>
      </c>
      <c r="B130" t="str">
        <f>Benchmarking!B130</f>
        <v>algt</v>
      </c>
      <c r="C130" t="str">
        <f>Benchmarking!C130</f>
        <v>Airlines</v>
      </c>
      <c r="D130" s="17">
        <f>Benchmarking!D130</f>
        <v>287</v>
      </c>
      <c r="E130" s="17">
        <f>Benchmarking!E130</f>
        <v>208</v>
      </c>
      <c r="F130" s="17">
        <f>Benchmarking!F130</f>
        <v>248</v>
      </c>
      <c r="G130" s="17">
        <f>Benchmarking!G130</f>
        <v>743</v>
      </c>
      <c r="H130" t="str">
        <f t="shared" si="12"/>
        <v>Environmental</v>
      </c>
      <c r="I130" t="str">
        <f t="shared" si="13"/>
        <v>Social</v>
      </c>
      <c r="J130" s="19">
        <f t="shared" si="14"/>
        <v>79</v>
      </c>
      <c r="K130" s="19">
        <f t="shared" si="15"/>
        <v>-40</v>
      </c>
      <c r="L130" s="19">
        <f t="shared" si="16"/>
        <v>39</v>
      </c>
      <c r="M130" s="17">
        <f t="shared" si="17"/>
        <v>79</v>
      </c>
      <c r="N130" s="22">
        <f t="shared" si="18"/>
        <v>0.21606648199445982</v>
      </c>
      <c r="O130" s="22">
        <f t="shared" si="19"/>
        <v>9.833795013850416E-2</v>
      </c>
      <c r="P130" s="22">
        <f t="shared" si="20"/>
        <v>0.11772853185595566</v>
      </c>
      <c r="Q130" t="str">
        <f t="shared" si="21"/>
        <v/>
      </c>
      <c r="S130">
        <f t="shared" si="22"/>
        <v>79.000986999999995</v>
      </c>
      <c r="T130" s="23">
        <f t="shared" si="23"/>
        <v>0.11871553185595567</v>
      </c>
    </row>
    <row r="131" spans="1:20" ht="15" customHeight="1" x14ac:dyDescent="0.35">
      <c r="A131" t="str">
        <f>Benchmarking!A131</f>
        <v>Aesthetic Medical International Holdings Group Ltd</v>
      </c>
      <c r="B131" t="str">
        <f>Benchmarking!B131</f>
        <v>aih</v>
      </c>
      <c r="C131" t="str">
        <f>Benchmarking!C131</f>
        <v>Health Care</v>
      </c>
      <c r="D131" s="17">
        <f>Benchmarking!D131</f>
        <v>220</v>
      </c>
      <c r="E131" s="17">
        <f>Benchmarking!E131</f>
        <v>250</v>
      </c>
      <c r="F131" s="17">
        <f>Benchmarking!F131</f>
        <v>300</v>
      </c>
      <c r="G131" s="17">
        <f>Benchmarking!G131</f>
        <v>770</v>
      </c>
      <c r="H131" t="str">
        <f t="shared" si="12"/>
        <v>Governance</v>
      </c>
      <c r="I131" t="str">
        <f t="shared" si="13"/>
        <v>Environmental</v>
      </c>
      <c r="J131" s="19">
        <f t="shared" si="14"/>
        <v>-30</v>
      </c>
      <c r="K131" s="19">
        <f t="shared" si="15"/>
        <v>-50</v>
      </c>
      <c r="L131" s="19">
        <f t="shared" si="16"/>
        <v>-80</v>
      </c>
      <c r="M131" s="17">
        <f t="shared" si="17"/>
        <v>80</v>
      </c>
      <c r="N131" s="22">
        <f t="shared" si="18"/>
        <v>0.26454293628808867</v>
      </c>
      <c r="O131" s="22">
        <f t="shared" si="19"/>
        <v>0.14681440443213298</v>
      </c>
      <c r="P131" s="22">
        <f t="shared" si="20"/>
        <v>0.11772853185595569</v>
      </c>
      <c r="Q131" t="str">
        <f t="shared" si="21"/>
        <v/>
      </c>
      <c r="S131">
        <f t="shared" si="22"/>
        <v>80.000986900000001</v>
      </c>
      <c r="T131" s="23">
        <f t="shared" si="23"/>
        <v>0.11871543185595569</v>
      </c>
    </row>
    <row r="132" spans="1:20" ht="15" customHeight="1" x14ac:dyDescent="0.35">
      <c r="A132" t="str">
        <f>Benchmarking!A132</f>
        <v>Alkami Technology Inc</v>
      </c>
      <c r="B132" t="str">
        <f>Benchmarking!B132</f>
        <v>alkt</v>
      </c>
      <c r="C132" t="str">
        <f>Benchmarking!C132</f>
        <v>Technology</v>
      </c>
      <c r="D132" s="17">
        <f>Benchmarking!D132</f>
        <v>280</v>
      </c>
      <c r="E132" s="17">
        <f>Benchmarking!E132</f>
        <v>305</v>
      </c>
      <c r="F132" s="17">
        <f>Benchmarking!F132</f>
        <v>260</v>
      </c>
      <c r="G132" s="17">
        <f>Benchmarking!G132</f>
        <v>845</v>
      </c>
      <c r="H132" t="str">
        <f t="shared" ref="H132:H195" si="24">IF(AND(D132&gt;=E132,D132&gt;=F132),"Environmental",IF(AND(E132&gt;=D132,E132&gt;=F132),"Social","Governance"))</f>
        <v>Social</v>
      </c>
      <c r="I132" t="str">
        <f t="shared" ref="I132:I195" si="25">IF(AND(D132&lt;=E132,D132&lt;=F132),"Environmental",IF(AND(E132&lt;=D132,E132&lt;=F132),"Social","Governance"))</f>
        <v>Governance</v>
      </c>
      <c r="J132" s="19">
        <f t="shared" ref="J132:J195" si="26">D132-E132</f>
        <v>-25</v>
      </c>
      <c r="K132" s="19">
        <f t="shared" ref="K132:K195" si="27">E132-F132</f>
        <v>45</v>
      </c>
      <c r="L132" s="19">
        <f t="shared" ref="L132:L195" si="28">D132-F132</f>
        <v>20</v>
      </c>
      <c r="M132" s="17">
        <f t="shared" ref="M132:M195" si="29">MAX(D132:F132)-MIN(D132:F132)</f>
        <v>45</v>
      </c>
      <c r="N132" s="22">
        <f t="shared" ref="N132:N195" si="30">RANK(G132,$G$4:$G$725,1)/COUNT($G$4:$G$725)</f>
        <v>0.33518005540166207</v>
      </c>
      <c r="O132" s="22">
        <f t="shared" ref="O132:O195" si="31">MIN(RANK(D132,$D$4:$D$725,1)/COUNT($D$4:$D$725),RANK(E132,$E$4:$E$725,1)/COUNT($E$4:$E$725),RANK(F132,$F$4:$F$725,1)/COUNT($F$4:$F$725))</f>
        <v>0.31855955678670361</v>
      </c>
      <c r="P132" s="22">
        <f t="shared" ref="P132:P195" si="32">N132-O132</f>
        <v>1.6620498614958457E-2</v>
      </c>
      <c r="Q132" t="str">
        <f t="shared" ref="Q132:Q195" si="33">IF(AND(N132&gt;=0.7,P132&gt;=0.4),"High ESG / weak pillar (analytical flag - not an ESG rating) - warrants investigation","")</f>
        <v/>
      </c>
      <c r="S132">
        <f t="shared" ref="S132:S195" si="34">M132+(10000-ROW())/10000000</f>
        <v>45.0009868</v>
      </c>
      <c r="T132" s="23">
        <f t="shared" ref="T132:T195" si="35">P132+(10000-ROW())/10000000</f>
        <v>1.7607298614958456E-2</v>
      </c>
    </row>
    <row r="133" spans="1:20" ht="15" customHeight="1" x14ac:dyDescent="0.35">
      <c r="A133" t="str">
        <f>Benchmarking!A133</f>
        <v>Alnylam Pharmaceuticals Inc</v>
      </c>
      <c r="B133" t="str">
        <f>Benchmarking!B133</f>
        <v>alny</v>
      </c>
      <c r="C133" t="str">
        <f>Benchmarking!C133</f>
        <v>Biotechnology</v>
      </c>
      <c r="D133" s="17">
        <f>Benchmarking!D133</f>
        <v>331</v>
      </c>
      <c r="E133" s="17">
        <f>Benchmarking!E133</f>
        <v>346</v>
      </c>
      <c r="F133" s="17">
        <f>Benchmarking!F133</f>
        <v>325</v>
      </c>
      <c r="G133" s="17">
        <f>Benchmarking!G133</f>
        <v>1002</v>
      </c>
      <c r="H133" t="str">
        <f t="shared" si="24"/>
        <v>Social</v>
      </c>
      <c r="I133" t="str">
        <f t="shared" si="25"/>
        <v>Governance</v>
      </c>
      <c r="J133" s="19">
        <f t="shared" si="26"/>
        <v>-15</v>
      </c>
      <c r="K133" s="19">
        <f t="shared" si="27"/>
        <v>21</v>
      </c>
      <c r="L133" s="19">
        <f t="shared" si="28"/>
        <v>6</v>
      </c>
      <c r="M133" s="17">
        <f t="shared" si="29"/>
        <v>21</v>
      </c>
      <c r="N133" s="22">
        <f t="shared" si="30"/>
        <v>0.47091412742382271</v>
      </c>
      <c r="O133" s="22">
        <f t="shared" si="31"/>
        <v>0.38642659279778391</v>
      </c>
      <c r="P133" s="22">
        <f t="shared" si="32"/>
        <v>8.4487534626038807E-2</v>
      </c>
      <c r="Q133" t="str">
        <f t="shared" si="33"/>
        <v/>
      </c>
      <c r="S133">
        <f t="shared" si="34"/>
        <v>21.000986699999999</v>
      </c>
      <c r="T133" s="23">
        <f t="shared" si="35"/>
        <v>8.5474234626038814E-2</v>
      </c>
    </row>
    <row r="134" spans="1:20" ht="15" customHeight="1" x14ac:dyDescent="0.35">
      <c r="A134" t="str">
        <f>Benchmarking!A134</f>
        <v>Allot Ltd</v>
      </c>
      <c r="B134" t="str">
        <f>Benchmarking!B134</f>
        <v>allt</v>
      </c>
      <c r="C134" t="str">
        <f>Benchmarking!C134</f>
        <v>Technology</v>
      </c>
      <c r="D134" s="17">
        <f>Benchmarking!D134</f>
        <v>508</v>
      </c>
      <c r="E134" s="17">
        <f>Benchmarking!E134</f>
        <v>324</v>
      </c>
      <c r="F134" s="17">
        <f>Benchmarking!F134</f>
        <v>310</v>
      </c>
      <c r="G134" s="17">
        <f>Benchmarking!G134</f>
        <v>1142</v>
      </c>
      <c r="H134" t="str">
        <f t="shared" si="24"/>
        <v>Environmental</v>
      </c>
      <c r="I134" t="str">
        <f t="shared" si="25"/>
        <v>Governance</v>
      </c>
      <c r="J134" s="19">
        <f t="shared" si="26"/>
        <v>184</v>
      </c>
      <c r="K134" s="19">
        <f t="shared" si="27"/>
        <v>14</v>
      </c>
      <c r="L134" s="19">
        <f t="shared" si="28"/>
        <v>198</v>
      </c>
      <c r="M134" s="17">
        <f t="shared" si="29"/>
        <v>198</v>
      </c>
      <c r="N134" s="22">
        <f t="shared" si="30"/>
        <v>0.74238227146814406</v>
      </c>
      <c r="O134" s="22">
        <f t="shared" si="31"/>
        <v>0.65927977839335183</v>
      </c>
      <c r="P134" s="22">
        <f t="shared" si="32"/>
        <v>8.3102493074792227E-2</v>
      </c>
      <c r="Q134" t="str">
        <f t="shared" si="33"/>
        <v/>
      </c>
      <c r="S134">
        <f t="shared" si="34"/>
        <v>198.0009866</v>
      </c>
      <c r="T134" s="23">
        <f t="shared" si="35"/>
        <v>8.4089093074792232E-2</v>
      </c>
    </row>
    <row r="135" spans="1:20" ht="15" customHeight="1" x14ac:dyDescent="0.35">
      <c r="A135" t="str">
        <f>Benchmarking!A135</f>
        <v>Allogene Therapeutics Inc</v>
      </c>
      <c r="B135" t="str">
        <f>Benchmarking!B135</f>
        <v>allo</v>
      </c>
      <c r="C135" t="str">
        <f>Benchmarking!C135</f>
        <v>Biotechnology</v>
      </c>
      <c r="D135" s="17">
        <f>Benchmarking!D135</f>
        <v>535</v>
      </c>
      <c r="E135" s="17">
        <f>Benchmarking!E135</f>
        <v>324</v>
      </c>
      <c r="F135" s="17">
        <f>Benchmarking!F135</f>
        <v>305</v>
      </c>
      <c r="G135" s="17">
        <f>Benchmarking!G135</f>
        <v>1164</v>
      </c>
      <c r="H135" t="str">
        <f t="shared" si="24"/>
        <v>Environmental</v>
      </c>
      <c r="I135" t="str">
        <f t="shared" si="25"/>
        <v>Governance</v>
      </c>
      <c r="J135" s="19">
        <f t="shared" si="26"/>
        <v>211</v>
      </c>
      <c r="K135" s="19">
        <f t="shared" si="27"/>
        <v>19</v>
      </c>
      <c r="L135" s="19">
        <f t="shared" si="28"/>
        <v>230</v>
      </c>
      <c r="M135" s="17">
        <f t="shared" si="29"/>
        <v>230</v>
      </c>
      <c r="N135" s="22">
        <f t="shared" si="30"/>
        <v>0.80886426592797789</v>
      </c>
      <c r="O135" s="22">
        <f t="shared" si="31"/>
        <v>0.63296398891966754</v>
      </c>
      <c r="P135" s="22">
        <f t="shared" si="32"/>
        <v>0.17590027700831035</v>
      </c>
      <c r="Q135" t="str">
        <f t="shared" si="33"/>
        <v/>
      </c>
      <c r="S135">
        <f t="shared" si="34"/>
        <v>230.00098650000001</v>
      </c>
      <c r="T135" s="23">
        <f t="shared" si="35"/>
        <v>0.17688677700831035</v>
      </c>
    </row>
    <row r="136" spans="1:20" ht="15" customHeight="1" x14ac:dyDescent="0.35">
      <c r="A136" t="str">
        <f>Benchmarking!A136</f>
        <v>Applied Materials Inc</v>
      </c>
      <c r="B136" t="str">
        <f>Benchmarking!B136</f>
        <v>amat</v>
      </c>
      <c r="C136" t="str">
        <f>Benchmarking!C136</f>
        <v>Semiconductors</v>
      </c>
      <c r="D136" s="17">
        <f>Benchmarking!D136</f>
        <v>525</v>
      </c>
      <c r="E136" s="17">
        <f>Benchmarking!E136</f>
        <v>317</v>
      </c>
      <c r="F136" s="17">
        <f>Benchmarking!F136</f>
        <v>300</v>
      </c>
      <c r="G136" s="17">
        <f>Benchmarking!G136</f>
        <v>1142</v>
      </c>
      <c r="H136" t="str">
        <f t="shared" si="24"/>
        <v>Environmental</v>
      </c>
      <c r="I136" t="str">
        <f t="shared" si="25"/>
        <v>Governance</v>
      </c>
      <c r="J136" s="19">
        <f t="shared" si="26"/>
        <v>208</v>
      </c>
      <c r="K136" s="19">
        <f t="shared" si="27"/>
        <v>17</v>
      </c>
      <c r="L136" s="19">
        <f t="shared" si="28"/>
        <v>225</v>
      </c>
      <c r="M136" s="17">
        <f t="shared" si="29"/>
        <v>225</v>
      </c>
      <c r="N136" s="22">
        <f t="shared" si="30"/>
        <v>0.74238227146814406</v>
      </c>
      <c r="O136" s="22">
        <f t="shared" si="31"/>
        <v>0.39335180055401664</v>
      </c>
      <c r="P136" s="22">
        <f t="shared" si="32"/>
        <v>0.34903047091412742</v>
      </c>
      <c r="Q136" t="str">
        <f t="shared" si="33"/>
        <v/>
      </c>
      <c r="S136">
        <f t="shared" si="34"/>
        <v>225.00098639999999</v>
      </c>
      <c r="T136" s="23">
        <f t="shared" si="35"/>
        <v>0.35001687091412742</v>
      </c>
    </row>
    <row r="137" spans="1:20" ht="15" customHeight="1" x14ac:dyDescent="0.35">
      <c r="A137" t="str">
        <f>Benchmarking!A137</f>
        <v>Advanced Micro Devices Inc</v>
      </c>
      <c r="B137" t="str">
        <f>Benchmarking!B137</f>
        <v>amd</v>
      </c>
      <c r="C137" t="str">
        <f>Benchmarking!C137</f>
        <v>Semiconductors</v>
      </c>
      <c r="D137" s="17">
        <f>Benchmarking!D137</f>
        <v>200</v>
      </c>
      <c r="E137" s="17">
        <f>Benchmarking!E137</f>
        <v>208</v>
      </c>
      <c r="F137" s="17">
        <f>Benchmarking!F137</f>
        <v>200</v>
      </c>
      <c r="G137" s="17">
        <f>Benchmarking!G137</f>
        <v>608</v>
      </c>
      <c r="H137" t="str">
        <f t="shared" si="24"/>
        <v>Social</v>
      </c>
      <c r="I137" t="str">
        <f t="shared" si="25"/>
        <v>Environmental</v>
      </c>
      <c r="J137" s="19">
        <f t="shared" si="26"/>
        <v>-8</v>
      </c>
      <c r="K137" s="19">
        <f t="shared" si="27"/>
        <v>8</v>
      </c>
      <c r="L137" s="19">
        <f t="shared" si="28"/>
        <v>0</v>
      </c>
      <c r="M137" s="17">
        <f t="shared" si="29"/>
        <v>8</v>
      </c>
      <c r="N137" s="22">
        <f t="shared" si="30"/>
        <v>2.2160664819944598E-2</v>
      </c>
      <c r="O137" s="22">
        <f t="shared" si="31"/>
        <v>1.3850415512465374E-3</v>
      </c>
      <c r="P137" s="22">
        <f t="shared" si="32"/>
        <v>2.077562326869806E-2</v>
      </c>
      <c r="Q137" t="str">
        <f t="shared" si="33"/>
        <v/>
      </c>
      <c r="S137">
        <f t="shared" si="34"/>
        <v>8.0009862999999992</v>
      </c>
      <c r="T137" s="23">
        <f t="shared" si="35"/>
        <v>2.1761923268698059E-2</v>
      </c>
    </row>
    <row r="138" spans="1:20" ht="15" customHeight="1" x14ac:dyDescent="0.35">
      <c r="A138" t="str">
        <f>Benchmarking!A138</f>
        <v>Activision Blizzard Inc</v>
      </c>
      <c r="B138" t="str">
        <f>Benchmarking!B138</f>
        <v>atvi</v>
      </c>
      <c r="C138" t="str">
        <f>Benchmarking!C138</f>
        <v>Media</v>
      </c>
      <c r="D138" s="17">
        <f>Benchmarking!D138</f>
        <v>280</v>
      </c>
      <c r="E138" s="17">
        <f>Benchmarking!E138</f>
        <v>347</v>
      </c>
      <c r="F138" s="17">
        <f>Benchmarking!F138</f>
        <v>330</v>
      </c>
      <c r="G138" s="17">
        <f>Benchmarking!G138</f>
        <v>957</v>
      </c>
      <c r="H138" t="str">
        <f t="shared" si="24"/>
        <v>Social</v>
      </c>
      <c r="I138" t="str">
        <f t="shared" si="25"/>
        <v>Environmental</v>
      </c>
      <c r="J138" s="19">
        <f t="shared" si="26"/>
        <v>-67</v>
      </c>
      <c r="K138" s="19">
        <f t="shared" si="27"/>
        <v>17</v>
      </c>
      <c r="L138" s="19">
        <f t="shared" si="28"/>
        <v>-50</v>
      </c>
      <c r="M138" s="17">
        <f t="shared" si="29"/>
        <v>67</v>
      </c>
      <c r="N138" s="22">
        <f t="shared" si="30"/>
        <v>0.4293628808864266</v>
      </c>
      <c r="O138" s="22">
        <f t="shared" si="31"/>
        <v>0.31855955678670361</v>
      </c>
      <c r="P138" s="22">
        <f t="shared" si="32"/>
        <v>0.11080332409972299</v>
      </c>
      <c r="Q138" t="str">
        <f t="shared" si="33"/>
        <v/>
      </c>
      <c r="S138">
        <f t="shared" si="34"/>
        <v>67.0009862</v>
      </c>
      <c r="T138" s="23">
        <f t="shared" si="35"/>
        <v>0.11178952409972299</v>
      </c>
    </row>
    <row r="139" spans="1:20" ht="15" customHeight="1" x14ac:dyDescent="0.35">
      <c r="A139" t="str">
        <f>Benchmarking!A139</f>
        <v>Broadcom Inc</v>
      </c>
      <c r="B139" t="str">
        <f>Benchmarking!B139</f>
        <v>avgo</v>
      </c>
      <c r="C139" t="str">
        <f>Benchmarking!C139</f>
        <v>Semiconductors</v>
      </c>
      <c r="D139" s="17">
        <f>Benchmarking!D139</f>
        <v>210</v>
      </c>
      <c r="E139" s="17">
        <f>Benchmarking!E139</f>
        <v>212</v>
      </c>
      <c r="F139" s="17">
        <f>Benchmarking!F139</f>
        <v>200</v>
      </c>
      <c r="G139" s="17">
        <f>Benchmarking!G139</f>
        <v>622</v>
      </c>
      <c r="H139" t="str">
        <f t="shared" si="24"/>
        <v>Social</v>
      </c>
      <c r="I139" t="str">
        <f t="shared" si="25"/>
        <v>Governance</v>
      </c>
      <c r="J139" s="19">
        <f t="shared" si="26"/>
        <v>-2</v>
      </c>
      <c r="K139" s="19">
        <f t="shared" si="27"/>
        <v>12</v>
      </c>
      <c r="L139" s="19">
        <f t="shared" si="28"/>
        <v>10</v>
      </c>
      <c r="M139" s="17">
        <f t="shared" si="29"/>
        <v>12</v>
      </c>
      <c r="N139" s="22">
        <f t="shared" si="30"/>
        <v>4.7091412742382273E-2</v>
      </c>
      <c r="O139" s="22">
        <f t="shared" si="31"/>
        <v>2.7700831024930748E-3</v>
      </c>
      <c r="P139" s="22">
        <f t="shared" si="32"/>
        <v>4.4321329639889197E-2</v>
      </c>
      <c r="Q139" t="str">
        <f t="shared" si="33"/>
        <v/>
      </c>
      <c r="S139">
        <f t="shared" si="34"/>
        <v>12.0009861</v>
      </c>
      <c r="T139" s="23">
        <f t="shared" si="35"/>
        <v>4.5307429639889193E-2</v>
      </c>
    </row>
    <row r="140" spans="1:20" ht="15" customHeight="1" x14ac:dyDescent="0.35">
      <c r="A140" t="str">
        <f>Benchmarking!A140</f>
        <v>ANSYS Inc</v>
      </c>
      <c r="B140" t="str">
        <f>Benchmarking!B140</f>
        <v>anss</v>
      </c>
      <c r="C140" t="str">
        <f>Benchmarking!C140</f>
        <v>Technology</v>
      </c>
      <c r="D140" s="17">
        <f>Benchmarking!D140</f>
        <v>580</v>
      </c>
      <c r="E140" s="17">
        <f>Benchmarking!E140</f>
        <v>337</v>
      </c>
      <c r="F140" s="17">
        <f>Benchmarking!F140</f>
        <v>285</v>
      </c>
      <c r="G140" s="17">
        <f>Benchmarking!G140</f>
        <v>1202</v>
      </c>
      <c r="H140" t="str">
        <f t="shared" si="24"/>
        <v>Environmental</v>
      </c>
      <c r="I140" t="str">
        <f t="shared" si="25"/>
        <v>Governance</v>
      </c>
      <c r="J140" s="19">
        <f t="shared" si="26"/>
        <v>243</v>
      </c>
      <c r="K140" s="19">
        <f t="shared" si="27"/>
        <v>52</v>
      </c>
      <c r="L140" s="19">
        <f t="shared" si="28"/>
        <v>295</v>
      </c>
      <c r="M140" s="17">
        <f t="shared" si="29"/>
        <v>295</v>
      </c>
      <c r="N140" s="22">
        <f t="shared" si="30"/>
        <v>0.88919667590027696</v>
      </c>
      <c r="O140" s="22">
        <f t="shared" si="31"/>
        <v>0.3670360110803324</v>
      </c>
      <c r="P140" s="22">
        <f t="shared" si="32"/>
        <v>0.52216066481994461</v>
      </c>
      <c r="Q140" t="str">
        <f t="shared" si="33"/>
        <v>High ESG / weak pillar (analytical flag - not an ESG rating) - warrants investigation</v>
      </c>
      <c r="S140">
        <f t="shared" si="34"/>
        <v>295.00098600000001</v>
      </c>
      <c r="T140" s="23">
        <f t="shared" si="35"/>
        <v>0.52314666481994465</v>
      </c>
    </row>
    <row r="141" spans="1:20" ht="15" customHeight="1" x14ac:dyDescent="0.35">
      <c r="A141" t="str">
        <f>Benchmarking!A141</f>
        <v>Amazon.com Inc</v>
      </c>
      <c r="B141" t="str">
        <f>Benchmarking!B141</f>
        <v>amzn</v>
      </c>
      <c r="C141" t="str">
        <f>Benchmarking!C141</f>
        <v>Retail</v>
      </c>
      <c r="D141" s="17">
        <f>Benchmarking!D141</f>
        <v>668</v>
      </c>
      <c r="E141" s="17">
        <f>Benchmarking!E141</f>
        <v>305</v>
      </c>
      <c r="F141" s="17">
        <f>Benchmarking!F141</f>
        <v>460</v>
      </c>
      <c r="G141" s="17">
        <f>Benchmarking!G141</f>
        <v>1433</v>
      </c>
      <c r="H141" t="str">
        <f t="shared" si="24"/>
        <v>Environmental</v>
      </c>
      <c r="I141" t="str">
        <f t="shared" si="25"/>
        <v>Social</v>
      </c>
      <c r="J141" s="19">
        <f t="shared" si="26"/>
        <v>363</v>
      </c>
      <c r="K141" s="19">
        <f t="shared" si="27"/>
        <v>-155</v>
      </c>
      <c r="L141" s="19">
        <f t="shared" si="28"/>
        <v>208</v>
      </c>
      <c r="M141" s="17">
        <f t="shared" si="29"/>
        <v>363</v>
      </c>
      <c r="N141" s="22">
        <f t="shared" si="30"/>
        <v>0.99307479224376727</v>
      </c>
      <c r="O141" s="22">
        <f t="shared" si="31"/>
        <v>0.56371191135734067</v>
      </c>
      <c r="P141" s="22">
        <f t="shared" si="32"/>
        <v>0.4293628808864266</v>
      </c>
      <c r="Q141" t="str">
        <f t="shared" si="33"/>
        <v>High ESG / weak pillar (analytical flag - not an ESG rating) - warrants investigation</v>
      </c>
      <c r="S141">
        <f t="shared" si="34"/>
        <v>363.00098589999999</v>
      </c>
      <c r="T141" s="23">
        <f t="shared" si="35"/>
        <v>0.43034878088642659</v>
      </c>
    </row>
    <row r="142" spans="1:20" ht="15" customHeight="1" x14ac:dyDescent="0.35">
      <c r="A142" t="str">
        <f>Benchmarking!A142</f>
        <v>Senmiao Technology Ltd</v>
      </c>
      <c r="B142" t="str">
        <f>Benchmarking!B142</f>
        <v>aihs</v>
      </c>
      <c r="C142" t="str">
        <f>Benchmarking!C142</f>
        <v>Financial Services</v>
      </c>
      <c r="D142" s="17">
        <f>Benchmarking!D142</f>
        <v>220</v>
      </c>
      <c r="E142" s="17">
        <f>Benchmarking!E142</f>
        <v>203</v>
      </c>
      <c r="F142" s="17">
        <f>Benchmarking!F142</f>
        <v>200</v>
      </c>
      <c r="G142" s="17">
        <f>Benchmarking!G142</f>
        <v>623</v>
      </c>
      <c r="H142" t="str">
        <f t="shared" si="24"/>
        <v>Environmental</v>
      </c>
      <c r="I142" t="str">
        <f t="shared" si="25"/>
        <v>Governance</v>
      </c>
      <c r="J142" s="19">
        <f t="shared" si="26"/>
        <v>17</v>
      </c>
      <c r="K142" s="19">
        <f t="shared" si="27"/>
        <v>3</v>
      </c>
      <c r="L142" s="19">
        <f t="shared" si="28"/>
        <v>20</v>
      </c>
      <c r="M142" s="17">
        <f t="shared" si="29"/>
        <v>20</v>
      </c>
      <c r="N142" s="22">
        <f t="shared" si="30"/>
        <v>4.8476454293628811E-2</v>
      </c>
      <c r="O142" s="22">
        <f t="shared" si="31"/>
        <v>2.7700831024930748E-3</v>
      </c>
      <c r="P142" s="22">
        <f t="shared" si="32"/>
        <v>4.5706371191135735E-2</v>
      </c>
      <c r="Q142" t="str">
        <f t="shared" si="33"/>
        <v/>
      </c>
      <c r="S142">
        <f t="shared" si="34"/>
        <v>20.000985799999999</v>
      </c>
      <c r="T142" s="23">
        <f t="shared" si="35"/>
        <v>4.6692171191135737E-2</v>
      </c>
    </row>
    <row r="143" spans="1:20" ht="15" customHeight="1" x14ac:dyDescent="0.35">
      <c r="A143" t="str">
        <f>Benchmarking!A143</f>
        <v>APA Corp (US)</v>
      </c>
      <c r="B143" t="str">
        <f>Benchmarking!B143</f>
        <v>apa</v>
      </c>
      <c r="C143" t="str">
        <f>Benchmarking!C143</f>
        <v>Energy</v>
      </c>
      <c r="D143" s="17">
        <f>Benchmarking!D143</f>
        <v>510</v>
      </c>
      <c r="E143" s="17">
        <f>Benchmarking!E143</f>
        <v>316</v>
      </c>
      <c r="F143" s="17">
        <f>Benchmarking!F143</f>
        <v>325</v>
      </c>
      <c r="G143" s="17">
        <f>Benchmarking!G143</f>
        <v>1151</v>
      </c>
      <c r="H143" t="str">
        <f t="shared" si="24"/>
        <v>Environmental</v>
      </c>
      <c r="I143" t="str">
        <f t="shared" si="25"/>
        <v>Social</v>
      </c>
      <c r="J143" s="19">
        <f t="shared" si="26"/>
        <v>194</v>
      </c>
      <c r="K143" s="19">
        <f t="shared" si="27"/>
        <v>-9</v>
      </c>
      <c r="L143" s="19">
        <f t="shared" si="28"/>
        <v>185</v>
      </c>
      <c r="M143" s="17">
        <f t="shared" si="29"/>
        <v>194</v>
      </c>
      <c r="N143" s="22">
        <f t="shared" si="30"/>
        <v>0.77146814404432129</v>
      </c>
      <c r="O143" s="22">
        <f t="shared" si="31"/>
        <v>0.66620498614958445</v>
      </c>
      <c r="P143" s="22">
        <f t="shared" si="32"/>
        <v>0.10526315789473684</v>
      </c>
      <c r="Q143" t="str">
        <f t="shared" si="33"/>
        <v/>
      </c>
      <c r="S143">
        <f t="shared" si="34"/>
        <v>194.0009857</v>
      </c>
      <c r="T143" s="23">
        <f t="shared" si="35"/>
        <v>0.10624885789473684</v>
      </c>
    </row>
    <row r="144" spans="1:20" ht="15" customHeight="1" x14ac:dyDescent="0.35">
      <c r="A144" t="str">
        <f>Benchmarking!A144</f>
        <v>Biogen Inc</v>
      </c>
      <c r="B144" t="str">
        <f>Benchmarking!B144</f>
        <v>biib</v>
      </c>
      <c r="C144" t="str">
        <f>Benchmarking!C144</f>
        <v>Biotechnology</v>
      </c>
      <c r="D144" s="17">
        <f>Benchmarking!D144</f>
        <v>380</v>
      </c>
      <c r="E144" s="17">
        <f>Benchmarking!E144</f>
        <v>303</v>
      </c>
      <c r="F144" s="17">
        <f>Benchmarking!F144</f>
        <v>364</v>
      </c>
      <c r="G144" s="17">
        <f>Benchmarking!G144</f>
        <v>1047</v>
      </c>
      <c r="H144" t="str">
        <f t="shared" si="24"/>
        <v>Environmental</v>
      </c>
      <c r="I144" t="str">
        <f t="shared" si="25"/>
        <v>Social</v>
      </c>
      <c r="J144" s="19">
        <f t="shared" si="26"/>
        <v>77</v>
      </c>
      <c r="K144" s="19">
        <f t="shared" si="27"/>
        <v>-61</v>
      </c>
      <c r="L144" s="19">
        <f t="shared" si="28"/>
        <v>16</v>
      </c>
      <c r="M144" s="17">
        <f t="shared" si="29"/>
        <v>77</v>
      </c>
      <c r="N144" s="22">
        <f t="shared" si="30"/>
        <v>0.50138504155124652</v>
      </c>
      <c r="O144" s="22">
        <f t="shared" si="31"/>
        <v>0.44182825484764543</v>
      </c>
      <c r="P144" s="22">
        <f t="shared" si="32"/>
        <v>5.9556786703601095E-2</v>
      </c>
      <c r="Q144" t="str">
        <f t="shared" si="33"/>
        <v/>
      </c>
      <c r="S144">
        <f t="shared" si="34"/>
        <v>77.000985600000007</v>
      </c>
      <c r="T144" s="23">
        <f t="shared" si="35"/>
        <v>6.0542386703601098E-2</v>
      </c>
    </row>
    <row r="145" spans="1:20" ht="15" customHeight="1" x14ac:dyDescent="0.35">
      <c r="A145" t="str">
        <f>Benchmarking!A145</f>
        <v>Booking Holdings Inc</v>
      </c>
      <c r="B145" t="str">
        <f>Benchmarking!B145</f>
        <v>bkng</v>
      </c>
      <c r="C145" t="str">
        <f>Benchmarking!C145</f>
        <v>Hotels Restaurants &amp; Leisure</v>
      </c>
      <c r="D145" s="17">
        <f>Benchmarking!D145</f>
        <v>558</v>
      </c>
      <c r="E145" s="17">
        <f>Benchmarking!E145</f>
        <v>306</v>
      </c>
      <c r="F145" s="17">
        <f>Benchmarking!F145</f>
        <v>310</v>
      </c>
      <c r="G145" s="17">
        <f>Benchmarking!G145</f>
        <v>1174</v>
      </c>
      <c r="H145" t="str">
        <f t="shared" si="24"/>
        <v>Environmental</v>
      </c>
      <c r="I145" t="str">
        <f t="shared" si="25"/>
        <v>Social</v>
      </c>
      <c r="J145" s="19">
        <f t="shared" si="26"/>
        <v>252</v>
      </c>
      <c r="K145" s="19">
        <f t="shared" si="27"/>
        <v>-4</v>
      </c>
      <c r="L145" s="19">
        <f t="shared" si="28"/>
        <v>248</v>
      </c>
      <c r="M145" s="17">
        <f t="shared" si="29"/>
        <v>252</v>
      </c>
      <c r="N145" s="22">
        <f t="shared" si="30"/>
        <v>0.83795013850415512</v>
      </c>
      <c r="O145" s="22">
        <f t="shared" si="31"/>
        <v>0.58033240997229918</v>
      </c>
      <c r="P145" s="22">
        <f t="shared" si="32"/>
        <v>0.25761772853185594</v>
      </c>
      <c r="Q145" t="str">
        <f t="shared" si="33"/>
        <v/>
      </c>
      <c r="S145">
        <f t="shared" si="34"/>
        <v>252.00098550000001</v>
      </c>
      <c r="T145" s="23">
        <f t="shared" si="35"/>
        <v>0.25860322853185591</v>
      </c>
    </row>
    <row r="146" spans="1:20" ht="15" customHeight="1" x14ac:dyDescent="0.35">
      <c r="A146" t="str">
        <f>Benchmarking!A146</f>
        <v>Cadence Design Systems Inc</v>
      </c>
      <c r="B146" t="str">
        <f>Benchmarking!B146</f>
        <v>cdns</v>
      </c>
      <c r="C146" t="str">
        <f>Benchmarking!C146</f>
        <v>Technology</v>
      </c>
      <c r="D146" s="17">
        <f>Benchmarking!D146</f>
        <v>500</v>
      </c>
      <c r="E146" s="17">
        <f>Benchmarking!E146</f>
        <v>308</v>
      </c>
      <c r="F146" s="17">
        <f>Benchmarking!F146</f>
        <v>295</v>
      </c>
      <c r="G146" s="17">
        <f>Benchmarking!G146</f>
        <v>1103</v>
      </c>
      <c r="H146" t="str">
        <f t="shared" si="24"/>
        <v>Environmental</v>
      </c>
      <c r="I146" t="str">
        <f t="shared" si="25"/>
        <v>Governance</v>
      </c>
      <c r="J146" s="19">
        <f t="shared" si="26"/>
        <v>192</v>
      </c>
      <c r="K146" s="19">
        <f t="shared" si="27"/>
        <v>13</v>
      </c>
      <c r="L146" s="19">
        <f t="shared" si="28"/>
        <v>205</v>
      </c>
      <c r="M146" s="17">
        <f t="shared" si="29"/>
        <v>205</v>
      </c>
      <c r="N146" s="22">
        <f t="shared" si="30"/>
        <v>0.61634349030470914</v>
      </c>
      <c r="O146" s="22">
        <f t="shared" si="31"/>
        <v>0.38227146814404434</v>
      </c>
      <c r="P146" s="22">
        <f t="shared" si="32"/>
        <v>0.23407202216066481</v>
      </c>
      <c r="Q146" t="str">
        <f t="shared" si="33"/>
        <v/>
      </c>
      <c r="S146">
        <f t="shared" si="34"/>
        <v>205.00098539999999</v>
      </c>
      <c r="T146" s="23">
        <f t="shared" si="35"/>
        <v>0.2350574221606648</v>
      </c>
    </row>
    <row r="147" spans="1:20" ht="15" customHeight="1" x14ac:dyDescent="0.35">
      <c r="A147" t="str">
        <f>Benchmarking!A147</f>
        <v>CDW Corp</v>
      </c>
      <c r="B147" t="str">
        <f>Benchmarking!B147</f>
        <v>cdw</v>
      </c>
      <c r="C147" t="str">
        <f>Benchmarking!C147</f>
        <v>Electrical Equipment</v>
      </c>
      <c r="D147" s="17">
        <f>Benchmarking!D147</f>
        <v>225</v>
      </c>
      <c r="E147" s="17">
        <f>Benchmarking!E147</f>
        <v>209</v>
      </c>
      <c r="F147" s="17">
        <f>Benchmarking!F147</f>
        <v>200</v>
      </c>
      <c r="G147" s="17">
        <f>Benchmarking!G147</f>
        <v>634</v>
      </c>
      <c r="H147" t="str">
        <f t="shared" si="24"/>
        <v>Environmental</v>
      </c>
      <c r="I147" t="str">
        <f t="shared" si="25"/>
        <v>Governance</v>
      </c>
      <c r="J147" s="19">
        <f t="shared" si="26"/>
        <v>16</v>
      </c>
      <c r="K147" s="19">
        <f t="shared" si="27"/>
        <v>9</v>
      </c>
      <c r="L147" s="19">
        <f t="shared" si="28"/>
        <v>25</v>
      </c>
      <c r="M147" s="17">
        <f t="shared" si="29"/>
        <v>25</v>
      </c>
      <c r="N147" s="22">
        <f t="shared" si="30"/>
        <v>6.6481994459833799E-2</v>
      </c>
      <c r="O147" s="22">
        <f t="shared" si="31"/>
        <v>2.7700831024930748E-3</v>
      </c>
      <c r="P147" s="22">
        <f t="shared" si="32"/>
        <v>6.3711911357340723E-2</v>
      </c>
      <c r="Q147" t="str">
        <f t="shared" si="33"/>
        <v/>
      </c>
      <c r="S147">
        <f t="shared" si="34"/>
        <v>25.0009853</v>
      </c>
      <c r="T147" s="23">
        <f t="shared" si="35"/>
        <v>6.4697211357340717E-2</v>
      </c>
    </row>
    <row r="148" spans="1:20" ht="15" customHeight="1" x14ac:dyDescent="0.35">
      <c r="A148" t="str">
        <f>Benchmarking!A148</f>
        <v>CH Robinson Worldwide Inc</v>
      </c>
      <c r="B148" t="str">
        <f>Benchmarking!B148</f>
        <v>chrw</v>
      </c>
      <c r="C148" t="str">
        <f>Benchmarking!C148</f>
        <v>Logistics &amp; Transportation</v>
      </c>
      <c r="D148" s="17">
        <f>Benchmarking!D148</f>
        <v>575</v>
      </c>
      <c r="E148" s="17">
        <f>Benchmarking!E148</f>
        <v>330</v>
      </c>
      <c r="F148" s="17">
        <f>Benchmarking!F148</f>
        <v>338</v>
      </c>
      <c r="G148" s="17">
        <f>Benchmarking!G148</f>
        <v>1243</v>
      </c>
      <c r="H148" t="str">
        <f t="shared" si="24"/>
        <v>Environmental</v>
      </c>
      <c r="I148" t="str">
        <f t="shared" si="25"/>
        <v>Social</v>
      </c>
      <c r="J148" s="19">
        <f t="shared" si="26"/>
        <v>245</v>
      </c>
      <c r="K148" s="19">
        <f t="shared" si="27"/>
        <v>-8</v>
      </c>
      <c r="L148" s="19">
        <f t="shared" si="28"/>
        <v>237</v>
      </c>
      <c r="M148" s="17">
        <f t="shared" si="29"/>
        <v>245</v>
      </c>
      <c r="N148" s="22">
        <f t="shared" si="30"/>
        <v>0.92659279778393355</v>
      </c>
      <c r="O148" s="22">
        <f t="shared" si="31"/>
        <v>0.82132963988919672</v>
      </c>
      <c r="P148" s="22">
        <f t="shared" si="32"/>
        <v>0.10526315789473684</v>
      </c>
      <c r="Q148" t="str">
        <f t="shared" si="33"/>
        <v/>
      </c>
      <c r="S148">
        <f t="shared" si="34"/>
        <v>245.0009852</v>
      </c>
      <c r="T148" s="23">
        <f t="shared" si="35"/>
        <v>0.10624835789473684</v>
      </c>
    </row>
    <row r="149" spans="1:20" ht="15" customHeight="1" x14ac:dyDescent="0.35">
      <c r="A149" t="str">
        <f>Benchmarking!A149</f>
        <v>Cincinnati Financial Corp</v>
      </c>
      <c r="B149" t="str">
        <f>Benchmarking!B149</f>
        <v>cinf</v>
      </c>
      <c r="C149" t="str">
        <f>Benchmarking!C149</f>
        <v>Insurance</v>
      </c>
      <c r="D149" s="17">
        <f>Benchmarking!D149</f>
        <v>235</v>
      </c>
      <c r="E149" s="17">
        <f>Benchmarking!E149</f>
        <v>275</v>
      </c>
      <c r="F149" s="17">
        <f>Benchmarking!F149</f>
        <v>250</v>
      </c>
      <c r="G149" s="17">
        <f>Benchmarking!G149</f>
        <v>760</v>
      </c>
      <c r="H149" t="str">
        <f t="shared" si="24"/>
        <v>Social</v>
      </c>
      <c r="I149" t="str">
        <f t="shared" si="25"/>
        <v>Environmental</v>
      </c>
      <c r="J149" s="19">
        <f t="shared" si="26"/>
        <v>-40</v>
      </c>
      <c r="K149" s="19">
        <f t="shared" si="27"/>
        <v>25</v>
      </c>
      <c r="L149" s="19">
        <f t="shared" si="28"/>
        <v>-15</v>
      </c>
      <c r="M149" s="17">
        <f t="shared" si="29"/>
        <v>40</v>
      </c>
      <c r="N149" s="22">
        <f t="shared" si="30"/>
        <v>0.24515235457063711</v>
      </c>
      <c r="O149" s="22">
        <f t="shared" si="31"/>
        <v>0.22160664819944598</v>
      </c>
      <c r="P149" s="22">
        <f t="shared" si="32"/>
        <v>2.3545706371191133E-2</v>
      </c>
      <c r="Q149" t="str">
        <f t="shared" si="33"/>
        <v/>
      </c>
      <c r="S149">
        <f t="shared" si="34"/>
        <v>40.000985100000001</v>
      </c>
      <c r="T149" s="23">
        <f t="shared" si="35"/>
        <v>2.4530806371191132E-2</v>
      </c>
    </row>
    <row r="150" spans="1:20" ht="15" customHeight="1" x14ac:dyDescent="0.35">
      <c r="A150" t="str">
        <f>Benchmarking!A150</f>
        <v>Charter Communications Inc</v>
      </c>
      <c r="B150" t="str">
        <f>Benchmarking!B150</f>
        <v>chtr</v>
      </c>
      <c r="C150" t="str">
        <f>Benchmarking!C150</f>
        <v>Media</v>
      </c>
      <c r="D150" s="17">
        <f>Benchmarking!D150</f>
        <v>500</v>
      </c>
      <c r="E150" s="17">
        <f>Benchmarking!E150</f>
        <v>300</v>
      </c>
      <c r="F150" s="17">
        <f>Benchmarking!F150</f>
        <v>300</v>
      </c>
      <c r="G150" s="17">
        <f>Benchmarking!G150</f>
        <v>1100</v>
      </c>
      <c r="H150" t="str">
        <f t="shared" si="24"/>
        <v>Environmental</v>
      </c>
      <c r="I150" t="str">
        <f t="shared" si="25"/>
        <v>Social</v>
      </c>
      <c r="J150" s="19">
        <f t="shared" si="26"/>
        <v>200</v>
      </c>
      <c r="K150" s="19">
        <f t="shared" si="27"/>
        <v>0</v>
      </c>
      <c r="L150" s="19">
        <f t="shared" si="28"/>
        <v>200</v>
      </c>
      <c r="M150" s="17">
        <f t="shared" si="29"/>
        <v>200</v>
      </c>
      <c r="N150" s="22">
        <f t="shared" si="30"/>
        <v>0.56925207756232687</v>
      </c>
      <c r="O150" s="22">
        <f t="shared" si="31"/>
        <v>0.36565096952908588</v>
      </c>
      <c r="P150" s="22">
        <f t="shared" si="32"/>
        <v>0.203601108033241</v>
      </c>
      <c r="Q150" t="str">
        <f t="shared" si="33"/>
        <v/>
      </c>
      <c r="S150">
        <f t="shared" si="34"/>
        <v>200.00098499999999</v>
      </c>
      <c r="T150" s="23">
        <f t="shared" si="35"/>
        <v>0.20458610803324101</v>
      </c>
    </row>
    <row r="151" spans="1:20" ht="15" customHeight="1" x14ac:dyDescent="0.35">
      <c r="A151" t="str">
        <f>Benchmarking!A151</f>
        <v>Comcast Corp</v>
      </c>
      <c r="B151" t="str">
        <f>Benchmarking!B151</f>
        <v>cmcsa</v>
      </c>
      <c r="C151" t="str">
        <f>Benchmarking!C151</f>
        <v>Media</v>
      </c>
      <c r="D151" s="17">
        <f>Benchmarking!D151</f>
        <v>507</v>
      </c>
      <c r="E151" s="17">
        <f>Benchmarking!E151</f>
        <v>343</v>
      </c>
      <c r="F151" s="17">
        <f>Benchmarking!F151</f>
        <v>315</v>
      </c>
      <c r="G151" s="17">
        <f>Benchmarking!G151</f>
        <v>1165</v>
      </c>
      <c r="H151" t="str">
        <f t="shared" si="24"/>
        <v>Environmental</v>
      </c>
      <c r="I151" t="str">
        <f t="shared" si="25"/>
        <v>Governance</v>
      </c>
      <c r="J151" s="19">
        <f t="shared" si="26"/>
        <v>164</v>
      </c>
      <c r="K151" s="19">
        <f t="shared" si="27"/>
        <v>28</v>
      </c>
      <c r="L151" s="19">
        <f t="shared" si="28"/>
        <v>192</v>
      </c>
      <c r="M151" s="17">
        <f t="shared" si="29"/>
        <v>192</v>
      </c>
      <c r="N151" s="22">
        <f t="shared" si="30"/>
        <v>0.81163434903047094</v>
      </c>
      <c r="O151" s="22">
        <f t="shared" si="31"/>
        <v>0.65650969529085867</v>
      </c>
      <c r="P151" s="22">
        <f t="shared" si="32"/>
        <v>0.15512465373961226</v>
      </c>
      <c r="Q151" t="str">
        <f t="shared" si="33"/>
        <v/>
      </c>
      <c r="S151">
        <f t="shared" si="34"/>
        <v>192.00098489999999</v>
      </c>
      <c r="T151" s="23">
        <f t="shared" si="35"/>
        <v>0.15610955373961227</v>
      </c>
    </row>
    <row r="152" spans="1:20" ht="15" customHeight="1" x14ac:dyDescent="0.35">
      <c r="A152" t="str">
        <f>Benchmarking!A152</f>
        <v>Copart Inc</v>
      </c>
      <c r="B152" t="str">
        <f>Benchmarking!B152</f>
        <v>cprt</v>
      </c>
      <c r="C152" t="str">
        <f>Benchmarking!C152</f>
        <v>Commercial Services &amp; Supplies</v>
      </c>
      <c r="D152" s="17">
        <f>Benchmarking!D152</f>
        <v>270</v>
      </c>
      <c r="E152" s="17">
        <f>Benchmarking!E152</f>
        <v>204</v>
      </c>
      <c r="F152" s="17">
        <f>Benchmarking!F152</f>
        <v>205</v>
      </c>
      <c r="G152" s="17">
        <f>Benchmarking!G152</f>
        <v>679</v>
      </c>
      <c r="H152" t="str">
        <f t="shared" si="24"/>
        <v>Environmental</v>
      </c>
      <c r="I152" t="str">
        <f t="shared" si="25"/>
        <v>Social</v>
      </c>
      <c r="J152" s="19">
        <f t="shared" si="26"/>
        <v>66</v>
      </c>
      <c r="K152" s="19">
        <f t="shared" si="27"/>
        <v>-1</v>
      </c>
      <c r="L152" s="19">
        <f t="shared" si="28"/>
        <v>65</v>
      </c>
      <c r="M152" s="17">
        <f t="shared" si="29"/>
        <v>66</v>
      </c>
      <c r="N152" s="22">
        <f t="shared" si="30"/>
        <v>0.14127423822714683</v>
      </c>
      <c r="O152" s="22">
        <f t="shared" si="31"/>
        <v>6.5096952908587261E-2</v>
      </c>
      <c r="P152" s="22">
        <f t="shared" si="32"/>
        <v>7.6177285318559565E-2</v>
      </c>
      <c r="Q152" t="str">
        <f t="shared" si="33"/>
        <v/>
      </c>
      <c r="S152">
        <f t="shared" si="34"/>
        <v>66.000984799999998</v>
      </c>
      <c r="T152" s="23">
        <f t="shared" si="35"/>
        <v>7.7162085318559559E-2</v>
      </c>
    </row>
    <row r="153" spans="1:20" ht="15" customHeight="1" x14ac:dyDescent="0.35">
      <c r="A153" t="str">
        <f>Benchmarking!A153</f>
        <v>Costco Wholesale Corp</v>
      </c>
      <c r="B153" t="str">
        <f>Benchmarking!B153</f>
        <v>cost</v>
      </c>
      <c r="C153" t="str">
        <f>Benchmarking!C153</f>
        <v>Retail</v>
      </c>
      <c r="D153" s="17">
        <f>Benchmarking!D153</f>
        <v>537</v>
      </c>
      <c r="E153" s="17">
        <f>Benchmarking!E153</f>
        <v>306</v>
      </c>
      <c r="F153" s="17">
        <f>Benchmarking!F153</f>
        <v>225</v>
      </c>
      <c r="G153" s="17">
        <f>Benchmarking!G153</f>
        <v>1068</v>
      </c>
      <c r="H153" t="str">
        <f t="shared" si="24"/>
        <v>Environmental</v>
      </c>
      <c r="I153" t="str">
        <f t="shared" si="25"/>
        <v>Governance</v>
      </c>
      <c r="J153" s="19">
        <f t="shared" si="26"/>
        <v>231</v>
      </c>
      <c r="K153" s="19">
        <f t="shared" si="27"/>
        <v>81</v>
      </c>
      <c r="L153" s="19">
        <f t="shared" si="28"/>
        <v>312</v>
      </c>
      <c r="M153" s="17">
        <f t="shared" si="29"/>
        <v>312</v>
      </c>
      <c r="N153" s="22">
        <f t="shared" si="30"/>
        <v>0.52770083102493071</v>
      </c>
      <c r="O153" s="22">
        <f t="shared" si="31"/>
        <v>0.21606648199445982</v>
      </c>
      <c r="P153" s="22">
        <f t="shared" si="32"/>
        <v>0.31163434903047088</v>
      </c>
      <c r="Q153" t="str">
        <f t="shared" si="33"/>
        <v/>
      </c>
      <c r="S153">
        <f t="shared" si="34"/>
        <v>312.0009847</v>
      </c>
      <c r="T153" s="23">
        <f t="shared" si="35"/>
        <v>0.31261904903047089</v>
      </c>
    </row>
    <row r="154" spans="1:20" ht="15" customHeight="1" x14ac:dyDescent="0.35">
      <c r="A154" t="str">
        <f>Benchmarking!A154</f>
        <v>CSX Corp</v>
      </c>
      <c r="B154" t="str">
        <f>Benchmarking!B154</f>
        <v>csx</v>
      </c>
      <c r="C154" t="str">
        <f>Benchmarking!C154</f>
        <v>Road &amp; Rail</v>
      </c>
      <c r="D154" s="17">
        <f>Benchmarking!D154</f>
        <v>510</v>
      </c>
      <c r="E154" s="17">
        <f>Benchmarking!E154</f>
        <v>310</v>
      </c>
      <c r="F154" s="17">
        <f>Benchmarking!F154</f>
        <v>325</v>
      </c>
      <c r="G154" s="17">
        <f>Benchmarking!G154</f>
        <v>1145</v>
      </c>
      <c r="H154" t="str">
        <f t="shared" si="24"/>
        <v>Environmental</v>
      </c>
      <c r="I154" t="str">
        <f t="shared" si="25"/>
        <v>Social</v>
      </c>
      <c r="J154" s="19">
        <f t="shared" si="26"/>
        <v>200</v>
      </c>
      <c r="K154" s="19">
        <f t="shared" si="27"/>
        <v>-15</v>
      </c>
      <c r="L154" s="19">
        <f t="shared" si="28"/>
        <v>185</v>
      </c>
      <c r="M154" s="17">
        <f t="shared" si="29"/>
        <v>200</v>
      </c>
      <c r="N154" s="22">
        <f t="shared" si="30"/>
        <v>0.75207756232686984</v>
      </c>
      <c r="O154" s="22">
        <f t="shared" si="31"/>
        <v>0.62742382271468145</v>
      </c>
      <c r="P154" s="22">
        <f t="shared" si="32"/>
        <v>0.1246537396121884</v>
      </c>
      <c r="Q154" t="str">
        <f t="shared" si="33"/>
        <v/>
      </c>
      <c r="S154">
        <f t="shared" si="34"/>
        <v>200.00098460000001</v>
      </c>
      <c r="T154" s="23">
        <f t="shared" si="35"/>
        <v>0.1256383396121884</v>
      </c>
    </row>
    <row r="155" spans="1:20" ht="15" customHeight="1" x14ac:dyDescent="0.35">
      <c r="A155" t="str">
        <f>Benchmarking!A155</f>
        <v>Cognizant Technology Solutions Corp</v>
      </c>
      <c r="B155" t="str">
        <f>Benchmarking!B155</f>
        <v>ctsh</v>
      </c>
      <c r="C155" t="str">
        <f>Benchmarking!C155</f>
        <v>Technology</v>
      </c>
      <c r="D155" s="17">
        <f>Benchmarking!D155</f>
        <v>605</v>
      </c>
      <c r="E155" s="17">
        <f>Benchmarking!E155</f>
        <v>365</v>
      </c>
      <c r="F155" s="17">
        <f>Benchmarking!F155</f>
        <v>300</v>
      </c>
      <c r="G155" s="17">
        <f>Benchmarking!G155</f>
        <v>1270</v>
      </c>
      <c r="H155" t="str">
        <f t="shared" si="24"/>
        <v>Environmental</v>
      </c>
      <c r="I155" t="str">
        <f t="shared" si="25"/>
        <v>Governance</v>
      </c>
      <c r="J155" s="19">
        <f t="shared" si="26"/>
        <v>240</v>
      </c>
      <c r="K155" s="19">
        <f t="shared" si="27"/>
        <v>65</v>
      </c>
      <c r="L155" s="19">
        <f t="shared" si="28"/>
        <v>305</v>
      </c>
      <c r="M155" s="17">
        <f t="shared" si="29"/>
        <v>305</v>
      </c>
      <c r="N155" s="22">
        <f t="shared" si="30"/>
        <v>0.95290858725761773</v>
      </c>
      <c r="O155" s="22">
        <f t="shared" si="31"/>
        <v>0.39335180055401664</v>
      </c>
      <c r="P155" s="22">
        <f t="shared" si="32"/>
        <v>0.55955678670360109</v>
      </c>
      <c r="Q155" t="str">
        <f t="shared" si="33"/>
        <v>High ESG / weak pillar (analytical flag - not an ESG rating) - warrants investigation</v>
      </c>
      <c r="S155">
        <f t="shared" si="34"/>
        <v>305.00098450000002</v>
      </c>
      <c r="T155" s="23">
        <f t="shared" si="35"/>
        <v>0.56054128670360115</v>
      </c>
    </row>
    <row r="156" spans="1:20" ht="15" customHeight="1" x14ac:dyDescent="0.35">
      <c r="A156" t="str">
        <f>Benchmarking!A156</f>
        <v>CME Group Inc</v>
      </c>
      <c r="B156" t="str">
        <f>Benchmarking!B156</f>
        <v>cme</v>
      </c>
      <c r="C156" t="str">
        <f>Benchmarking!C156</f>
        <v>Financial Services</v>
      </c>
      <c r="D156" s="17">
        <f>Benchmarking!D156</f>
        <v>375</v>
      </c>
      <c r="E156" s="17">
        <f>Benchmarking!E156</f>
        <v>237</v>
      </c>
      <c r="F156" s="17">
        <f>Benchmarking!F156</f>
        <v>200</v>
      </c>
      <c r="G156" s="17">
        <f>Benchmarking!G156</f>
        <v>812</v>
      </c>
      <c r="H156" t="str">
        <f t="shared" si="24"/>
        <v>Environmental</v>
      </c>
      <c r="I156" t="str">
        <f t="shared" si="25"/>
        <v>Governance</v>
      </c>
      <c r="J156" s="19">
        <f t="shared" si="26"/>
        <v>138</v>
      </c>
      <c r="K156" s="19">
        <f t="shared" si="27"/>
        <v>37</v>
      </c>
      <c r="L156" s="19">
        <f t="shared" si="28"/>
        <v>175</v>
      </c>
      <c r="M156" s="17">
        <f t="shared" si="29"/>
        <v>175</v>
      </c>
      <c r="N156" s="22">
        <f t="shared" si="30"/>
        <v>0.29916897506925205</v>
      </c>
      <c r="O156" s="22">
        <f t="shared" si="31"/>
        <v>2.7700831024930748E-3</v>
      </c>
      <c r="P156" s="22">
        <f t="shared" si="32"/>
        <v>0.296398891966759</v>
      </c>
      <c r="Q156" t="str">
        <f t="shared" si="33"/>
        <v/>
      </c>
      <c r="S156">
        <f t="shared" si="34"/>
        <v>175.00098439999999</v>
      </c>
      <c r="T156" s="23">
        <f t="shared" si="35"/>
        <v>0.297383291966759</v>
      </c>
    </row>
    <row r="157" spans="1:20" ht="15" customHeight="1" x14ac:dyDescent="0.35">
      <c r="A157" t="str">
        <f>Benchmarking!A157</f>
        <v>Cisco Systems Inc</v>
      </c>
      <c r="B157" t="str">
        <f>Benchmarking!B157</f>
        <v>csco</v>
      </c>
      <c r="C157" t="str">
        <f>Benchmarking!C157</f>
        <v>Communications</v>
      </c>
      <c r="D157" s="17">
        <f>Benchmarking!D157</f>
        <v>280</v>
      </c>
      <c r="E157" s="17">
        <f>Benchmarking!E157</f>
        <v>234</v>
      </c>
      <c r="F157" s="17">
        <f>Benchmarking!F157</f>
        <v>220</v>
      </c>
      <c r="G157" s="17">
        <f>Benchmarking!G157</f>
        <v>734</v>
      </c>
      <c r="H157" t="str">
        <f t="shared" si="24"/>
        <v>Environmental</v>
      </c>
      <c r="I157" t="str">
        <f t="shared" si="25"/>
        <v>Governance</v>
      </c>
      <c r="J157" s="19">
        <f t="shared" si="26"/>
        <v>46</v>
      </c>
      <c r="K157" s="19">
        <f t="shared" si="27"/>
        <v>14</v>
      </c>
      <c r="L157" s="19">
        <f t="shared" si="28"/>
        <v>60</v>
      </c>
      <c r="M157" s="17">
        <f t="shared" si="29"/>
        <v>60</v>
      </c>
      <c r="N157" s="22">
        <f t="shared" si="30"/>
        <v>0.20221606648199447</v>
      </c>
      <c r="O157" s="22">
        <f t="shared" si="31"/>
        <v>0.19113573407202217</v>
      </c>
      <c r="P157" s="22">
        <f t="shared" si="32"/>
        <v>1.1080332409972304E-2</v>
      </c>
      <c r="Q157" t="str">
        <f t="shared" si="33"/>
        <v/>
      </c>
      <c r="S157">
        <f t="shared" si="34"/>
        <v>60.000984299999999</v>
      </c>
      <c r="T157" s="23">
        <f t="shared" si="35"/>
        <v>1.2064632409972305E-2</v>
      </c>
    </row>
    <row r="158" spans="1:20" ht="15" customHeight="1" x14ac:dyDescent="0.35">
      <c r="A158" t="str">
        <f>Benchmarking!A158</f>
        <v>Cintas Corp</v>
      </c>
      <c r="B158" t="str">
        <f>Benchmarking!B158</f>
        <v>ctas</v>
      </c>
      <c r="C158" t="str">
        <f>Benchmarking!C158</f>
        <v>Commercial Services &amp; Supplies</v>
      </c>
      <c r="D158" s="17">
        <f>Benchmarking!D158</f>
        <v>500</v>
      </c>
      <c r="E158" s="17">
        <f>Benchmarking!E158</f>
        <v>300</v>
      </c>
      <c r="F158" s="17">
        <f>Benchmarking!F158</f>
        <v>300</v>
      </c>
      <c r="G158" s="17">
        <f>Benchmarking!G158</f>
        <v>1100</v>
      </c>
      <c r="H158" t="str">
        <f t="shared" si="24"/>
        <v>Environmental</v>
      </c>
      <c r="I158" t="str">
        <f t="shared" si="25"/>
        <v>Social</v>
      </c>
      <c r="J158" s="19">
        <f t="shared" si="26"/>
        <v>200</v>
      </c>
      <c r="K158" s="19">
        <f t="shared" si="27"/>
        <v>0</v>
      </c>
      <c r="L158" s="19">
        <f t="shared" si="28"/>
        <v>200</v>
      </c>
      <c r="M158" s="17">
        <f t="shared" si="29"/>
        <v>200</v>
      </c>
      <c r="N158" s="22">
        <f t="shared" si="30"/>
        <v>0.56925207756232687</v>
      </c>
      <c r="O158" s="22">
        <f t="shared" si="31"/>
        <v>0.36565096952908588</v>
      </c>
      <c r="P158" s="22">
        <f t="shared" si="32"/>
        <v>0.203601108033241</v>
      </c>
      <c r="Q158" t="str">
        <f t="shared" si="33"/>
        <v/>
      </c>
      <c r="S158">
        <f t="shared" si="34"/>
        <v>200.0009842</v>
      </c>
      <c r="T158" s="23">
        <f t="shared" si="35"/>
        <v>0.20458530803324099</v>
      </c>
    </row>
    <row r="159" spans="1:20" ht="15" customHeight="1" x14ac:dyDescent="0.35">
      <c r="A159" t="str">
        <f>Benchmarking!A159</f>
        <v>Citrix Systems Inc</v>
      </c>
      <c r="B159" t="str">
        <f>Benchmarking!B159</f>
        <v>ctxs</v>
      </c>
      <c r="C159" t="str">
        <f>Benchmarking!C159</f>
        <v>Technology</v>
      </c>
      <c r="D159" s="17">
        <f>Benchmarking!D159</f>
        <v>530</v>
      </c>
      <c r="E159" s="17">
        <f>Benchmarking!E159</f>
        <v>305</v>
      </c>
      <c r="F159" s="17">
        <f>Benchmarking!F159</f>
        <v>305</v>
      </c>
      <c r="G159" s="17">
        <f>Benchmarking!G159</f>
        <v>1140</v>
      </c>
      <c r="H159" t="str">
        <f t="shared" si="24"/>
        <v>Environmental</v>
      </c>
      <c r="I159" t="str">
        <f t="shared" si="25"/>
        <v>Social</v>
      </c>
      <c r="J159" s="19">
        <f t="shared" si="26"/>
        <v>225</v>
      </c>
      <c r="K159" s="19">
        <f t="shared" si="27"/>
        <v>0</v>
      </c>
      <c r="L159" s="19">
        <f t="shared" si="28"/>
        <v>225</v>
      </c>
      <c r="M159" s="17">
        <f t="shared" si="29"/>
        <v>225</v>
      </c>
      <c r="N159" s="22">
        <f t="shared" si="30"/>
        <v>0.73268698060941828</v>
      </c>
      <c r="O159" s="22">
        <f t="shared" si="31"/>
        <v>0.56371191135734067</v>
      </c>
      <c r="P159" s="22">
        <f t="shared" si="32"/>
        <v>0.16897506925207761</v>
      </c>
      <c r="Q159" t="str">
        <f t="shared" si="33"/>
        <v/>
      </c>
      <c r="S159">
        <f t="shared" si="34"/>
        <v>225.00098410000001</v>
      </c>
      <c r="T159" s="23">
        <f t="shared" si="35"/>
        <v>0.1699591692520776</v>
      </c>
    </row>
    <row r="160" spans="1:20" ht="15" customHeight="1" x14ac:dyDescent="0.35">
      <c r="A160" t="str">
        <f>Benchmarking!A160</f>
        <v>Caesars Entertainment Inc</v>
      </c>
      <c r="B160" t="str">
        <f>Benchmarking!B160</f>
        <v>czr</v>
      </c>
      <c r="C160" t="str">
        <f>Benchmarking!C160</f>
        <v>Hotels Restaurants &amp; Leisure</v>
      </c>
      <c r="D160" s="17">
        <f>Benchmarking!D160</f>
        <v>265</v>
      </c>
      <c r="E160" s="17">
        <f>Benchmarking!E160</f>
        <v>228</v>
      </c>
      <c r="F160" s="17">
        <f>Benchmarking!F160</f>
        <v>200</v>
      </c>
      <c r="G160" s="17">
        <f>Benchmarking!G160</f>
        <v>693</v>
      </c>
      <c r="H160" t="str">
        <f t="shared" si="24"/>
        <v>Environmental</v>
      </c>
      <c r="I160" t="str">
        <f t="shared" si="25"/>
        <v>Governance</v>
      </c>
      <c r="J160" s="19">
        <f t="shared" si="26"/>
        <v>37</v>
      </c>
      <c r="K160" s="19">
        <f t="shared" si="27"/>
        <v>28</v>
      </c>
      <c r="L160" s="19">
        <f t="shared" si="28"/>
        <v>65</v>
      </c>
      <c r="M160" s="17">
        <f t="shared" si="29"/>
        <v>65</v>
      </c>
      <c r="N160" s="22">
        <f t="shared" si="30"/>
        <v>0.15512465373961218</v>
      </c>
      <c r="O160" s="22">
        <f t="shared" si="31"/>
        <v>2.7700831024930748E-3</v>
      </c>
      <c r="P160" s="22">
        <f t="shared" si="32"/>
        <v>0.1523545706371191</v>
      </c>
      <c r="Q160" t="str">
        <f t="shared" si="33"/>
        <v/>
      </c>
      <c r="S160">
        <f t="shared" si="34"/>
        <v>65.000984000000003</v>
      </c>
      <c r="T160" s="23">
        <f t="shared" si="35"/>
        <v>0.15333857063711911</v>
      </c>
    </row>
    <row r="161" spans="1:20" ht="15" customHeight="1" x14ac:dyDescent="0.35">
      <c r="A161" t="str">
        <f>Benchmarking!A161</f>
        <v>DISH Network Corp</v>
      </c>
      <c r="B161" t="str">
        <f>Benchmarking!B161</f>
        <v>dish</v>
      </c>
      <c r="C161" t="str">
        <f>Benchmarking!C161</f>
        <v>Media</v>
      </c>
      <c r="D161" s="17">
        <f>Benchmarking!D161</f>
        <v>210</v>
      </c>
      <c r="E161" s="17">
        <f>Benchmarking!E161</f>
        <v>263</v>
      </c>
      <c r="F161" s="17">
        <f>Benchmarking!F161</f>
        <v>205</v>
      </c>
      <c r="G161" s="17">
        <f>Benchmarking!G161</f>
        <v>678</v>
      </c>
      <c r="H161" t="str">
        <f t="shared" si="24"/>
        <v>Social</v>
      </c>
      <c r="I161" t="str">
        <f t="shared" si="25"/>
        <v>Governance</v>
      </c>
      <c r="J161" s="19">
        <f t="shared" si="26"/>
        <v>-53</v>
      </c>
      <c r="K161" s="19">
        <f t="shared" si="27"/>
        <v>58</v>
      </c>
      <c r="L161" s="19">
        <f t="shared" si="28"/>
        <v>5</v>
      </c>
      <c r="M161" s="17">
        <f t="shared" si="29"/>
        <v>58</v>
      </c>
      <c r="N161" s="22">
        <f t="shared" si="30"/>
        <v>0.13988919667590027</v>
      </c>
      <c r="O161" s="22">
        <f t="shared" si="31"/>
        <v>8.3102493074792241E-2</v>
      </c>
      <c r="P161" s="22">
        <f t="shared" si="32"/>
        <v>5.6786703601108032E-2</v>
      </c>
      <c r="Q161" t="str">
        <f t="shared" si="33"/>
        <v/>
      </c>
      <c r="S161">
        <f t="shared" si="34"/>
        <v>58.000983900000001</v>
      </c>
      <c r="T161" s="23">
        <f t="shared" si="35"/>
        <v>5.7770603601108035E-2</v>
      </c>
    </row>
    <row r="162" spans="1:20" ht="15" customHeight="1" x14ac:dyDescent="0.35">
      <c r="A162" t="str">
        <f>Benchmarking!A162</f>
        <v>Dollar Tree Inc</v>
      </c>
      <c r="B162" t="str">
        <f>Benchmarking!B162</f>
        <v>dltr</v>
      </c>
      <c r="C162" t="str">
        <f>Benchmarking!C162</f>
        <v>Retail</v>
      </c>
      <c r="D162" s="17">
        <f>Benchmarking!D162</f>
        <v>235</v>
      </c>
      <c r="E162" s="17">
        <f>Benchmarking!E162</f>
        <v>208</v>
      </c>
      <c r="F162" s="17">
        <f>Benchmarking!F162</f>
        <v>215</v>
      </c>
      <c r="G162" s="17">
        <f>Benchmarking!G162</f>
        <v>658</v>
      </c>
      <c r="H162" t="str">
        <f t="shared" si="24"/>
        <v>Environmental</v>
      </c>
      <c r="I162" t="str">
        <f t="shared" si="25"/>
        <v>Social</v>
      </c>
      <c r="J162" s="19">
        <f t="shared" si="26"/>
        <v>27</v>
      </c>
      <c r="K162" s="19">
        <f t="shared" si="27"/>
        <v>-7</v>
      </c>
      <c r="L162" s="19">
        <f t="shared" si="28"/>
        <v>20</v>
      </c>
      <c r="M162" s="17">
        <f t="shared" si="29"/>
        <v>27</v>
      </c>
      <c r="N162" s="22">
        <f t="shared" si="30"/>
        <v>0.11357340720221606</v>
      </c>
      <c r="O162" s="22">
        <f t="shared" si="31"/>
        <v>9.833795013850416E-2</v>
      </c>
      <c r="P162" s="22">
        <f t="shared" si="32"/>
        <v>1.5235457063711905E-2</v>
      </c>
      <c r="Q162" t="str">
        <f t="shared" si="33"/>
        <v/>
      </c>
      <c r="S162">
        <f t="shared" si="34"/>
        <v>27.0009838</v>
      </c>
      <c r="T162" s="23">
        <f t="shared" si="35"/>
        <v>1.6219257063711905E-2</v>
      </c>
    </row>
    <row r="163" spans="1:20" ht="15" customHeight="1" x14ac:dyDescent="0.35">
      <c r="A163" t="str">
        <f>Benchmarking!A163</f>
        <v>Dexcom Inc</v>
      </c>
      <c r="B163" t="str">
        <f>Benchmarking!B163</f>
        <v>dxcm</v>
      </c>
      <c r="C163" t="str">
        <f>Benchmarking!C163</f>
        <v>Health Care</v>
      </c>
      <c r="D163" s="17">
        <f>Benchmarking!D163</f>
        <v>215</v>
      </c>
      <c r="E163" s="17">
        <f>Benchmarking!E163</f>
        <v>236</v>
      </c>
      <c r="F163" s="17">
        <f>Benchmarking!F163</f>
        <v>215</v>
      </c>
      <c r="G163" s="17">
        <f>Benchmarking!G163</f>
        <v>666</v>
      </c>
      <c r="H163" t="str">
        <f t="shared" si="24"/>
        <v>Social</v>
      </c>
      <c r="I163" t="str">
        <f t="shared" si="25"/>
        <v>Environmental</v>
      </c>
      <c r="J163" s="19">
        <f t="shared" si="26"/>
        <v>-21</v>
      </c>
      <c r="K163" s="19">
        <f t="shared" si="27"/>
        <v>21</v>
      </c>
      <c r="L163" s="19">
        <f t="shared" si="28"/>
        <v>0</v>
      </c>
      <c r="M163" s="17">
        <f t="shared" si="29"/>
        <v>21</v>
      </c>
      <c r="N163" s="22">
        <f t="shared" si="30"/>
        <v>0.12326869806094183</v>
      </c>
      <c r="O163" s="22">
        <f t="shared" si="31"/>
        <v>0.11911357340720222</v>
      </c>
      <c r="P163" s="22">
        <f t="shared" si="32"/>
        <v>4.1551246537396141E-3</v>
      </c>
      <c r="Q163" t="str">
        <f t="shared" si="33"/>
        <v/>
      </c>
      <c r="S163">
        <f t="shared" si="34"/>
        <v>21.000983699999999</v>
      </c>
      <c r="T163" s="23">
        <f t="shared" si="35"/>
        <v>5.1388246537396138E-3</v>
      </c>
    </row>
    <row r="164" spans="1:20" ht="15" customHeight="1" x14ac:dyDescent="0.35">
      <c r="A164" t="str">
        <f>Benchmarking!A164</f>
        <v>Electronic Arts Inc</v>
      </c>
      <c r="B164" t="str">
        <f>Benchmarking!B164</f>
        <v>ea</v>
      </c>
      <c r="C164" t="str">
        <f>Benchmarking!C164</f>
        <v>Media</v>
      </c>
      <c r="D164" s="17">
        <f>Benchmarking!D164</f>
        <v>360</v>
      </c>
      <c r="E164" s="17">
        <f>Benchmarking!E164</f>
        <v>300</v>
      </c>
      <c r="F164" s="17">
        <f>Benchmarking!F164</f>
        <v>225</v>
      </c>
      <c r="G164" s="17">
        <f>Benchmarking!G164</f>
        <v>885</v>
      </c>
      <c r="H164" t="str">
        <f t="shared" si="24"/>
        <v>Environmental</v>
      </c>
      <c r="I164" t="str">
        <f t="shared" si="25"/>
        <v>Governance</v>
      </c>
      <c r="J164" s="19">
        <f t="shared" si="26"/>
        <v>60</v>
      </c>
      <c r="K164" s="19">
        <f t="shared" si="27"/>
        <v>75</v>
      </c>
      <c r="L164" s="19">
        <f t="shared" si="28"/>
        <v>135</v>
      </c>
      <c r="M164" s="17">
        <f t="shared" si="29"/>
        <v>135</v>
      </c>
      <c r="N164" s="22">
        <f t="shared" si="30"/>
        <v>0.3587257617728532</v>
      </c>
      <c r="O164" s="22">
        <f t="shared" si="31"/>
        <v>0.21606648199445982</v>
      </c>
      <c r="P164" s="22">
        <f t="shared" si="32"/>
        <v>0.14265927977839338</v>
      </c>
      <c r="Q164" t="str">
        <f t="shared" si="33"/>
        <v/>
      </c>
      <c r="S164">
        <f t="shared" si="34"/>
        <v>135.00098360000001</v>
      </c>
      <c r="T164" s="23">
        <f t="shared" si="35"/>
        <v>0.14364287977839338</v>
      </c>
    </row>
    <row r="165" spans="1:20" ht="15" customHeight="1" x14ac:dyDescent="0.35">
      <c r="A165" t="str">
        <f>Benchmarking!A165</f>
        <v>Alliant Energy Corp</v>
      </c>
      <c r="B165" t="str">
        <f>Benchmarking!B165</f>
        <v>lnt</v>
      </c>
      <c r="C165" t="str">
        <f>Benchmarking!C165</f>
        <v>Utilities</v>
      </c>
      <c r="D165" s="17">
        <f>Benchmarking!D165</f>
        <v>519</v>
      </c>
      <c r="E165" s="17">
        <f>Benchmarking!E165</f>
        <v>307</v>
      </c>
      <c r="F165" s="17">
        <f>Benchmarking!F165</f>
        <v>300</v>
      </c>
      <c r="G165" s="17">
        <f>Benchmarking!G165</f>
        <v>1126</v>
      </c>
      <c r="H165" t="str">
        <f t="shared" si="24"/>
        <v>Environmental</v>
      </c>
      <c r="I165" t="str">
        <f t="shared" si="25"/>
        <v>Governance</v>
      </c>
      <c r="J165" s="19">
        <f t="shared" si="26"/>
        <v>212</v>
      </c>
      <c r="K165" s="19">
        <f t="shared" si="27"/>
        <v>7</v>
      </c>
      <c r="L165" s="19">
        <f t="shared" si="28"/>
        <v>219</v>
      </c>
      <c r="M165" s="17">
        <f t="shared" si="29"/>
        <v>219</v>
      </c>
      <c r="N165" s="22">
        <f t="shared" si="30"/>
        <v>0.68005540166204981</v>
      </c>
      <c r="O165" s="22">
        <f t="shared" si="31"/>
        <v>0.39335180055401664</v>
      </c>
      <c r="P165" s="22">
        <f t="shared" si="32"/>
        <v>0.28670360110803317</v>
      </c>
      <c r="Q165" t="str">
        <f t="shared" si="33"/>
        <v/>
      </c>
      <c r="S165">
        <f t="shared" si="34"/>
        <v>219.00098349999999</v>
      </c>
      <c r="T165" s="23">
        <f t="shared" si="35"/>
        <v>0.28768710110803319</v>
      </c>
    </row>
    <row r="166" spans="1:20" ht="15" customHeight="1" x14ac:dyDescent="0.35">
      <c r="A166" t="str">
        <f>Benchmarking!A166</f>
        <v>Diamondback Energy Inc</v>
      </c>
      <c r="B166" t="str">
        <f>Benchmarking!B166</f>
        <v>fang</v>
      </c>
      <c r="C166" t="str">
        <f>Benchmarking!C166</f>
        <v>Energy</v>
      </c>
      <c r="D166" s="17">
        <f>Benchmarking!D166</f>
        <v>513</v>
      </c>
      <c r="E166" s="17">
        <f>Benchmarking!E166</f>
        <v>271</v>
      </c>
      <c r="F166" s="17">
        <f>Benchmarking!F166</f>
        <v>300</v>
      </c>
      <c r="G166" s="17">
        <f>Benchmarking!G166</f>
        <v>1084</v>
      </c>
      <c r="H166" t="str">
        <f t="shared" si="24"/>
        <v>Environmental</v>
      </c>
      <c r="I166" t="str">
        <f t="shared" si="25"/>
        <v>Social</v>
      </c>
      <c r="J166" s="19">
        <f t="shared" si="26"/>
        <v>242</v>
      </c>
      <c r="K166" s="19">
        <f t="shared" si="27"/>
        <v>-29</v>
      </c>
      <c r="L166" s="19">
        <f t="shared" si="28"/>
        <v>213</v>
      </c>
      <c r="M166" s="17">
        <f t="shared" si="29"/>
        <v>242</v>
      </c>
      <c r="N166" s="22">
        <f t="shared" si="30"/>
        <v>0.54570637119113574</v>
      </c>
      <c r="O166" s="22">
        <f t="shared" si="31"/>
        <v>0.31440443213296398</v>
      </c>
      <c r="P166" s="22">
        <f t="shared" si="32"/>
        <v>0.23130193905817176</v>
      </c>
      <c r="Q166" t="str">
        <f t="shared" si="33"/>
        <v/>
      </c>
      <c r="S166">
        <f t="shared" si="34"/>
        <v>242.0009834</v>
      </c>
      <c r="T166" s="23">
        <f t="shared" si="35"/>
        <v>0.23228533905817175</v>
      </c>
    </row>
    <row r="167" spans="1:20" ht="15" customHeight="1" x14ac:dyDescent="0.35">
      <c r="A167" t="str">
        <f>Benchmarking!A167</f>
        <v>eBay Inc</v>
      </c>
      <c r="B167" t="str">
        <f>Benchmarking!B167</f>
        <v>ebay</v>
      </c>
      <c r="C167" t="str">
        <f>Benchmarking!C167</f>
        <v>Retail</v>
      </c>
      <c r="D167" s="17">
        <f>Benchmarking!D167</f>
        <v>500</v>
      </c>
      <c r="E167" s="17">
        <f>Benchmarking!E167</f>
        <v>302</v>
      </c>
      <c r="F167" s="17">
        <f>Benchmarking!F167</f>
        <v>305</v>
      </c>
      <c r="G167" s="17">
        <f>Benchmarking!G167</f>
        <v>1107</v>
      </c>
      <c r="H167" t="str">
        <f t="shared" si="24"/>
        <v>Environmental</v>
      </c>
      <c r="I167" t="str">
        <f t="shared" si="25"/>
        <v>Social</v>
      </c>
      <c r="J167" s="19">
        <f t="shared" si="26"/>
        <v>198</v>
      </c>
      <c r="K167" s="19">
        <f t="shared" si="27"/>
        <v>-3</v>
      </c>
      <c r="L167" s="19">
        <f t="shared" si="28"/>
        <v>195</v>
      </c>
      <c r="M167" s="17">
        <f t="shared" si="29"/>
        <v>198</v>
      </c>
      <c r="N167" s="22">
        <f t="shared" si="30"/>
        <v>0.62880886426592797</v>
      </c>
      <c r="O167" s="22">
        <f t="shared" si="31"/>
        <v>0.49722991689750695</v>
      </c>
      <c r="P167" s="22">
        <f t="shared" si="32"/>
        <v>0.13157894736842102</v>
      </c>
      <c r="Q167" t="str">
        <f t="shared" si="33"/>
        <v/>
      </c>
      <c r="S167">
        <f t="shared" si="34"/>
        <v>198.0009833</v>
      </c>
      <c r="T167" s="23">
        <f t="shared" si="35"/>
        <v>0.13256224736842101</v>
      </c>
    </row>
    <row r="168" spans="1:20" ht="15" customHeight="1" x14ac:dyDescent="0.35">
      <c r="A168" t="str">
        <f>Benchmarking!A168</f>
        <v>LKQ Corp</v>
      </c>
      <c r="B168" t="str">
        <f>Benchmarking!B168</f>
        <v>lkq</v>
      </c>
      <c r="C168" t="str">
        <f>Benchmarking!C168</f>
        <v>Distributors</v>
      </c>
      <c r="D168" s="17">
        <f>Benchmarking!D168</f>
        <v>515</v>
      </c>
      <c r="E168" s="17">
        <f>Benchmarking!E168</f>
        <v>300</v>
      </c>
      <c r="F168" s="17">
        <f>Benchmarking!F168</f>
        <v>305</v>
      </c>
      <c r="G168" s="17">
        <f>Benchmarking!G168</f>
        <v>1120</v>
      </c>
      <c r="H168" t="str">
        <f t="shared" si="24"/>
        <v>Environmental</v>
      </c>
      <c r="I168" t="str">
        <f t="shared" si="25"/>
        <v>Social</v>
      </c>
      <c r="J168" s="19">
        <f t="shared" si="26"/>
        <v>215</v>
      </c>
      <c r="K168" s="19">
        <f t="shared" si="27"/>
        <v>-5</v>
      </c>
      <c r="L168" s="19">
        <f t="shared" si="28"/>
        <v>210</v>
      </c>
      <c r="M168" s="17">
        <f t="shared" si="29"/>
        <v>215</v>
      </c>
      <c r="N168" s="22">
        <f t="shared" si="30"/>
        <v>0.66204986149584488</v>
      </c>
      <c r="O168" s="22">
        <f t="shared" si="31"/>
        <v>0.36565096952908588</v>
      </c>
      <c r="P168" s="22">
        <f t="shared" si="32"/>
        <v>0.296398891966759</v>
      </c>
      <c r="Q168" t="str">
        <f t="shared" si="33"/>
        <v/>
      </c>
      <c r="S168">
        <f t="shared" si="34"/>
        <v>215.00098320000001</v>
      </c>
      <c r="T168" s="23">
        <f t="shared" si="35"/>
        <v>0.29738209196675902</v>
      </c>
    </row>
    <row r="169" spans="1:20" ht="15" customHeight="1" x14ac:dyDescent="0.35">
      <c r="A169" t="str">
        <f>Benchmarking!A169</f>
        <v>Alphabet Inc</v>
      </c>
      <c r="B169" t="str">
        <f>Benchmarking!B169</f>
        <v>googl</v>
      </c>
      <c r="C169" t="str">
        <f>Benchmarking!C169</f>
        <v>Media</v>
      </c>
      <c r="D169" s="17">
        <f>Benchmarking!D169</f>
        <v>295</v>
      </c>
      <c r="E169" s="17">
        <f>Benchmarking!E169</f>
        <v>362</v>
      </c>
      <c r="F169" s="17">
        <f>Benchmarking!F169</f>
        <v>355</v>
      </c>
      <c r="G169" s="17">
        <f>Benchmarking!G169</f>
        <v>1012</v>
      </c>
      <c r="H169" t="str">
        <f t="shared" si="24"/>
        <v>Social</v>
      </c>
      <c r="I169" t="str">
        <f t="shared" si="25"/>
        <v>Environmental</v>
      </c>
      <c r="J169" s="19">
        <f t="shared" si="26"/>
        <v>-67</v>
      </c>
      <c r="K169" s="19">
        <f t="shared" si="27"/>
        <v>7</v>
      </c>
      <c r="L169" s="19">
        <f t="shared" si="28"/>
        <v>-60</v>
      </c>
      <c r="M169" s="17">
        <f t="shared" si="29"/>
        <v>67</v>
      </c>
      <c r="N169" s="22">
        <f t="shared" si="30"/>
        <v>0.4806094182825485</v>
      </c>
      <c r="O169" s="22">
        <f t="shared" si="31"/>
        <v>0.34487534626038779</v>
      </c>
      <c r="P169" s="22">
        <f t="shared" si="32"/>
        <v>0.1357340720221607</v>
      </c>
      <c r="Q169" t="str">
        <f t="shared" si="33"/>
        <v/>
      </c>
      <c r="S169">
        <f t="shared" si="34"/>
        <v>67.000983099999999</v>
      </c>
      <c r="T169" s="23">
        <f t="shared" si="35"/>
        <v>0.13671717202216069</v>
      </c>
    </row>
    <row r="170" spans="1:20" ht="15" customHeight="1" x14ac:dyDescent="0.35">
      <c r="A170" t="str">
        <f>Benchmarking!A170</f>
        <v>Marriott International Inc</v>
      </c>
      <c r="B170" t="str">
        <f>Benchmarking!B170</f>
        <v>mar</v>
      </c>
      <c r="C170" t="str">
        <f>Benchmarking!C170</f>
        <v>Hotels Restaurants &amp; Leisure</v>
      </c>
      <c r="D170" s="17">
        <f>Benchmarking!D170</f>
        <v>215</v>
      </c>
      <c r="E170" s="17">
        <f>Benchmarking!E170</f>
        <v>200</v>
      </c>
      <c r="F170" s="17">
        <f>Benchmarking!F170</f>
        <v>215</v>
      </c>
      <c r="G170" s="17">
        <f>Benchmarking!G170</f>
        <v>630</v>
      </c>
      <c r="H170" t="str">
        <f t="shared" si="24"/>
        <v>Environmental</v>
      </c>
      <c r="I170" t="str">
        <f t="shared" si="25"/>
        <v>Social</v>
      </c>
      <c r="J170" s="19">
        <f t="shared" si="26"/>
        <v>15</v>
      </c>
      <c r="K170" s="19">
        <f t="shared" si="27"/>
        <v>-15</v>
      </c>
      <c r="L170" s="19">
        <f t="shared" si="28"/>
        <v>0</v>
      </c>
      <c r="M170" s="17">
        <f t="shared" si="29"/>
        <v>15</v>
      </c>
      <c r="N170" s="22">
        <f t="shared" si="30"/>
        <v>5.817174515235457E-2</v>
      </c>
      <c r="O170" s="22">
        <f t="shared" si="31"/>
        <v>2.7700831024930748E-3</v>
      </c>
      <c r="P170" s="22">
        <f t="shared" si="32"/>
        <v>5.5401662049861494E-2</v>
      </c>
      <c r="Q170" t="str">
        <f t="shared" si="33"/>
        <v/>
      </c>
      <c r="S170">
        <f t="shared" si="34"/>
        <v>15.000983</v>
      </c>
      <c r="T170" s="23">
        <f t="shared" si="35"/>
        <v>5.6384662049861492E-2</v>
      </c>
    </row>
    <row r="171" spans="1:20" ht="15" customHeight="1" x14ac:dyDescent="0.35">
      <c r="A171" t="str">
        <f>Benchmarking!A171</f>
        <v>Microchip Technology Inc</v>
      </c>
      <c r="B171" t="str">
        <f>Benchmarking!B171</f>
        <v>mchp</v>
      </c>
      <c r="C171" t="str">
        <f>Benchmarking!C171</f>
        <v>Semiconductors</v>
      </c>
      <c r="D171" s="17">
        <f>Benchmarking!D171</f>
        <v>500</v>
      </c>
      <c r="E171" s="17">
        <f>Benchmarking!E171</f>
        <v>300</v>
      </c>
      <c r="F171" s="17">
        <f>Benchmarking!F171</f>
        <v>300</v>
      </c>
      <c r="G171" s="17">
        <f>Benchmarking!G171</f>
        <v>1100</v>
      </c>
      <c r="H171" t="str">
        <f t="shared" si="24"/>
        <v>Environmental</v>
      </c>
      <c r="I171" t="str">
        <f t="shared" si="25"/>
        <v>Social</v>
      </c>
      <c r="J171" s="19">
        <f t="shared" si="26"/>
        <v>200</v>
      </c>
      <c r="K171" s="19">
        <f t="shared" si="27"/>
        <v>0</v>
      </c>
      <c r="L171" s="19">
        <f t="shared" si="28"/>
        <v>200</v>
      </c>
      <c r="M171" s="17">
        <f t="shared" si="29"/>
        <v>200</v>
      </c>
      <c r="N171" s="22">
        <f t="shared" si="30"/>
        <v>0.56925207756232687</v>
      </c>
      <c r="O171" s="22">
        <f t="shared" si="31"/>
        <v>0.36565096952908588</v>
      </c>
      <c r="P171" s="22">
        <f t="shared" si="32"/>
        <v>0.203601108033241</v>
      </c>
      <c r="Q171" t="str">
        <f t="shared" si="33"/>
        <v/>
      </c>
      <c r="S171">
        <f t="shared" si="34"/>
        <v>200.0009829</v>
      </c>
      <c r="T171" s="23">
        <f t="shared" si="35"/>
        <v>0.204584008033241</v>
      </c>
    </row>
    <row r="172" spans="1:20" ht="15" customHeight="1" x14ac:dyDescent="0.35">
      <c r="A172" t="str">
        <f>Benchmarking!A172</f>
        <v>Lam Research Corp</v>
      </c>
      <c r="B172" t="str">
        <f>Benchmarking!B172</f>
        <v>lrcx</v>
      </c>
      <c r="C172" t="str">
        <f>Benchmarking!C172</f>
        <v>Semiconductors</v>
      </c>
      <c r="D172" s="17">
        <f>Benchmarking!D172</f>
        <v>510</v>
      </c>
      <c r="E172" s="17">
        <f>Benchmarking!E172</f>
        <v>325</v>
      </c>
      <c r="F172" s="17">
        <f>Benchmarking!F172</f>
        <v>315</v>
      </c>
      <c r="G172" s="17">
        <f>Benchmarking!G172</f>
        <v>1150</v>
      </c>
      <c r="H172" t="str">
        <f t="shared" si="24"/>
        <v>Environmental</v>
      </c>
      <c r="I172" t="str">
        <f t="shared" si="25"/>
        <v>Governance</v>
      </c>
      <c r="J172" s="19">
        <f t="shared" si="26"/>
        <v>185</v>
      </c>
      <c r="K172" s="19">
        <f t="shared" si="27"/>
        <v>10</v>
      </c>
      <c r="L172" s="19">
        <f t="shared" si="28"/>
        <v>195</v>
      </c>
      <c r="M172" s="17">
        <f t="shared" si="29"/>
        <v>195</v>
      </c>
      <c r="N172" s="22">
        <f t="shared" si="30"/>
        <v>0.76454293628808867</v>
      </c>
      <c r="O172" s="22">
        <f t="shared" si="31"/>
        <v>0.66620498614958445</v>
      </c>
      <c r="P172" s="22">
        <f t="shared" si="32"/>
        <v>9.8337950138504215E-2</v>
      </c>
      <c r="Q172" t="str">
        <f t="shared" si="33"/>
        <v/>
      </c>
      <c r="S172">
        <f t="shared" si="34"/>
        <v>195.0009828</v>
      </c>
      <c r="T172" s="23">
        <f t="shared" si="35"/>
        <v>9.9320750138504221E-2</v>
      </c>
    </row>
    <row r="173" spans="1:20" ht="15" customHeight="1" x14ac:dyDescent="0.35">
      <c r="A173" t="str">
        <f>Benchmarking!A173</f>
        <v>Mondelez International Inc</v>
      </c>
      <c r="B173" t="str">
        <f>Benchmarking!B173</f>
        <v>mdlz</v>
      </c>
      <c r="C173" t="str">
        <f>Benchmarking!C173</f>
        <v>Food Products</v>
      </c>
      <c r="D173" s="17">
        <f>Benchmarking!D173</f>
        <v>520</v>
      </c>
      <c r="E173" s="17">
        <f>Benchmarking!E173</f>
        <v>307</v>
      </c>
      <c r="F173" s="17">
        <f>Benchmarking!F173</f>
        <v>300</v>
      </c>
      <c r="G173" s="17">
        <f>Benchmarking!G173</f>
        <v>1127</v>
      </c>
      <c r="H173" t="str">
        <f t="shared" si="24"/>
        <v>Environmental</v>
      </c>
      <c r="I173" t="str">
        <f t="shared" si="25"/>
        <v>Governance</v>
      </c>
      <c r="J173" s="19">
        <f t="shared" si="26"/>
        <v>213</v>
      </c>
      <c r="K173" s="19">
        <f t="shared" si="27"/>
        <v>7</v>
      </c>
      <c r="L173" s="19">
        <f t="shared" si="28"/>
        <v>220</v>
      </c>
      <c r="M173" s="17">
        <f t="shared" si="29"/>
        <v>220</v>
      </c>
      <c r="N173" s="22">
        <f t="shared" si="30"/>
        <v>0.68144044321329644</v>
      </c>
      <c r="O173" s="22">
        <f t="shared" si="31"/>
        <v>0.39335180055401664</v>
      </c>
      <c r="P173" s="22">
        <f t="shared" si="32"/>
        <v>0.2880886426592798</v>
      </c>
      <c r="Q173" t="str">
        <f t="shared" si="33"/>
        <v/>
      </c>
      <c r="S173">
        <f t="shared" si="34"/>
        <v>220.00098270000001</v>
      </c>
      <c r="T173" s="23">
        <f t="shared" si="35"/>
        <v>0.28907134265927981</v>
      </c>
    </row>
    <row r="174" spans="1:20" ht="15" customHeight="1" x14ac:dyDescent="0.35">
      <c r="A174" t="str">
        <f>Benchmarking!A174</f>
        <v>Meta Platforms Inc</v>
      </c>
      <c r="B174" t="str">
        <f>Benchmarking!B174</f>
        <v>meta</v>
      </c>
      <c r="C174" t="str">
        <f>Benchmarking!C174</f>
        <v>Media</v>
      </c>
      <c r="D174" s="17">
        <f>Benchmarking!D174</f>
        <v>205</v>
      </c>
      <c r="E174" s="17">
        <f>Benchmarking!E174</f>
        <v>232</v>
      </c>
      <c r="F174" s="17">
        <f>Benchmarking!F174</f>
        <v>215</v>
      </c>
      <c r="G174" s="17">
        <f>Benchmarking!G174</f>
        <v>652</v>
      </c>
      <c r="H174" t="str">
        <f t="shared" si="24"/>
        <v>Social</v>
      </c>
      <c r="I174" t="str">
        <f t="shared" si="25"/>
        <v>Environmental</v>
      </c>
      <c r="J174" s="19">
        <f t="shared" si="26"/>
        <v>-27</v>
      </c>
      <c r="K174" s="19">
        <f t="shared" si="27"/>
        <v>17</v>
      </c>
      <c r="L174" s="19">
        <f t="shared" si="28"/>
        <v>-10</v>
      </c>
      <c r="M174" s="17">
        <f t="shared" si="29"/>
        <v>27</v>
      </c>
      <c r="N174" s="22">
        <f t="shared" si="30"/>
        <v>9.833795013850416E-2</v>
      </c>
      <c r="O174" s="22">
        <f t="shared" si="31"/>
        <v>5.6786703601108032E-2</v>
      </c>
      <c r="P174" s="22">
        <f t="shared" si="32"/>
        <v>4.1551246537396128E-2</v>
      </c>
      <c r="Q174" t="str">
        <f t="shared" si="33"/>
        <v/>
      </c>
      <c r="S174">
        <f t="shared" si="34"/>
        <v>27.0009826</v>
      </c>
      <c r="T174" s="23">
        <f t="shared" si="35"/>
        <v>4.2533846537396128E-2</v>
      </c>
    </row>
    <row r="175" spans="1:20" ht="15" customHeight="1" x14ac:dyDescent="0.35">
      <c r="A175" t="str">
        <f>Benchmarking!A175</f>
        <v>Marketaxess Holdings Inc</v>
      </c>
      <c r="B175" t="str">
        <f>Benchmarking!B175</f>
        <v>mktx</v>
      </c>
      <c r="C175" t="str">
        <f>Benchmarking!C175</f>
        <v>Financial Services</v>
      </c>
      <c r="D175" s="17">
        <f>Benchmarking!D175</f>
        <v>230</v>
      </c>
      <c r="E175" s="17">
        <f>Benchmarking!E175</f>
        <v>213</v>
      </c>
      <c r="F175" s="17">
        <f>Benchmarking!F175</f>
        <v>210</v>
      </c>
      <c r="G175" s="17">
        <f>Benchmarking!G175</f>
        <v>653</v>
      </c>
      <c r="H175" t="str">
        <f t="shared" si="24"/>
        <v>Environmental</v>
      </c>
      <c r="I175" t="str">
        <f t="shared" si="25"/>
        <v>Governance</v>
      </c>
      <c r="J175" s="19">
        <f t="shared" si="26"/>
        <v>17</v>
      </c>
      <c r="K175" s="19">
        <f t="shared" si="27"/>
        <v>3</v>
      </c>
      <c r="L175" s="19">
        <f t="shared" si="28"/>
        <v>20</v>
      </c>
      <c r="M175" s="17">
        <f t="shared" si="29"/>
        <v>20</v>
      </c>
      <c r="N175" s="22">
        <f t="shared" si="30"/>
        <v>9.9722991689750698E-2</v>
      </c>
      <c r="O175" s="22">
        <f t="shared" si="31"/>
        <v>0.12049861495844875</v>
      </c>
      <c r="P175" s="22">
        <f t="shared" si="32"/>
        <v>-2.0775623268698057E-2</v>
      </c>
      <c r="Q175" t="str">
        <f t="shared" si="33"/>
        <v/>
      </c>
      <c r="S175">
        <f t="shared" si="34"/>
        <v>20.000982499999999</v>
      </c>
      <c r="T175" s="23">
        <f t="shared" si="35"/>
        <v>-1.9793123268698056E-2</v>
      </c>
    </row>
    <row r="176" spans="1:20" ht="15" customHeight="1" x14ac:dyDescent="0.35">
      <c r="A176" t="str">
        <f>Benchmarking!A176</f>
        <v>Monster Beverage Corp</v>
      </c>
      <c r="B176" t="str">
        <f>Benchmarking!B176</f>
        <v>mnst</v>
      </c>
      <c r="C176" t="str">
        <f>Benchmarking!C176</f>
        <v>Beverages</v>
      </c>
      <c r="D176" s="17">
        <f>Benchmarking!D176</f>
        <v>515</v>
      </c>
      <c r="E176" s="17">
        <f>Benchmarking!E176</f>
        <v>344</v>
      </c>
      <c r="F176" s="17">
        <f>Benchmarking!F176</f>
        <v>300</v>
      </c>
      <c r="G176" s="17">
        <f>Benchmarking!G176</f>
        <v>1159</v>
      </c>
      <c r="H176" t="str">
        <f t="shared" si="24"/>
        <v>Environmental</v>
      </c>
      <c r="I176" t="str">
        <f t="shared" si="25"/>
        <v>Governance</v>
      </c>
      <c r="J176" s="19">
        <f t="shared" si="26"/>
        <v>171</v>
      </c>
      <c r="K176" s="19">
        <f t="shared" si="27"/>
        <v>44</v>
      </c>
      <c r="L176" s="19">
        <f t="shared" si="28"/>
        <v>215</v>
      </c>
      <c r="M176" s="17">
        <f t="shared" si="29"/>
        <v>215</v>
      </c>
      <c r="N176" s="22">
        <f t="shared" si="30"/>
        <v>0.7936288088642659</v>
      </c>
      <c r="O176" s="22">
        <f t="shared" si="31"/>
        <v>0.39335180055401664</v>
      </c>
      <c r="P176" s="22">
        <f t="shared" si="32"/>
        <v>0.40027700831024926</v>
      </c>
      <c r="Q176" t="str">
        <f t="shared" si="33"/>
        <v>High ESG / weak pillar (analytical flag - not an ESG rating) - warrants investigation</v>
      </c>
      <c r="S176">
        <f t="shared" si="34"/>
        <v>215.0009824</v>
      </c>
      <c r="T176" s="23">
        <f t="shared" si="35"/>
        <v>0.40125940831024925</v>
      </c>
    </row>
    <row r="177" spans="1:20" ht="15" customHeight="1" x14ac:dyDescent="0.35">
      <c r="A177" t="str">
        <f>Benchmarking!A177</f>
        <v>Moderna Inc</v>
      </c>
      <c r="B177" t="str">
        <f>Benchmarking!B177</f>
        <v>mrna</v>
      </c>
      <c r="C177" t="str">
        <f>Benchmarking!C177</f>
        <v>Biotechnology</v>
      </c>
      <c r="D177" s="17">
        <f>Benchmarking!D177</f>
        <v>500</v>
      </c>
      <c r="E177" s="17">
        <f>Benchmarking!E177</f>
        <v>300</v>
      </c>
      <c r="F177" s="17">
        <f>Benchmarking!F177</f>
        <v>300</v>
      </c>
      <c r="G177" s="17">
        <f>Benchmarking!G177</f>
        <v>1100</v>
      </c>
      <c r="H177" t="str">
        <f t="shared" si="24"/>
        <v>Environmental</v>
      </c>
      <c r="I177" t="str">
        <f t="shared" si="25"/>
        <v>Social</v>
      </c>
      <c r="J177" s="19">
        <f t="shared" si="26"/>
        <v>200</v>
      </c>
      <c r="K177" s="19">
        <f t="shared" si="27"/>
        <v>0</v>
      </c>
      <c r="L177" s="19">
        <f t="shared" si="28"/>
        <v>200</v>
      </c>
      <c r="M177" s="17">
        <f t="shared" si="29"/>
        <v>200</v>
      </c>
      <c r="N177" s="22">
        <f t="shared" si="30"/>
        <v>0.56925207756232687</v>
      </c>
      <c r="O177" s="22">
        <f t="shared" si="31"/>
        <v>0.36565096952908588</v>
      </c>
      <c r="P177" s="22">
        <f t="shared" si="32"/>
        <v>0.203601108033241</v>
      </c>
      <c r="Q177" t="str">
        <f t="shared" si="33"/>
        <v/>
      </c>
      <c r="S177">
        <f t="shared" si="34"/>
        <v>200.0009823</v>
      </c>
      <c r="T177" s="23">
        <f t="shared" si="35"/>
        <v>0.20458340803324099</v>
      </c>
    </row>
    <row r="178" spans="1:20" ht="15" customHeight="1" x14ac:dyDescent="0.35">
      <c r="A178" t="str">
        <f>Benchmarking!A178</f>
        <v>Match Group Inc</v>
      </c>
      <c r="B178" t="str">
        <f>Benchmarking!B178</f>
        <v>mtch</v>
      </c>
      <c r="C178" t="str">
        <f>Benchmarking!C178</f>
        <v>Media</v>
      </c>
      <c r="D178" s="17">
        <f>Benchmarking!D178</f>
        <v>245</v>
      </c>
      <c r="E178" s="17">
        <f>Benchmarking!E178</f>
        <v>389</v>
      </c>
      <c r="F178" s="17">
        <f>Benchmarking!F178</f>
        <v>311</v>
      </c>
      <c r="G178" s="17">
        <f>Benchmarking!G178</f>
        <v>945</v>
      </c>
      <c r="H178" t="str">
        <f t="shared" si="24"/>
        <v>Social</v>
      </c>
      <c r="I178" t="str">
        <f t="shared" si="25"/>
        <v>Environmental</v>
      </c>
      <c r="J178" s="19">
        <f t="shared" si="26"/>
        <v>-144</v>
      </c>
      <c r="K178" s="19">
        <f t="shared" si="27"/>
        <v>78</v>
      </c>
      <c r="L178" s="19">
        <f t="shared" si="28"/>
        <v>-66</v>
      </c>
      <c r="M178" s="17">
        <f t="shared" si="29"/>
        <v>144</v>
      </c>
      <c r="N178" s="22">
        <f t="shared" si="30"/>
        <v>0.41551246537396119</v>
      </c>
      <c r="O178" s="22">
        <f t="shared" si="31"/>
        <v>0.25623268698060941</v>
      </c>
      <c r="P178" s="22">
        <f t="shared" si="32"/>
        <v>0.15927977839335178</v>
      </c>
      <c r="Q178" t="str">
        <f t="shared" si="33"/>
        <v/>
      </c>
      <c r="S178">
        <f t="shared" si="34"/>
        <v>144.00098220000001</v>
      </c>
      <c r="T178" s="23">
        <f t="shared" si="35"/>
        <v>0.16026197839335177</v>
      </c>
    </row>
    <row r="179" spans="1:20" ht="15" customHeight="1" x14ac:dyDescent="0.35">
      <c r="A179" t="str">
        <f>Benchmarking!A179</f>
        <v>Monolithic Power Systems Inc</v>
      </c>
      <c r="B179" t="str">
        <f>Benchmarking!B179</f>
        <v>mpwr</v>
      </c>
      <c r="C179" t="str">
        <f>Benchmarking!C179</f>
        <v>Semiconductors</v>
      </c>
      <c r="D179" s="17">
        <f>Benchmarking!D179</f>
        <v>330</v>
      </c>
      <c r="E179" s="17">
        <f>Benchmarking!E179</f>
        <v>287</v>
      </c>
      <c r="F179" s="17">
        <f>Benchmarking!F179</f>
        <v>235</v>
      </c>
      <c r="G179" s="17">
        <f>Benchmarking!G179</f>
        <v>852</v>
      </c>
      <c r="H179" t="str">
        <f t="shared" si="24"/>
        <v>Environmental</v>
      </c>
      <c r="I179" t="str">
        <f t="shared" si="25"/>
        <v>Governance</v>
      </c>
      <c r="J179" s="19">
        <f t="shared" si="26"/>
        <v>43</v>
      </c>
      <c r="K179" s="19">
        <f t="shared" si="27"/>
        <v>52</v>
      </c>
      <c r="L179" s="19">
        <f t="shared" si="28"/>
        <v>95</v>
      </c>
      <c r="M179" s="17">
        <f t="shared" si="29"/>
        <v>95</v>
      </c>
      <c r="N179" s="22">
        <f t="shared" si="30"/>
        <v>0.34072022160664822</v>
      </c>
      <c r="O179" s="22">
        <f t="shared" si="31"/>
        <v>0.24653739612188366</v>
      </c>
      <c r="P179" s="22">
        <f t="shared" si="32"/>
        <v>9.418282548476456E-2</v>
      </c>
      <c r="Q179" t="str">
        <f t="shared" si="33"/>
        <v/>
      </c>
      <c r="S179">
        <f t="shared" si="34"/>
        <v>95.000982100000002</v>
      </c>
      <c r="T179" s="23">
        <f t="shared" si="35"/>
        <v>9.5164925484764559E-2</v>
      </c>
    </row>
    <row r="180" spans="1:20" ht="15" customHeight="1" x14ac:dyDescent="0.35">
      <c r="A180" t="str">
        <f>Benchmarking!A180</f>
        <v>Microsoft Corp</v>
      </c>
      <c r="B180" t="str">
        <f>Benchmarking!B180</f>
        <v>msft</v>
      </c>
      <c r="C180" t="str">
        <f>Benchmarking!C180</f>
        <v>Technology</v>
      </c>
      <c r="D180" s="17">
        <f>Benchmarking!D180</f>
        <v>715</v>
      </c>
      <c r="E180" s="17">
        <f>Benchmarking!E180</f>
        <v>443</v>
      </c>
      <c r="F180" s="17">
        <f>Benchmarking!F180</f>
        <v>375</v>
      </c>
      <c r="G180" s="17">
        <f>Benchmarking!G180</f>
        <v>1533</v>
      </c>
      <c r="H180" t="str">
        <f t="shared" si="24"/>
        <v>Environmental</v>
      </c>
      <c r="I180" t="str">
        <f t="shared" si="25"/>
        <v>Governance</v>
      </c>
      <c r="J180" s="19">
        <f t="shared" si="26"/>
        <v>272</v>
      </c>
      <c r="K180" s="19">
        <f t="shared" si="27"/>
        <v>68</v>
      </c>
      <c r="L180" s="19">
        <f t="shared" si="28"/>
        <v>340</v>
      </c>
      <c r="M180" s="17">
        <f t="shared" si="29"/>
        <v>340</v>
      </c>
      <c r="N180" s="22">
        <f t="shared" si="30"/>
        <v>0.99861495844875348</v>
      </c>
      <c r="O180" s="22">
        <f t="shared" si="31"/>
        <v>0.99168975069252074</v>
      </c>
      <c r="P180" s="22">
        <f t="shared" si="32"/>
        <v>6.9252077562327319E-3</v>
      </c>
      <c r="Q180" t="str">
        <f t="shared" si="33"/>
        <v/>
      </c>
      <c r="S180">
        <f t="shared" si="34"/>
        <v>340.00098200000002</v>
      </c>
      <c r="T180" s="23">
        <f t="shared" si="35"/>
        <v>7.9072077562327321E-3</v>
      </c>
    </row>
    <row r="181" spans="1:20" ht="15" customHeight="1" x14ac:dyDescent="0.35">
      <c r="A181" t="str">
        <f>Benchmarking!A181</f>
        <v>Micron Technology Inc</v>
      </c>
      <c r="B181" t="str">
        <f>Benchmarking!B181</f>
        <v>mu</v>
      </c>
      <c r="C181" t="str">
        <f>Benchmarking!C181</f>
        <v>Semiconductors</v>
      </c>
      <c r="D181" s="17">
        <f>Benchmarking!D181</f>
        <v>530</v>
      </c>
      <c r="E181" s="17">
        <f>Benchmarking!E181</f>
        <v>330</v>
      </c>
      <c r="F181" s="17">
        <f>Benchmarking!F181</f>
        <v>300</v>
      </c>
      <c r="G181" s="17">
        <f>Benchmarking!G181</f>
        <v>1160</v>
      </c>
      <c r="H181" t="str">
        <f t="shared" si="24"/>
        <v>Environmental</v>
      </c>
      <c r="I181" t="str">
        <f t="shared" si="25"/>
        <v>Governance</v>
      </c>
      <c r="J181" s="19">
        <f t="shared" si="26"/>
        <v>200</v>
      </c>
      <c r="K181" s="19">
        <f t="shared" si="27"/>
        <v>30</v>
      </c>
      <c r="L181" s="19">
        <f t="shared" si="28"/>
        <v>230</v>
      </c>
      <c r="M181" s="17">
        <f t="shared" si="29"/>
        <v>230</v>
      </c>
      <c r="N181" s="22">
        <f t="shared" si="30"/>
        <v>0.79639889196675895</v>
      </c>
      <c r="O181" s="22">
        <f t="shared" si="31"/>
        <v>0.39335180055401664</v>
      </c>
      <c r="P181" s="22">
        <f t="shared" si="32"/>
        <v>0.40304709141274231</v>
      </c>
      <c r="Q181" t="str">
        <f t="shared" si="33"/>
        <v>High ESG / weak pillar (analytical flag - not an ESG rating) - warrants investigation</v>
      </c>
      <c r="S181">
        <f t="shared" si="34"/>
        <v>230.0009819</v>
      </c>
      <c r="T181" s="23">
        <f t="shared" si="35"/>
        <v>0.40402899141274229</v>
      </c>
    </row>
    <row r="182" spans="1:20" ht="15" customHeight="1" x14ac:dyDescent="0.35">
      <c r="A182" t="str">
        <f>Benchmarking!A182</f>
        <v>Nasdaq Inc</v>
      </c>
      <c r="B182" t="str">
        <f>Benchmarking!B182</f>
        <v>ndaq</v>
      </c>
      <c r="C182" t="str">
        <f>Benchmarking!C182</f>
        <v>Financial Services</v>
      </c>
      <c r="D182" s="17">
        <f>Benchmarking!D182</f>
        <v>505</v>
      </c>
      <c r="E182" s="17">
        <f>Benchmarking!E182</f>
        <v>310</v>
      </c>
      <c r="F182" s="17">
        <f>Benchmarking!F182</f>
        <v>300</v>
      </c>
      <c r="G182" s="17">
        <f>Benchmarking!G182</f>
        <v>1115</v>
      </c>
      <c r="H182" t="str">
        <f t="shared" si="24"/>
        <v>Environmental</v>
      </c>
      <c r="I182" t="str">
        <f t="shared" si="25"/>
        <v>Governance</v>
      </c>
      <c r="J182" s="19">
        <f t="shared" si="26"/>
        <v>195</v>
      </c>
      <c r="K182" s="19">
        <f t="shared" si="27"/>
        <v>10</v>
      </c>
      <c r="L182" s="19">
        <f t="shared" si="28"/>
        <v>205</v>
      </c>
      <c r="M182" s="17">
        <f t="shared" si="29"/>
        <v>205</v>
      </c>
      <c r="N182" s="22">
        <f t="shared" si="30"/>
        <v>0.64958448753462605</v>
      </c>
      <c r="O182" s="22">
        <f t="shared" si="31"/>
        <v>0.39335180055401664</v>
      </c>
      <c r="P182" s="22">
        <f t="shared" si="32"/>
        <v>0.25623268698060941</v>
      </c>
      <c r="Q182" t="str">
        <f t="shared" si="33"/>
        <v/>
      </c>
      <c r="S182">
        <f t="shared" si="34"/>
        <v>205.00098180000001</v>
      </c>
      <c r="T182" s="23">
        <f t="shared" si="35"/>
        <v>0.25721448698060939</v>
      </c>
    </row>
    <row r="183" spans="1:20" ht="15" customHeight="1" x14ac:dyDescent="0.35">
      <c r="A183" t="str">
        <f>Benchmarking!A183</f>
        <v>NortonLifeLock Inc</v>
      </c>
      <c r="B183" t="str">
        <f>Benchmarking!B183</f>
        <v>nlok</v>
      </c>
      <c r="C183" t="str">
        <f>Benchmarking!C183</f>
        <v>Technology</v>
      </c>
      <c r="D183" s="17">
        <f>Benchmarking!D183</f>
        <v>505</v>
      </c>
      <c r="E183" s="17">
        <f>Benchmarking!E183</f>
        <v>315</v>
      </c>
      <c r="F183" s="17">
        <f>Benchmarking!F183</f>
        <v>305</v>
      </c>
      <c r="G183" s="17">
        <f>Benchmarking!G183</f>
        <v>1125</v>
      </c>
      <c r="H183" t="str">
        <f t="shared" si="24"/>
        <v>Environmental</v>
      </c>
      <c r="I183" t="str">
        <f t="shared" si="25"/>
        <v>Governance</v>
      </c>
      <c r="J183" s="19">
        <f t="shared" si="26"/>
        <v>190</v>
      </c>
      <c r="K183" s="19">
        <f t="shared" si="27"/>
        <v>10</v>
      </c>
      <c r="L183" s="19">
        <f t="shared" si="28"/>
        <v>200</v>
      </c>
      <c r="M183" s="17">
        <f t="shared" si="29"/>
        <v>200</v>
      </c>
      <c r="N183" s="22">
        <f t="shared" si="30"/>
        <v>0.67590027700831024</v>
      </c>
      <c r="O183" s="22">
        <f t="shared" si="31"/>
        <v>0.62326869806094187</v>
      </c>
      <c r="P183" s="22">
        <f t="shared" si="32"/>
        <v>5.2631578947368363E-2</v>
      </c>
      <c r="Q183" t="str">
        <f t="shared" si="33"/>
        <v/>
      </c>
      <c r="S183">
        <f t="shared" si="34"/>
        <v>200.00098170000001</v>
      </c>
      <c r="T183" s="23">
        <f t="shared" si="35"/>
        <v>5.3613278947368365E-2</v>
      </c>
    </row>
    <row r="184" spans="1:20" ht="15" customHeight="1" x14ac:dyDescent="0.35">
      <c r="A184" t="str">
        <f>Benchmarking!A184</f>
        <v>Northern Trust Corp</v>
      </c>
      <c r="B184" t="str">
        <f>Benchmarking!B184</f>
        <v>ntrs</v>
      </c>
      <c r="C184" t="str">
        <f>Benchmarking!C184</f>
        <v>Financial Services</v>
      </c>
      <c r="D184" s="17">
        <f>Benchmarking!D184</f>
        <v>250</v>
      </c>
      <c r="E184" s="17">
        <f>Benchmarking!E184</f>
        <v>226</v>
      </c>
      <c r="F184" s="17">
        <f>Benchmarking!F184</f>
        <v>225</v>
      </c>
      <c r="G184" s="17">
        <f>Benchmarking!G184</f>
        <v>701</v>
      </c>
      <c r="H184" t="str">
        <f t="shared" si="24"/>
        <v>Environmental</v>
      </c>
      <c r="I184" t="str">
        <f t="shared" si="25"/>
        <v>Governance</v>
      </c>
      <c r="J184" s="19">
        <f t="shared" si="26"/>
        <v>24</v>
      </c>
      <c r="K184" s="19">
        <f t="shared" si="27"/>
        <v>1</v>
      </c>
      <c r="L184" s="19">
        <f t="shared" si="28"/>
        <v>25</v>
      </c>
      <c r="M184" s="17">
        <f t="shared" si="29"/>
        <v>25</v>
      </c>
      <c r="N184" s="22">
        <f t="shared" si="30"/>
        <v>0.16481994459833796</v>
      </c>
      <c r="O184" s="22">
        <f t="shared" si="31"/>
        <v>0.17867036011080331</v>
      </c>
      <c r="P184" s="22">
        <f t="shared" si="32"/>
        <v>-1.3850415512465353E-2</v>
      </c>
      <c r="Q184" t="str">
        <f t="shared" si="33"/>
        <v/>
      </c>
      <c r="S184">
        <f t="shared" si="34"/>
        <v>25.000981599999999</v>
      </c>
      <c r="T184" s="23">
        <f t="shared" si="35"/>
        <v>-1.2868815512465354E-2</v>
      </c>
    </row>
    <row r="185" spans="1:20" ht="15" customHeight="1" x14ac:dyDescent="0.35">
      <c r="A185" t="str">
        <f>Benchmarking!A185</f>
        <v>Newell Brands Inc</v>
      </c>
      <c r="B185" t="str">
        <f>Benchmarking!B185</f>
        <v>nwl</v>
      </c>
      <c r="C185" t="str">
        <f>Benchmarking!C185</f>
        <v>Consumer products</v>
      </c>
      <c r="D185" s="17">
        <f>Benchmarking!D185</f>
        <v>525</v>
      </c>
      <c r="E185" s="17">
        <f>Benchmarking!E185</f>
        <v>303</v>
      </c>
      <c r="F185" s="17">
        <f>Benchmarking!F185</f>
        <v>315</v>
      </c>
      <c r="G185" s="17">
        <f>Benchmarking!G185</f>
        <v>1143</v>
      </c>
      <c r="H185" t="str">
        <f t="shared" si="24"/>
        <v>Environmental</v>
      </c>
      <c r="I185" t="str">
        <f t="shared" si="25"/>
        <v>Social</v>
      </c>
      <c r="J185" s="19">
        <f t="shared" si="26"/>
        <v>222</v>
      </c>
      <c r="K185" s="19">
        <f t="shared" si="27"/>
        <v>-12</v>
      </c>
      <c r="L185" s="19">
        <f t="shared" si="28"/>
        <v>210</v>
      </c>
      <c r="M185" s="17">
        <f t="shared" si="29"/>
        <v>222</v>
      </c>
      <c r="N185" s="22">
        <f t="shared" si="30"/>
        <v>0.74792243767313016</v>
      </c>
      <c r="O185" s="22">
        <f t="shared" si="31"/>
        <v>0.52493074792243766</v>
      </c>
      <c r="P185" s="22">
        <f t="shared" si="32"/>
        <v>0.2229916897506925</v>
      </c>
      <c r="Q185" t="str">
        <f t="shared" si="33"/>
        <v/>
      </c>
      <c r="S185">
        <f t="shared" si="34"/>
        <v>222.00098149999999</v>
      </c>
      <c r="T185" s="23">
        <f t="shared" si="35"/>
        <v>0.2239731897506925</v>
      </c>
    </row>
    <row r="186" spans="1:20" ht="15" customHeight="1" x14ac:dyDescent="0.35">
      <c r="A186" t="str">
        <f>Benchmarking!A186</f>
        <v>NVIDIA Corp</v>
      </c>
      <c r="B186" t="str">
        <f>Benchmarking!B186</f>
        <v>nvda</v>
      </c>
      <c r="C186" t="str">
        <f>Benchmarking!C186</f>
        <v>Semiconductors</v>
      </c>
      <c r="D186" s="17">
        <f>Benchmarking!D186</f>
        <v>323</v>
      </c>
      <c r="E186" s="17">
        <f>Benchmarking!E186</f>
        <v>301</v>
      </c>
      <c r="F186" s="17">
        <f>Benchmarking!F186</f>
        <v>275</v>
      </c>
      <c r="G186" s="17">
        <f>Benchmarking!G186</f>
        <v>899</v>
      </c>
      <c r="H186" t="str">
        <f t="shared" si="24"/>
        <v>Environmental</v>
      </c>
      <c r="I186" t="str">
        <f t="shared" si="25"/>
        <v>Governance</v>
      </c>
      <c r="J186" s="19">
        <f t="shared" si="26"/>
        <v>22</v>
      </c>
      <c r="K186" s="19">
        <f t="shared" si="27"/>
        <v>26</v>
      </c>
      <c r="L186" s="19">
        <f t="shared" si="28"/>
        <v>48</v>
      </c>
      <c r="M186" s="17">
        <f t="shared" si="29"/>
        <v>48</v>
      </c>
      <c r="N186" s="22">
        <f t="shared" si="30"/>
        <v>0.37119113573407203</v>
      </c>
      <c r="O186" s="22">
        <f t="shared" si="31"/>
        <v>0.35180055401662053</v>
      </c>
      <c r="P186" s="22">
        <f t="shared" si="32"/>
        <v>1.9390581717451505E-2</v>
      </c>
      <c r="Q186" t="str">
        <f t="shared" si="33"/>
        <v/>
      </c>
      <c r="S186">
        <f t="shared" si="34"/>
        <v>48.000981400000001</v>
      </c>
      <c r="T186" s="23">
        <f t="shared" si="35"/>
        <v>2.0371981717451505E-2</v>
      </c>
    </row>
    <row r="187" spans="1:20" ht="15" customHeight="1" x14ac:dyDescent="0.35">
      <c r="A187" t="str">
        <f>Benchmarking!A187</f>
        <v>Allakos Inc</v>
      </c>
      <c r="B187" t="str">
        <f>Benchmarking!B187</f>
        <v>allk</v>
      </c>
      <c r="C187" t="str">
        <f>Benchmarking!C187</f>
        <v>Biotechnology</v>
      </c>
      <c r="D187" s="17">
        <f>Benchmarking!D187</f>
        <v>200</v>
      </c>
      <c r="E187" s="17">
        <f>Benchmarking!E187</f>
        <v>273</v>
      </c>
      <c r="F187" s="17">
        <f>Benchmarking!F187</f>
        <v>300</v>
      </c>
      <c r="G187" s="17">
        <f>Benchmarking!G187</f>
        <v>773</v>
      </c>
      <c r="H187" t="str">
        <f t="shared" si="24"/>
        <v>Governance</v>
      </c>
      <c r="I187" t="str">
        <f t="shared" si="25"/>
        <v>Environmental</v>
      </c>
      <c r="J187" s="19">
        <f t="shared" si="26"/>
        <v>-73</v>
      </c>
      <c r="K187" s="19">
        <f t="shared" si="27"/>
        <v>-27</v>
      </c>
      <c r="L187" s="19">
        <f t="shared" si="28"/>
        <v>-100</v>
      </c>
      <c r="M187" s="17">
        <f t="shared" si="29"/>
        <v>100</v>
      </c>
      <c r="N187" s="22">
        <f t="shared" si="30"/>
        <v>0.27008310249307477</v>
      </c>
      <c r="O187" s="22">
        <f t="shared" si="31"/>
        <v>1.3850415512465374E-3</v>
      </c>
      <c r="P187" s="22">
        <f t="shared" si="32"/>
        <v>0.26869806094182824</v>
      </c>
      <c r="Q187" t="str">
        <f t="shared" si="33"/>
        <v/>
      </c>
      <c r="S187">
        <f t="shared" si="34"/>
        <v>100.00098130000001</v>
      </c>
      <c r="T187" s="23">
        <f t="shared" si="35"/>
        <v>0.26967936094182826</v>
      </c>
    </row>
    <row r="188" spans="1:20" ht="15" customHeight="1" x14ac:dyDescent="0.35">
      <c r="A188" t="str">
        <f>Benchmarking!A188</f>
        <v>News Corp</v>
      </c>
      <c r="B188" t="str">
        <f>Benchmarking!B188</f>
        <v>nwsa</v>
      </c>
      <c r="C188" t="str">
        <f>Benchmarking!C188</f>
        <v>Media</v>
      </c>
      <c r="D188" s="17">
        <f>Benchmarking!D188</f>
        <v>509</v>
      </c>
      <c r="E188" s="17">
        <f>Benchmarking!E188</f>
        <v>300</v>
      </c>
      <c r="F188" s="17">
        <f>Benchmarking!F188</f>
        <v>300</v>
      </c>
      <c r="G188" s="17">
        <f>Benchmarking!G188</f>
        <v>1109</v>
      </c>
      <c r="H188" t="str">
        <f t="shared" si="24"/>
        <v>Environmental</v>
      </c>
      <c r="I188" t="str">
        <f t="shared" si="25"/>
        <v>Social</v>
      </c>
      <c r="J188" s="19">
        <f t="shared" si="26"/>
        <v>209</v>
      </c>
      <c r="K188" s="19">
        <f t="shared" si="27"/>
        <v>0</v>
      </c>
      <c r="L188" s="19">
        <f t="shared" si="28"/>
        <v>209</v>
      </c>
      <c r="M188" s="17">
        <f t="shared" si="29"/>
        <v>209</v>
      </c>
      <c r="N188" s="22">
        <f t="shared" si="30"/>
        <v>0.63296398891966754</v>
      </c>
      <c r="O188" s="22">
        <f t="shared" si="31"/>
        <v>0.36565096952908588</v>
      </c>
      <c r="P188" s="22">
        <f t="shared" si="32"/>
        <v>0.26731301939058166</v>
      </c>
      <c r="Q188" t="str">
        <f t="shared" si="33"/>
        <v/>
      </c>
      <c r="S188">
        <f t="shared" si="34"/>
        <v>209.00098120000001</v>
      </c>
      <c r="T188" s="23">
        <f t="shared" si="35"/>
        <v>0.26829421939058168</v>
      </c>
    </row>
    <row r="189" spans="1:20" ht="15" customHeight="1" x14ac:dyDescent="0.35">
      <c r="A189" t="str">
        <f>Benchmarking!A189</f>
        <v>Old Dominion Freight Line Inc</v>
      </c>
      <c r="B189" t="str">
        <f>Benchmarking!B189</f>
        <v>odfl</v>
      </c>
      <c r="C189" t="str">
        <f>Benchmarking!C189</f>
        <v>Road &amp; Rail</v>
      </c>
      <c r="D189" s="17">
        <f>Benchmarking!D189</f>
        <v>467</v>
      </c>
      <c r="E189" s="17">
        <f>Benchmarking!E189</f>
        <v>423</v>
      </c>
      <c r="F189" s="17">
        <f>Benchmarking!F189</f>
        <v>280</v>
      </c>
      <c r="G189" s="17">
        <f>Benchmarking!G189</f>
        <v>1170</v>
      </c>
      <c r="H189" t="str">
        <f t="shared" si="24"/>
        <v>Environmental</v>
      </c>
      <c r="I189" t="str">
        <f t="shared" si="25"/>
        <v>Governance</v>
      </c>
      <c r="J189" s="19">
        <f t="shared" si="26"/>
        <v>44</v>
      </c>
      <c r="K189" s="19">
        <f t="shared" si="27"/>
        <v>143</v>
      </c>
      <c r="L189" s="19">
        <f t="shared" si="28"/>
        <v>187</v>
      </c>
      <c r="M189" s="17">
        <f t="shared" si="29"/>
        <v>187</v>
      </c>
      <c r="N189" s="22">
        <f t="shared" si="30"/>
        <v>0.82409972299168976</v>
      </c>
      <c r="O189" s="22">
        <f t="shared" si="31"/>
        <v>0.36426592797783935</v>
      </c>
      <c r="P189" s="22">
        <f t="shared" si="32"/>
        <v>0.45983379501385041</v>
      </c>
      <c r="Q189" t="str">
        <f t="shared" si="33"/>
        <v>High ESG / weak pillar (analytical flag - not an ESG rating) - warrants investigation</v>
      </c>
      <c r="S189">
        <f t="shared" si="34"/>
        <v>187.00098109999999</v>
      </c>
      <c r="T189" s="23">
        <f t="shared" si="35"/>
        <v>0.46081489501385042</v>
      </c>
    </row>
    <row r="190" spans="1:20" ht="15" customHeight="1" x14ac:dyDescent="0.35">
      <c r="A190" t="str">
        <f>Benchmarking!A190</f>
        <v>Paccar Inc</v>
      </c>
      <c r="B190" t="str">
        <f>Benchmarking!B190</f>
        <v>pcar</v>
      </c>
      <c r="C190" t="str">
        <f>Benchmarking!C190</f>
        <v>Machinery</v>
      </c>
      <c r="D190" s="17">
        <f>Benchmarking!D190</f>
        <v>568</v>
      </c>
      <c r="E190" s="17">
        <f>Benchmarking!E190</f>
        <v>343</v>
      </c>
      <c r="F190" s="17">
        <f>Benchmarking!F190</f>
        <v>305</v>
      </c>
      <c r="G190" s="17">
        <f>Benchmarking!G190</f>
        <v>1216</v>
      </c>
      <c r="H190" t="str">
        <f t="shared" si="24"/>
        <v>Environmental</v>
      </c>
      <c r="I190" t="str">
        <f t="shared" si="25"/>
        <v>Governance</v>
      </c>
      <c r="J190" s="19">
        <f t="shared" si="26"/>
        <v>225</v>
      </c>
      <c r="K190" s="19">
        <f t="shared" si="27"/>
        <v>38</v>
      </c>
      <c r="L190" s="19">
        <f t="shared" si="28"/>
        <v>263</v>
      </c>
      <c r="M190" s="17">
        <f t="shared" si="29"/>
        <v>263</v>
      </c>
      <c r="N190" s="22">
        <f t="shared" si="30"/>
        <v>0.90581717451523547</v>
      </c>
      <c r="O190" s="22">
        <f t="shared" si="31"/>
        <v>0.63296398891966754</v>
      </c>
      <c r="P190" s="22">
        <f t="shared" si="32"/>
        <v>0.27285318559556793</v>
      </c>
      <c r="Q190" t="str">
        <f t="shared" si="33"/>
        <v/>
      </c>
      <c r="S190">
        <f t="shared" si="34"/>
        <v>263.00098100000002</v>
      </c>
      <c r="T190" s="23">
        <f t="shared" si="35"/>
        <v>0.27383418559556794</v>
      </c>
    </row>
    <row r="191" spans="1:20" ht="15" customHeight="1" x14ac:dyDescent="0.35">
      <c r="A191" t="str">
        <f>Benchmarking!A191</f>
        <v>NXP Semiconductors NV</v>
      </c>
      <c r="B191" t="str">
        <f>Benchmarking!B191</f>
        <v>nxpi</v>
      </c>
      <c r="C191" t="str">
        <f>Benchmarking!C191</f>
        <v>Semiconductors</v>
      </c>
      <c r="D191" s="17">
        <f>Benchmarking!D191</f>
        <v>505</v>
      </c>
      <c r="E191" s="17">
        <f>Benchmarking!E191</f>
        <v>329</v>
      </c>
      <c r="F191" s="17">
        <f>Benchmarking!F191</f>
        <v>305</v>
      </c>
      <c r="G191" s="17">
        <f>Benchmarking!G191</f>
        <v>1139</v>
      </c>
      <c r="H191" t="str">
        <f t="shared" si="24"/>
        <v>Environmental</v>
      </c>
      <c r="I191" t="str">
        <f t="shared" si="25"/>
        <v>Governance</v>
      </c>
      <c r="J191" s="19">
        <f t="shared" si="26"/>
        <v>176</v>
      </c>
      <c r="K191" s="19">
        <f t="shared" si="27"/>
        <v>24</v>
      </c>
      <c r="L191" s="19">
        <f t="shared" si="28"/>
        <v>200</v>
      </c>
      <c r="M191" s="17">
        <f t="shared" si="29"/>
        <v>200</v>
      </c>
      <c r="N191" s="22">
        <f t="shared" si="30"/>
        <v>0.72853185595567871</v>
      </c>
      <c r="O191" s="22">
        <f t="shared" si="31"/>
        <v>0.62326869806094187</v>
      </c>
      <c r="P191" s="22">
        <f t="shared" si="32"/>
        <v>0.10526315789473684</v>
      </c>
      <c r="Q191" t="str">
        <f t="shared" si="33"/>
        <v/>
      </c>
      <c r="S191">
        <f t="shared" si="34"/>
        <v>200.0009809</v>
      </c>
      <c r="T191" s="23">
        <f t="shared" si="35"/>
        <v>0.10624405789473684</v>
      </c>
    </row>
    <row r="192" spans="1:20" ht="15" customHeight="1" x14ac:dyDescent="0.35">
      <c r="A192" t="str">
        <f>Benchmarking!A192</f>
        <v>O'Reilly Automotive Inc</v>
      </c>
      <c r="B192" t="str">
        <f>Benchmarking!B192</f>
        <v>orly</v>
      </c>
      <c r="C192" t="str">
        <f>Benchmarking!C192</f>
        <v>Retail</v>
      </c>
      <c r="D192" s="17">
        <f>Benchmarking!D192</f>
        <v>500</v>
      </c>
      <c r="E192" s="17">
        <f>Benchmarking!E192</f>
        <v>300</v>
      </c>
      <c r="F192" s="17">
        <f>Benchmarking!F192</f>
        <v>300</v>
      </c>
      <c r="G192" s="17">
        <f>Benchmarking!G192</f>
        <v>1100</v>
      </c>
      <c r="H192" t="str">
        <f t="shared" si="24"/>
        <v>Environmental</v>
      </c>
      <c r="I192" t="str">
        <f t="shared" si="25"/>
        <v>Social</v>
      </c>
      <c r="J192" s="19">
        <f t="shared" si="26"/>
        <v>200</v>
      </c>
      <c r="K192" s="19">
        <f t="shared" si="27"/>
        <v>0</v>
      </c>
      <c r="L192" s="19">
        <f t="shared" si="28"/>
        <v>200</v>
      </c>
      <c r="M192" s="17">
        <f t="shared" si="29"/>
        <v>200</v>
      </c>
      <c r="N192" s="22">
        <f t="shared" si="30"/>
        <v>0.56925207756232687</v>
      </c>
      <c r="O192" s="22">
        <f t="shared" si="31"/>
        <v>0.36565096952908588</v>
      </c>
      <c r="P192" s="22">
        <f t="shared" si="32"/>
        <v>0.203601108033241</v>
      </c>
      <c r="Q192" t="str">
        <f t="shared" si="33"/>
        <v/>
      </c>
      <c r="S192">
        <f t="shared" si="34"/>
        <v>200.00098080000001</v>
      </c>
      <c r="T192" s="23">
        <f t="shared" si="35"/>
        <v>0.204581908033241</v>
      </c>
    </row>
    <row r="193" spans="1:20" ht="15" customHeight="1" x14ac:dyDescent="0.35">
      <c r="A193" t="str">
        <f>Benchmarking!A193</f>
        <v>Paychex Inc</v>
      </c>
      <c r="B193" t="str">
        <f>Benchmarking!B193</f>
        <v>payx</v>
      </c>
      <c r="C193" t="str">
        <f>Benchmarking!C193</f>
        <v>Technology</v>
      </c>
      <c r="D193" s="17">
        <f>Benchmarking!D193</f>
        <v>500</v>
      </c>
      <c r="E193" s="17">
        <f>Benchmarking!E193</f>
        <v>300</v>
      </c>
      <c r="F193" s="17">
        <f>Benchmarking!F193</f>
        <v>200</v>
      </c>
      <c r="G193" s="17">
        <f>Benchmarking!G193</f>
        <v>1000</v>
      </c>
      <c r="H193" t="str">
        <f t="shared" si="24"/>
        <v>Environmental</v>
      </c>
      <c r="I193" t="str">
        <f t="shared" si="25"/>
        <v>Governance</v>
      </c>
      <c r="J193" s="19">
        <f t="shared" si="26"/>
        <v>200</v>
      </c>
      <c r="K193" s="19">
        <f t="shared" si="27"/>
        <v>100</v>
      </c>
      <c r="L193" s="19">
        <f t="shared" si="28"/>
        <v>300</v>
      </c>
      <c r="M193" s="17">
        <f t="shared" si="29"/>
        <v>300</v>
      </c>
      <c r="N193" s="22">
        <f t="shared" si="30"/>
        <v>0.45567867036011078</v>
      </c>
      <c r="O193" s="22">
        <f t="shared" si="31"/>
        <v>2.7700831024930748E-3</v>
      </c>
      <c r="P193" s="22">
        <f t="shared" si="32"/>
        <v>0.45290858725761773</v>
      </c>
      <c r="Q193" t="str">
        <f t="shared" si="33"/>
        <v/>
      </c>
      <c r="S193">
        <f t="shared" si="34"/>
        <v>300.00098070000001</v>
      </c>
      <c r="T193" s="23">
        <f t="shared" si="35"/>
        <v>0.45388928725761774</v>
      </c>
    </row>
    <row r="194" spans="1:20" ht="15" customHeight="1" x14ac:dyDescent="0.35">
      <c r="A194" t="str">
        <f>Benchmarking!A194</f>
        <v>Principal Financial Group Inc</v>
      </c>
      <c r="B194" t="str">
        <f>Benchmarking!B194</f>
        <v>pfg</v>
      </c>
      <c r="C194" t="str">
        <f>Benchmarking!C194</f>
        <v>Insurance</v>
      </c>
      <c r="D194" s="17">
        <f>Benchmarking!D194</f>
        <v>555</v>
      </c>
      <c r="E194" s="17">
        <f>Benchmarking!E194</f>
        <v>320</v>
      </c>
      <c r="F194" s="17">
        <f>Benchmarking!F194</f>
        <v>300</v>
      </c>
      <c r="G194" s="17">
        <f>Benchmarking!G194</f>
        <v>1175</v>
      </c>
      <c r="H194" t="str">
        <f t="shared" si="24"/>
        <v>Environmental</v>
      </c>
      <c r="I194" t="str">
        <f t="shared" si="25"/>
        <v>Governance</v>
      </c>
      <c r="J194" s="19">
        <f t="shared" si="26"/>
        <v>235</v>
      </c>
      <c r="K194" s="19">
        <f t="shared" si="27"/>
        <v>20</v>
      </c>
      <c r="L194" s="19">
        <f t="shared" si="28"/>
        <v>255</v>
      </c>
      <c r="M194" s="17">
        <f t="shared" si="29"/>
        <v>255</v>
      </c>
      <c r="N194" s="22">
        <f t="shared" si="30"/>
        <v>0.83933518005540164</v>
      </c>
      <c r="O194" s="22">
        <f t="shared" si="31"/>
        <v>0.39335180055401664</v>
      </c>
      <c r="P194" s="22">
        <f t="shared" si="32"/>
        <v>0.445983379501385</v>
      </c>
      <c r="Q194" t="str">
        <f t="shared" si="33"/>
        <v>High ESG / weak pillar (analytical flag - not an ESG rating) - warrants investigation</v>
      </c>
      <c r="S194">
        <f t="shared" si="34"/>
        <v>255.00098059999999</v>
      </c>
      <c r="T194" s="23">
        <f t="shared" si="35"/>
        <v>0.446963979501385</v>
      </c>
    </row>
    <row r="195" spans="1:20" ht="15" customHeight="1" x14ac:dyDescent="0.35">
      <c r="A195" t="str">
        <f>Benchmarking!A195</f>
        <v>Ross Stores Inc</v>
      </c>
      <c r="B195" t="str">
        <f>Benchmarking!B195</f>
        <v>rost</v>
      </c>
      <c r="C195" t="str">
        <f>Benchmarking!C195</f>
        <v>Retail</v>
      </c>
      <c r="D195" s="17">
        <f>Benchmarking!D195</f>
        <v>375</v>
      </c>
      <c r="E195" s="17">
        <f>Benchmarking!E195</f>
        <v>325</v>
      </c>
      <c r="F195" s="17">
        <f>Benchmarking!F195</f>
        <v>300</v>
      </c>
      <c r="G195" s="17">
        <f>Benchmarking!G195</f>
        <v>1000</v>
      </c>
      <c r="H195" t="str">
        <f t="shared" si="24"/>
        <v>Environmental</v>
      </c>
      <c r="I195" t="str">
        <f t="shared" si="25"/>
        <v>Governance</v>
      </c>
      <c r="J195" s="19">
        <f t="shared" si="26"/>
        <v>50</v>
      </c>
      <c r="K195" s="19">
        <f t="shared" si="27"/>
        <v>25</v>
      </c>
      <c r="L195" s="19">
        <f t="shared" si="28"/>
        <v>75</v>
      </c>
      <c r="M195" s="17">
        <f t="shared" si="29"/>
        <v>75</v>
      </c>
      <c r="N195" s="22">
        <f t="shared" si="30"/>
        <v>0.45567867036011078</v>
      </c>
      <c r="O195" s="22">
        <f t="shared" si="31"/>
        <v>0.39335180055401664</v>
      </c>
      <c r="P195" s="22">
        <f t="shared" si="32"/>
        <v>6.2326869806094143E-2</v>
      </c>
      <c r="Q195" t="str">
        <f t="shared" si="33"/>
        <v/>
      </c>
      <c r="S195">
        <f t="shared" si="34"/>
        <v>75.000980499999997</v>
      </c>
      <c r="T195" s="23">
        <f t="shared" si="35"/>
        <v>6.3307369806094138E-2</v>
      </c>
    </row>
    <row r="196" spans="1:20" ht="15" customHeight="1" x14ac:dyDescent="0.35">
      <c r="A196" t="str">
        <f>Benchmarking!A196</f>
        <v>SBA Communications Corp</v>
      </c>
      <c r="B196" t="str">
        <f>Benchmarking!B196</f>
        <v>sbac</v>
      </c>
      <c r="C196" t="str">
        <f>Benchmarking!C196</f>
        <v>Real Estate</v>
      </c>
      <c r="D196" s="17">
        <f>Benchmarking!D196</f>
        <v>250</v>
      </c>
      <c r="E196" s="17">
        <f>Benchmarking!E196</f>
        <v>251</v>
      </c>
      <c r="F196" s="17">
        <f>Benchmarking!F196</f>
        <v>215</v>
      </c>
      <c r="G196" s="17">
        <f>Benchmarking!G196</f>
        <v>716</v>
      </c>
      <c r="H196" t="str">
        <f t="shared" ref="H196:H259" si="36">IF(AND(D196&gt;=E196,D196&gt;=F196),"Environmental",IF(AND(E196&gt;=D196,E196&gt;=F196),"Social","Governance"))</f>
        <v>Social</v>
      </c>
      <c r="I196" t="str">
        <f t="shared" ref="I196:I259" si="37">IF(AND(D196&lt;=E196,D196&lt;=F196),"Environmental",IF(AND(E196&lt;=D196,E196&lt;=F196),"Social","Governance"))</f>
        <v>Governance</v>
      </c>
      <c r="J196" s="19">
        <f t="shared" ref="J196:J259" si="38">D196-E196</f>
        <v>-1</v>
      </c>
      <c r="K196" s="19">
        <f t="shared" ref="K196:K259" si="39">E196-F196</f>
        <v>36</v>
      </c>
      <c r="L196" s="19">
        <f t="shared" ref="L196:L259" si="40">D196-F196</f>
        <v>35</v>
      </c>
      <c r="M196" s="17">
        <f t="shared" ref="M196:M259" si="41">MAX(D196:F196)-MIN(D196:F196)</f>
        <v>36</v>
      </c>
      <c r="N196" s="22">
        <f t="shared" ref="N196:N259" si="42">RANK(G196,$G$4:$G$725,1)/COUNT($G$4:$G$725)</f>
        <v>0.18144044321329639</v>
      </c>
      <c r="O196" s="22">
        <f t="shared" ref="O196:O259" si="43">MIN(RANK(D196,$D$4:$D$725,1)/COUNT($D$4:$D$725),RANK(E196,$E$4:$E$725,1)/COUNT($E$4:$E$725),RANK(F196,$F$4:$F$725,1)/COUNT($F$4:$F$725))</f>
        <v>0.15373961218836565</v>
      </c>
      <c r="P196" s="22">
        <f t="shared" ref="P196:P259" si="44">N196-O196</f>
        <v>2.7700831024930733E-2</v>
      </c>
      <c r="Q196" t="str">
        <f t="shared" ref="Q196:Q259" si="45">IF(AND(N196&gt;=0.7,P196&gt;=0.4),"High ESG / weak pillar (analytical flag - not an ESG rating) - warrants investigation","")</f>
        <v/>
      </c>
      <c r="S196">
        <f t="shared" ref="S196:S259" si="46">M196+(10000-ROW())/10000000</f>
        <v>36.000980400000003</v>
      </c>
      <c r="T196" s="23">
        <f t="shared" ref="T196:T259" si="47">P196+(10000-ROW())/10000000</f>
        <v>2.8681231024930733E-2</v>
      </c>
    </row>
    <row r="197" spans="1:20" ht="15" customHeight="1" x14ac:dyDescent="0.35">
      <c r="A197" t="str">
        <f>Benchmarking!A197</f>
        <v>Qualcomm Inc</v>
      </c>
      <c r="B197" t="str">
        <f>Benchmarking!B197</f>
        <v>qcom</v>
      </c>
      <c r="C197" t="str">
        <f>Benchmarking!C197</f>
        <v>Semiconductors</v>
      </c>
      <c r="D197" s="17">
        <f>Benchmarking!D197</f>
        <v>409</v>
      </c>
      <c r="E197" s="17">
        <f>Benchmarking!E197</f>
        <v>300</v>
      </c>
      <c r="F197" s="17">
        <f>Benchmarking!F197</f>
        <v>300</v>
      </c>
      <c r="G197" s="17">
        <f>Benchmarking!G197</f>
        <v>1009</v>
      </c>
      <c r="H197" t="str">
        <f t="shared" si="36"/>
        <v>Environmental</v>
      </c>
      <c r="I197" t="str">
        <f t="shared" si="37"/>
        <v>Social</v>
      </c>
      <c r="J197" s="19">
        <f t="shared" si="38"/>
        <v>109</v>
      </c>
      <c r="K197" s="19">
        <f t="shared" si="39"/>
        <v>0</v>
      </c>
      <c r="L197" s="19">
        <f t="shared" si="40"/>
        <v>109</v>
      </c>
      <c r="M197" s="17">
        <f t="shared" si="41"/>
        <v>109</v>
      </c>
      <c r="N197" s="22">
        <f t="shared" si="42"/>
        <v>0.47645429362880887</v>
      </c>
      <c r="O197" s="22">
        <f t="shared" si="43"/>
        <v>0.36565096952908588</v>
      </c>
      <c r="P197" s="22">
        <f t="shared" si="44"/>
        <v>0.11080332409972299</v>
      </c>
      <c r="Q197" t="str">
        <f t="shared" si="45"/>
        <v/>
      </c>
      <c r="S197">
        <f t="shared" si="46"/>
        <v>109.00098029999999</v>
      </c>
      <c r="T197" s="23">
        <f t="shared" si="47"/>
        <v>0.11178362409972299</v>
      </c>
    </row>
    <row r="198" spans="1:20" ht="15" customHeight="1" x14ac:dyDescent="0.35">
      <c r="A198" t="str">
        <f>Benchmarking!A198</f>
        <v>Pool Corp</v>
      </c>
      <c r="B198" t="str">
        <f>Benchmarking!B198</f>
        <v>pool</v>
      </c>
      <c r="C198" t="str">
        <f>Benchmarking!C198</f>
        <v>Distributors</v>
      </c>
      <c r="D198" s="17">
        <f>Benchmarking!D198</f>
        <v>525</v>
      </c>
      <c r="E198" s="17">
        <f>Benchmarking!E198</f>
        <v>306</v>
      </c>
      <c r="F198" s="17">
        <f>Benchmarking!F198</f>
        <v>313</v>
      </c>
      <c r="G198" s="17">
        <f>Benchmarking!G198</f>
        <v>1144</v>
      </c>
      <c r="H198" t="str">
        <f t="shared" si="36"/>
        <v>Environmental</v>
      </c>
      <c r="I198" t="str">
        <f t="shared" si="37"/>
        <v>Social</v>
      </c>
      <c r="J198" s="19">
        <f t="shared" si="38"/>
        <v>219</v>
      </c>
      <c r="K198" s="19">
        <f t="shared" si="39"/>
        <v>-7</v>
      </c>
      <c r="L198" s="19">
        <f t="shared" si="40"/>
        <v>212</v>
      </c>
      <c r="M198" s="17">
        <f t="shared" si="41"/>
        <v>219</v>
      </c>
      <c r="N198" s="22">
        <f t="shared" si="42"/>
        <v>0.74930747922437668</v>
      </c>
      <c r="O198" s="22">
        <f t="shared" si="43"/>
        <v>0.58033240997229918</v>
      </c>
      <c r="P198" s="22">
        <f t="shared" si="44"/>
        <v>0.1689750692520775</v>
      </c>
      <c r="Q198" t="str">
        <f t="shared" si="45"/>
        <v/>
      </c>
      <c r="S198">
        <f t="shared" si="46"/>
        <v>219.00098019999999</v>
      </c>
      <c r="T198" s="23">
        <f t="shared" si="47"/>
        <v>0.16995526925207749</v>
      </c>
    </row>
    <row r="199" spans="1:20" ht="15" customHeight="1" x14ac:dyDescent="0.35">
      <c r="A199" t="str">
        <f>Benchmarking!A199</f>
        <v>PepsiCo Inc</v>
      </c>
      <c r="B199" t="str">
        <f>Benchmarking!B199</f>
        <v>pep</v>
      </c>
      <c r="C199" t="str">
        <f>Benchmarking!C199</f>
        <v>Beverages</v>
      </c>
      <c r="D199" s="17">
        <f>Benchmarking!D199</f>
        <v>719</v>
      </c>
      <c r="E199" s="17">
        <f>Benchmarking!E199</f>
        <v>340</v>
      </c>
      <c r="F199" s="17">
        <f>Benchmarking!F199</f>
        <v>358</v>
      </c>
      <c r="G199" s="17">
        <f>Benchmarking!G199</f>
        <v>1417</v>
      </c>
      <c r="H199" t="str">
        <f t="shared" si="36"/>
        <v>Environmental</v>
      </c>
      <c r="I199" t="str">
        <f t="shared" si="37"/>
        <v>Social</v>
      </c>
      <c r="J199" s="19">
        <f t="shared" si="38"/>
        <v>379</v>
      </c>
      <c r="K199" s="19">
        <f t="shared" si="39"/>
        <v>-18</v>
      </c>
      <c r="L199" s="19">
        <f t="shared" si="40"/>
        <v>361</v>
      </c>
      <c r="M199" s="17">
        <f t="shared" si="41"/>
        <v>379</v>
      </c>
      <c r="N199" s="22">
        <f t="shared" si="42"/>
        <v>0.99030470914127422</v>
      </c>
      <c r="O199" s="22">
        <f t="shared" si="43"/>
        <v>0.86149584487534625</v>
      </c>
      <c r="P199" s="22">
        <f t="shared" si="44"/>
        <v>0.12880886426592797</v>
      </c>
      <c r="Q199" t="str">
        <f t="shared" si="45"/>
        <v/>
      </c>
      <c r="S199">
        <f t="shared" si="46"/>
        <v>379.00098009999999</v>
      </c>
      <c r="T199" s="23">
        <f t="shared" si="47"/>
        <v>0.12978896426592798</v>
      </c>
    </row>
    <row r="200" spans="1:20" ht="15" customHeight="1" x14ac:dyDescent="0.35">
      <c r="A200" t="str">
        <f>Benchmarking!A200</f>
        <v>Starbucks Corp</v>
      </c>
      <c r="B200" t="str">
        <f>Benchmarking!B200</f>
        <v>sbux</v>
      </c>
      <c r="C200" t="str">
        <f>Benchmarking!C200</f>
        <v>Hotels Restaurants &amp; Leisure</v>
      </c>
      <c r="D200" s="17">
        <f>Benchmarking!D200</f>
        <v>475</v>
      </c>
      <c r="E200" s="17">
        <f>Benchmarking!E200</f>
        <v>385</v>
      </c>
      <c r="F200" s="17">
        <f>Benchmarking!F200</f>
        <v>295</v>
      </c>
      <c r="G200" s="17">
        <f>Benchmarking!G200</f>
        <v>1155</v>
      </c>
      <c r="H200" t="str">
        <f t="shared" si="36"/>
        <v>Environmental</v>
      </c>
      <c r="I200" t="str">
        <f t="shared" si="37"/>
        <v>Governance</v>
      </c>
      <c r="J200" s="19">
        <f t="shared" si="38"/>
        <v>90</v>
      </c>
      <c r="K200" s="19">
        <f t="shared" si="39"/>
        <v>90</v>
      </c>
      <c r="L200" s="19">
        <f t="shared" si="40"/>
        <v>180</v>
      </c>
      <c r="M200" s="17">
        <f t="shared" si="41"/>
        <v>180</v>
      </c>
      <c r="N200" s="22">
        <f t="shared" si="42"/>
        <v>0.78393351800554012</v>
      </c>
      <c r="O200" s="22">
        <f t="shared" si="43"/>
        <v>0.38227146814404434</v>
      </c>
      <c r="P200" s="22">
        <f t="shared" si="44"/>
        <v>0.40166204986149578</v>
      </c>
      <c r="Q200" t="str">
        <f t="shared" si="45"/>
        <v>High ESG / weak pillar (analytical flag - not an ESG rating) - warrants investigation</v>
      </c>
      <c r="S200">
        <f t="shared" si="46"/>
        <v>180.00098</v>
      </c>
      <c r="T200" s="23">
        <f t="shared" si="47"/>
        <v>0.40264204986149577</v>
      </c>
    </row>
    <row r="201" spans="1:20" ht="15" customHeight="1" x14ac:dyDescent="0.35">
      <c r="A201" t="str">
        <f>Benchmarking!A201</f>
        <v>Regency Centers Corp</v>
      </c>
      <c r="B201" t="str">
        <f>Benchmarking!B201</f>
        <v>reg</v>
      </c>
      <c r="C201" t="str">
        <f>Benchmarking!C201</f>
        <v>Real Estate</v>
      </c>
      <c r="D201" s="17">
        <f>Benchmarking!D201</f>
        <v>575</v>
      </c>
      <c r="E201" s="17">
        <f>Benchmarking!E201</f>
        <v>372</v>
      </c>
      <c r="F201" s="17">
        <f>Benchmarking!F201</f>
        <v>365</v>
      </c>
      <c r="G201" s="17">
        <f>Benchmarking!G201</f>
        <v>1312</v>
      </c>
      <c r="H201" t="str">
        <f t="shared" si="36"/>
        <v>Environmental</v>
      </c>
      <c r="I201" t="str">
        <f t="shared" si="37"/>
        <v>Governance</v>
      </c>
      <c r="J201" s="19">
        <f t="shared" si="38"/>
        <v>203</v>
      </c>
      <c r="K201" s="19">
        <f t="shared" si="39"/>
        <v>7</v>
      </c>
      <c r="L201" s="19">
        <f t="shared" si="40"/>
        <v>210</v>
      </c>
      <c r="M201" s="17">
        <f t="shared" si="41"/>
        <v>210</v>
      </c>
      <c r="N201" s="22">
        <f t="shared" si="42"/>
        <v>0.97229916897506929</v>
      </c>
      <c r="O201" s="22">
        <f t="shared" si="43"/>
        <v>0.93351800554016617</v>
      </c>
      <c r="P201" s="22">
        <f t="shared" si="44"/>
        <v>3.8781163434903121E-2</v>
      </c>
      <c r="Q201" t="str">
        <f t="shared" si="45"/>
        <v/>
      </c>
      <c r="S201">
        <f t="shared" si="46"/>
        <v>210.0009799</v>
      </c>
      <c r="T201" s="23">
        <f t="shared" si="47"/>
        <v>3.976106343490312E-2</v>
      </c>
    </row>
    <row r="202" spans="1:20" ht="15" customHeight="1" x14ac:dyDescent="0.35">
      <c r="A202" t="str">
        <f>Benchmarking!A202</f>
        <v>Qorvo Inc</v>
      </c>
      <c r="B202" t="str">
        <f>Benchmarking!B202</f>
        <v>qrvo</v>
      </c>
      <c r="C202" t="str">
        <f>Benchmarking!C202</f>
        <v>Semiconductors</v>
      </c>
      <c r="D202" s="17">
        <f>Benchmarking!D202</f>
        <v>535</v>
      </c>
      <c r="E202" s="17">
        <f>Benchmarking!E202</f>
        <v>310</v>
      </c>
      <c r="F202" s="17">
        <f>Benchmarking!F202</f>
        <v>305</v>
      </c>
      <c r="G202" s="17">
        <f>Benchmarking!G202</f>
        <v>1150</v>
      </c>
      <c r="H202" t="str">
        <f t="shared" si="36"/>
        <v>Environmental</v>
      </c>
      <c r="I202" t="str">
        <f t="shared" si="37"/>
        <v>Governance</v>
      </c>
      <c r="J202" s="19">
        <f t="shared" si="38"/>
        <v>225</v>
      </c>
      <c r="K202" s="19">
        <f t="shared" si="39"/>
        <v>5</v>
      </c>
      <c r="L202" s="19">
        <f t="shared" si="40"/>
        <v>230</v>
      </c>
      <c r="M202" s="17">
        <f t="shared" si="41"/>
        <v>230</v>
      </c>
      <c r="N202" s="22">
        <f t="shared" si="42"/>
        <v>0.76454293628808867</v>
      </c>
      <c r="O202" s="22">
        <f t="shared" si="43"/>
        <v>0.62742382271468145</v>
      </c>
      <c r="P202" s="22">
        <f t="shared" si="44"/>
        <v>0.13711911357340723</v>
      </c>
      <c r="Q202" t="str">
        <f t="shared" si="45"/>
        <v/>
      </c>
      <c r="S202">
        <f t="shared" si="46"/>
        <v>230.00097980000001</v>
      </c>
      <c r="T202" s="23">
        <f t="shared" si="47"/>
        <v>0.13809891357340723</v>
      </c>
    </row>
    <row r="203" spans="1:20" ht="15" customHeight="1" x14ac:dyDescent="0.35">
      <c r="A203" t="str">
        <f>Benchmarking!A203</f>
        <v>PTC Inc</v>
      </c>
      <c r="B203" t="str">
        <f>Benchmarking!B203</f>
        <v>ptc</v>
      </c>
      <c r="C203" t="str">
        <f>Benchmarking!C203</f>
        <v>Technology</v>
      </c>
      <c r="D203" s="17">
        <f>Benchmarking!D203</f>
        <v>550</v>
      </c>
      <c r="E203" s="17">
        <f>Benchmarking!E203</f>
        <v>302</v>
      </c>
      <c r="F203" s="17">
        <f>Benchmarking!F203</f>
        <v>308</v>
      </c>
      <c r="G203" s="17">
        <f>Benchmarking!G203</f>
        <v>1160</v>
      </c>
      <c r="H203" t="str">
        <f t="shared" si="36"/>
        <v>Environmental</v>
      </c>
      <c r="I203" t="str">
        <f t="shared" si="37"/>
        <v>Social</v>
      </c>
      <c r="J203" s="19">
        <f t="shared" si="38"/>
        <v>248</v>
      </c>
      <c r="K203" s="19">
        <f t="shared" si="39"/>
        <v>-6</v>
      </c>
      <c r="L203" s="19">
        <f t="shared" si="40"/>
        <v>242</v>
      </c>
      <c r="M203" s="17">
        <f t="shared" si="41"/>
        <v>248</v>
      </c>
      <c r="N203" s="22">
        <f t="shared" si="42"/>
        <v>0.79639889196675895</v>
      </c>
      <c r="O203" s="22">
        <f t="shared" si="43"/>
        <v>0.49722991689750695</v>
      </c>
      <c r="P203" s="22">
        <f t="shared" si="44"/>
        <v>0.299168975069252</v>
      </c>
      <c r="Q203" t="str">
        <f t="shared" si="45"/>
        <v/>
      </c>
      <c r="S203">
        <f t="shared" si="46"/>
        <v>248.00097969999999</v>
      </c>
      <c r="T203" s="23">
        <f t="shared" si="47"/>
        <v>0.30014867506925202</v>
      </c>
    </row>
    <row r="204" spans="1:20" ht="15" customHeight="1" x14ac:dyDescent="0.35">
      <c r="A204" t="str">
        <f>Benchmarking!A204</f>
        <v>PENN Entertainment Inc</v>
      </c>
      <c r="B204" t="str">
        <f>Benchmarking!B204</f>
        <v>penn</v>
      </c>
      <c r="C204" t="str">
        <f>Benchmarking!C204</f>
        <v>Hotels Restaurants &amp; Leisure</v>
      </c>
      <c r="D204" s="17">
        <f>Benchmarking!D204</f>
        <v>371</v>
      </c>
      <c r="E204" s="17">
        <f>Benchmarking!E204</f>
        <v>300</v>
      </c>
      <c r="F204" s="17">
        <f>Benchmarking!F204</f>
        <v>220</v>
      </c>
      <c r="G204" s="17">
        <f>Benchmarking!G204</f>
        <v>891</v>
      </c>
      <c r="H204" t="str">
        <f t="shared" si="36"/>
        <v>Environmental</v>
      </c>
      <c r="I204" t="str">
        <f t="shared" si="37"/>
        <v>Governance</v>
      </c>
      <c r="J204" s="19">
        <f t="shared" si="38"/>
        <v>71</v>
      </c>
      <c r="K204" s="19">
        <f t="shared" si="39"/>
        <v>80</v>
      </c>
      <c r="L204" s="19">
        <f t="shared" si="40"/>
        <v>151</v>
      </c>
      <c r="M204" s="17">
        <f t="shared" si="41"/>
        <v>151</v>
      </c>
      <c r="N204" s="22">
        <f t="shared" si="42"/>
        <v>0.36149584487534625</v>
      </c>
      <c r="O204" s="22">
        <f t="shared" si="43"/>
        <v>0.19113573407202217</v>
      </c>
      <c r="P204" s="22">
        <f t="shared" si="44"/>
        <v>0.17036011080332408</v>
      </c>
      <c r="Q204" t="str">
        <f t="shared" si="45"/>
        <v/>
      </c>
      <c r="S204">
        <f t="shared" si="46"/>
        <v>151.00097959999999</v>
      </c>
      <c r="T204" s="23">
        <f t="shared" si="47"/>
        <v>0.17133971080332408</v>
      </c>
    </row>
    <row r="205" spans="1:20" ht="15" customHeight="1" x14ac:dyDescent="0.35">
      <c r="A205" t="str">
        <f>Benchmarking!A205</f>
        <v>PayPal Holdings Inc</v>
      </c>
      <c r="B205" t="str">
        <f>Benchmarking!B205</f>
        <v>pypl</v>
      </c>
      <c r="C205" t="str">
        <f>Benchmarking!C205</f>
        <v>Technology</v>
      </c>
      <c r="D205" s="17">
        <f>Benchmarking!D205</f>
        <v>370</v>
      </c>
      <c r="E205" s="17">
        <f>Benchmarking!E205</f>
        <v>244</v>
      </c>
      <c r="F205" s="17">
        <f>Benchmarking!F205</f>
        <v>285</v>
      </c>
      <c r="G205" s="17">
        <f>Benchmarking!G205</f>
        <v>899</v>
      </c>
      <c r="H205" t="str">
        <f t="shared" si="36"/>
        <v>Environmental</v>
      </c>
      <c r="I205" t="str">
        <f t="shared" si="37"/>
        <v>Social</v>
      </c>
      <c r="J205" s="19">
        <f t="shared" si="38"/>
        <v>126</v>
      </c>
      <c r="K205" s="19">
        <f t="shared" si="39"/>
        <v>-41</v>
      </c>
      <c r="L205" s="19">
        <f t="shared" si="40"/>
        <v>85</v>
      </c>
      <c r="M205" s="17">
        <f t="shared" si="41"/>
        <v>126</v>
      </c>
      <c r="N205" s="22">
        <f t="shared" si="42"/>
        <v>0.37119113573407203</v>
      </c>
      <c r="O205" s="22">
        <f t="shared" si="43"/>
        <v>0.25346260387811637</v>
      </c>
      <c r="P205" s="22">
        <f t="shared" si="44"/>
        <v>0.11772853185595566</v>
      </c>
      <c r="Q205" t="str">
        <f t="shared" si="45"/>
        <v/>
      </c>
      <c r="S205">
        <f t="shared" si="46"/>
        <v>126.0009795</v>
      </c>
      <c r="T205" s="23">
        <f t="shared" si="47"/>
        <v>0.11870803185595566</v>
      </c>
    </row>
    <row r="206" spans="1:20" ht="15" customHeight="1" x14ac:dyDescent="0.35">
      <c r="A206" t="str">
        <f>Benchmarking!A206</f>
        <v>Regeneron Pharmaceuticals Inc</v>
      </c>
      <c r="B206" t="str">
        <f>Benchmarking!B206</f>
        <v>regn</v>
      </c>
      <c r="C206" t="str">
        <f>Benchmarking!C206</f>
        <v>Biotechnology</v>
      </c>
      <c r="D206" s="17">
        <f>Benchmarking!D206</f>
        <v>505</v>
      </c>
      <c r="E206" s="17">
        <f>Benchmarking!E206</f>
        <v>327</v>
      </c>
      <c r="F206" s="17">
        <f>Benchmarking!F206</f>
        <v>305</v>
      </c>
      <c r="G206" s="17">
        <f>Benchmarking!G206</f>
        <v>1137</v>
      </c>
      <c r="H206" t="str">
        <f t="shared" si="36"/>
        <v>Environmental</v>
      </c>
      <c r="I206" t="str">
        <f t="shared" si="37"/>
        <v>Governance</v>
      </c>
      <c r="J206" s="19">
        <f t="shared" si="38"/>
        <v>178</v>
      </c>
      <c r="K206" s="19">
        <f t="shared" si="39"/>
        <v>22</v>
      </c>
      <c r="L206" s="19">
        <f t="shared" si="40"/>
        <v>200</v>
      </c>
      <c r="M206" s="17">
        <f t="shared" si="41"/>
        <v>200</v>
      </c>
      <c r="N206" s="22">
        <f t="shared" si="42"/>
        <v>0.72022160664819945</v>
      </c>
      <c r="O206" s="22">
        <f t="shared" si="43"/>
        <v>0.62326869806094187</v>
      </c>
      <c r="P206" s="22">
        <f t="shared" si="44"/>
        <v>9.695290858725758E-2</v>
      </c>
      <c r="Q206" t="str">
        <f t="shared" si="45"/>
        <v/>
      </c>
      <c r="S206">
        <f t="shared" si="46"/>
        <v>200.00097940000001</v>
      </c>
      <c r="T206" s="23">
        <f t="shared" si="47"/>
        <v>9.7932308587257585E-2</v>
      </c>
    </row>
    <row r="207" spans="1:20" ht="15" customHeight="1" x14ac:dyDescent="0.35">
      <c r="A207" t="str">
        <f>Benchmarking!A207</f>
        <v>Amgen Inc</v>
      </c>
      <c r="B207" t="str">
        <f>Benchmarking!B207</f>
        <v>amgn</v>
      </c>
      <c r="C207" t="str">
        <f>Benchmarking!C207</f>
        <v>Biotechnology</v>
      </c>
      <c r="D207" s="17">
        <f>Benchmarking!D207</f>
        <v>575</v>
      </c>
      <c r="E207" s="17">
        <f>Benchmarking!E207</f>
        <v>312</v>
      </c>
      <c r="F207" s="17">
        <f>Benchmarking!F207</f>
        <v>328</v>
      </c>
      <c r="G207" s="17">
        <f>Benchmarking!G207</f>
        <v>1215</v>
      </c>
      <c r="H207" t="str">
        <f t="shared" si="36"/>
        <v>Environmental</v>
      </c>
      <c r="I207" t="str">
        <f t="shared" si="37"/>
        <v>Social</v>
      </c>
      <c r="J207" s="19">
        <f t="shared" si="38"/>
        <v>263</v>
      </c>
      <c r="K207" s="19">
        <f t="shared" si="39"/>
        <v>-16</v>
      </c>
      <c r="L207" s="19">
        <f t="shared" si="40"/>
        <v>247</v>
      </c>
      <c r="M207" s="17">
        <f t="shared" si="41"/>
        <v>263</v>
      </c>
      <c r="N207" s="22">
        <f t="shared" si="42"/>
        <v>0.90443213296398894</v>
      </c>
      <c r="O207" s="22">
        <f t="shared" si="43"/>
        <v>0.64819944598337953</v>
      </c>
      <c r="P207" s="22">
        <f t="shared" si="44"/>
        <v>0.25623268698060941</v>
      </c>
      <c r="Q207" t="str">
        <f t="shared" si="45"/>
        <v/>
      </c>
      <c r="S207">
        <f t="shared" si="46"/>
        <v>263.00097929999998</v>
      </c>
      <c r="T207" s="23">
        <f t="shared" si="47"/>
        <v>0.25721198698060943</v>
      </c>
    </row>
    <row r="208" spans="1:20" ht="15" customHeight="1" x14ac:dyDescent="0.35">
      <c r="A208" t="str">
        <f>Benchmarking!A208</f>
        <v>Synopsys Inc</v>
      </c>
      <c r="B208" t="str">
        <f>Benchmarking!B208</f>
        <v>snps</v>
      </c>
      <c r="C208" t="str">
        <f>Benchmarking!C208</f>
        <v>Technology</v>
      </c>
      <c r="D208" s="17">
        <f>Benchmarking!D208</f>
        <v>525</v>
      </c>
      <c r="E208" s="17">
        <f>Benchmarking!E208</f>
        <v>316</v>
      </c>
      <c r="F208" s="17">
        <f>Benchmarking!F208</f>
        <v>315</v>
      </c>
      <c r="G208" s="17">
        <f>Benchmarking!G208</f>
        <v>1156</v>
      </c>
      <c r="H208" t="str">
        <f t="shared" si="36"/>
        <v>Environmental</v>
      </c>
      <c r="I208" t="str">
        <f t="shared" si="37"/>
        <v>Governance</v>
      </c>
      <c r="J208" s="19">
        <f t="shared" si="38"/>
        <v>209</v>
      </c>
      <c r="K208" s="19">
        <f t="shared" si="39"/>
        <v>1</v>
      </c>
      <c r="L208" s="19">
        <f t="shared" si="40"/>
        <v>210</v>
      </c>
      <c r="M208" s="17">
        <f t="shared" si="41"/>
        <v>210</v>
      </c>
      <c r="N208" s="22">
        <f t="shared" si="42"/>
        <v>0.78670360110803328</v>
      </c>
      <c r="O208" s="22">
        <f t="shared" si="43"/>
        <v>0.67728531855955676</v>
      </c>
      <c r="P208" s="22">
        <f t="shared" si="44"/>
        <v>0.10941828254847652</v>
      </c>
      <c r="Q208" t="str">
        <f t="shared" si="45"/>
        <v/>
      </c>
      <c r="S208">
        <f t="shared" si="46"/>
        <v>210.00097919999999</v>
      </c>
      <c r="T208" s="23">
        <f t="shared" si="47"/>
        <v>0.11039748254847652</v>
      </c>
    </row>
    <row r="209" spans="1:20" ht="15" customHeight="1" x14ac:dyDescent="0.35">
      <c r="A209" t="str">
        <f>Benchmarking!A209</f>
        <v>Seagate Technology Holdings PLC</v>
      </c>
      <c r="B209" t="str">
        <f>Benchmarking!B209</f>
        <v>stx</v>
      </c>
      <c r="C209" t="str">
        <f>Benchmarking!C209</f>
        <v>Technology</v>
      </c>
      <c r="D209" s="17">
        <f>Benchmarking!D209</f>
        <v>540</v>
      </c>
      <c r="E209" s="17">
        <f>Benchmarking!E209</f>
        <v>355</v>
      </c>
      <c r="F209" s="17">
        <f>Benchmarking!F209</f>
        <v>300</v>
      </c>
      <c r="G209" s="17">
        <f>Benchmarking!G209</f>
        <v>1195</v>
      </c>
      <c r="H209" t="str">
        <f t="shared" si="36"/>
        <v>Environmental</v>
      </c>
      <c r="I209" t="str">
        <f t="shared" si="37"/>
        <v>Governance</v>
      </c>
      <c r="J209" s="19">
        <f t="shared" si="38"/>
        <v>185</v>
      </c>
      <c r="K209" s="19">
        <f t="shared" si="39"/>
        <v>55</v>
      </c>
      <c r="L209" s="19">
        <f t="shared" si="40"/>
        <v>240</v>
      </c>
      <c r="M209" s="17">
        <f t="shared" si="41"/>
        <v>240</v>
      </c>
      <c r="N209" s="22">
        <f t="shared" si="42"/>
        <v>0.87950138504155129</v>
      </c>
      <c r="O209" s="22">
        <f t="shared" si="43"/>
        <v>0.39335180055401664</v>
      </c>
      <c r="P209" s="22">
        <f t="shared" si="44"/>
        <v>0.48614958448753465</v>
      </c>
      <c r="Q209" t="str">
        <f t="shared" si="45"/>
        <v>High ESG / weak pillar (analytical flag - not an ESG rating) - warrants investigation</v>
      </c>
      <c r="S209">
        <f t="shared" si="46"/>
        <v>240.0009791</v>
      </c>
      <c r="T209" s="23">
        <f t="shared" si="47"/>
        <v>0.48712868448753466</v>
      </c>
    </row>
    <row r="210" spans="1:20" ht="15" customHeight="1" x14ac:dyDescent="0.35">
      <c r="A210" t="str">
        <f>Benchmarking!A210</f>
        <v>Bio-Techne Corp</v>
      </c>
      <c r="B210" t="str">
        <f>Benchmarking!B210</f>
        <v>tech</v>
      </c>
      <c r="C210" t="str">
        <f>Benchmarking!C210</f>
        <v>Life Sciences Tools &amp; Services</v>
      </c>
      <c r="D210" s="17">
        <f>Benchmarking!D210</f>
        <v>510</v>
      </c>
      <c r="E210" s="17">
        <f>Benchmarking!E210</f>
        <v>268</v>
      </c>
      <c r="F210" s="17">
        <f>Benchmarking!F210</f>
        <v>300</v>
      </c>
      <c r="G210" s="17">
        <f>Benchmarking!G210</f>
        <v>1078</v>
      </c>
      <c r="H210" t="str">
        <f t="shared" si="36"/>
        <v>Environmental</v>
      </c>
      <c r="I210" t="str">
        <f t="shared" si="37"/>
        <v>Social</v>
      </c>
      <c r="J210" s="19">
        <f t="shared" si="38"/>
        <v>242</v>
      </c>
      <c r="K210" s="19">
        <f t="shared" si="39"/>
        <v>-32</v>
      </c>
      <c r="L210" s="19">
        <f t="shared" si="40"/>
        <v>210</v>
      </c>
      <c r="M210" s="17">
        <f t="shared" si="41"/>
        <v>242</v>
      </c>
      <c r="N210" s="22">
        <f t="shared" si="42"/>
        <v>0.53739612188365649</v>
      </c>
      <c r="O210" s="22">
        <f t="shared" si="43"/>
        <v>0.31163434903047094</v>
      </c>
      <c r="P210" s="22">
        <f t="shared" si="44"/>
        <v>0.22576177285318555</v>
      </c>
      <c r="Q210" t="str">
        <f t="shared" si="45"/>
        <v/>
      </c>
      <c r="S210">
        <f t="shared" si="46"/>
        <v>242.000979</v>
      </c>
      <c r="T210" s="23">
        <f t="shared" si="47"/>
        <v>0.22674077285318556</v>
      </c>
    </row>
    <row r="211" spans="1:20" ht="15" customHeight="1" x14ac:dyDescent="0.35">
      <c r="A211" t="str">
        <f>Benchmarking!A211</f>
        <v>Teradyne Inc</v>
      </c>
      <c r="B211" t="str">
        <f>Benchmarking!B211</f>
        <v>ter</v>
      </c>
      <c r="C211" t="str">
        <f>Benchmarking!C211</f>
        <v>Semiconductors</v>
      </c>
      <c r="D211" s="17">
        <f>Benchmarking!D211</f>
        <v>507</v>
      </c>
      <c r="E211" s="17">
        <f>Benchmarking!E211</f>
        <v>328</v>
      </c>
      <c r="F211" s="17">
        <f>Benchmarking!F211</f>
        <v>315</v>
      </c>
      <c r="G211" s="17">
        <f>Benchmarking!G211</f>
        <v>1150</v>
      </c>
      <c r="H211" t="str">
        <f t="shared" si="36"/>
        <v>Environmental</v>
      </c>
      <c r="I211" t="str">
        <f t="shared" si="37"/>
        <v>Governance</v>
      </c>
      <c r="J211" s="19">
        <f t="shared" si="38"/>
        <v>179</v>
      </c>
      <c r="K211" s="19">
        <f t="shared" si="39"/>
        <v>13</v>
      </c>
      <c r="L211" s="19">
        <f t="shared" si="40"/>
        <v>192</v>
      </c>
      <c r="M211" s="17">
        <f t="shared" si="41"/>
        <v>192</v>
      </c>
      <c r="N211" s="22">
        <f t="shared" si="42"/>
        <v>0.76454293628808867</v>
      </c>
      <c r="O211" s="22">
        <f t="shared" si="43"/>
        <v>0.65650969529085867</v>
      </c>
      <c r="P211" s="22">
        <f t="shared" si="44"/>
        <v>0.10803324099723</v>
      </c>
      <c r="Q211" t="str">
        <f t="shared" si="45"/>
        <v/>
      </c>
      <c r="S211">
        <f t="shared" si="46"/>
        <v>192.00097890000001</v>
      </c>
      <c r="T211" s="23">
        <f t="shared" si="47"/>
        <v>0.10901214099723</v>
      </c>
    </row>
    <row r="212" spans="1:20" ht="15" customHeight="1" x14ac:dyDescent="0.35">
      <c r="A212" t="str">
        <f>Benchmarking!A212</f>
        <v>Skyworks Solutions Inc</v>
      </c>
      <c r="B212" t="str">
        <f>Benchmarking!B212</f>
        <v>swks</v>
      </c>
      <c r="C212" t="str">
        <f>Benchmarking!C212</f>
        <v>Semiconductors</v>
      </c>
      <c r="D212" s="17">
        <f>Benchmarking!D212</f>
        <v>515</v>
      </c>
      <c r="E212" s="17">
        <f>Benchmarking!E212</f>
        <v>303</v>
      </c>
      <c r="F212" s="17">
        <f>Benchmarking!F212</f>
        <v>270</v>
      </c>
      <c r="G212" s="17">
        <f>Benchmarking!G212</f>
        <v>1088</v>
      </c>
      <c r="H212" t="str">
        <f t="shared" si="36"/>
        <v>Environmental</v>
      </c>
      <c r="I212" t="str">
        <f t="shared" si="37"/>
        <v>Governance</v>
      </c>
      <c r="J212" s="19">
        <f t="shared" si="38"/>
        <v>212</v>
      </c>
      <c r="K212" s="19">
        <f t="shared" si="39"/>
        <v>33</v>
      </c>
      <c r="L212" s="19">
        <f t="shared" si="40"/>
        <v>245</v>
      </c>
      <c r="M212" s="17">
        <f t="shared" si="41"/>
        <v>245</v>
      </c>
      <c r="N212" s="22">
        <f t="shared" si="42"/>
        <v>0.55263157894736847</v>
      </c>
      <c r="O212" s="22">
        <f t="shared" si="43"/>
        <v>0.34626038781163437</v>
      </c>
      <c r="P212" s="22">
        <f t="shared" si="44"/>
        <v>0.2063711911357341</v>
      </c>
      <c r="Q212" t="str">
        <f t="shared" si="45"/>
        <v/>
      </c>
      <c r="S212">
        <f t="shared" si="46"/>
        <v>245.00097880000001</v>
      </c>
      <c r="T212" s="23">
        <f t="shared" si="47"/>
        <v>0.2073499911357341</v>
      </c>
    </row>
    <row r="213" spans="1:20" ht="15" customHeight="1" x14ac:dyDescent="0.35">
      <c r="A213" t="str">
        <f>Benchmarking!A213</f>
        <v>Trimble Inc</v>
      </c>
      <c r="B213" t="str">
        <f>Benchmarking!B213</f>
        <v>trmb</v>
      </c>
      <c r="C213" t="str">
        <f>Benchmarking!C213</f>
        <v>Electrical Equipment</v>
      </c>
      <c r="D213" s="17">
        <f>Benchmarking!D213</f>
        <v>550</v>
      </c>
      <c r="E213" s="17">
        <f>Benchmarking!E213</f>
        <v>415</v>
      </c>
      <c r="F213" s="17">
        <f>Benchmarking!F213</f>
        <v>315</v>
      </c>
      <c r="G213" s="17">
        <f>Benchmarking!G213</f>
        <v>1280</v>
      </c>
      <c r="H213" t="str">
        <f t="shared" si="36"/>
        <v>Environmental</v>
      </c>
      <c r="I213" t="str">
        <f t="shared" si="37"/>
        <v>Governance</v>
      </c>
      <c r="J213" s="19">
        <f t="shared" si="38"/>
        <v>135</v>
      </c>
      <c r="K213" s="19">
        <f t="shared" si="39"/>
        <v>100</v>
      </c>
      <c r="L213" s="19">
        <f t="shared" si="40"/>
        <v>235</v>
      </c>
      <c r="M213" s="17">
        <f t="shared" si="41"/>
        <v>235</v>
      </c>
      <c r="N213" s="22">
        <f t="shared" si="42"/>
        <v>0.95706371191135731</v>
      </c>
      <c r="O213" s="22">
        <f t="shared" si="43"/>
        <v>0.82548476454293629</v>
      </c>
      <c r="P213" s="22">
        <f t="shared" si="44"/>
        <v>0.13157894736842102</v>
      </c>
      <c r="Q213" t="str">
        <f t="shared" si="45"/>
        <v/>
      </c>
      <c r="S213">
        <f t="shared" si="46"/>
        <v>235.00097869999999</v>
      </c>
      <c r="T213" s="23">
        <f t="shared" si="47"/>
        <v>0.13255764736842102</v>
      </c>
    </row>
    <row r="214" spans="1:20" ht="15" customHeight="1" x14ac:dyDescent="0.35">
      <c r="A214" t="str">
        <f>Benchmarking!A214</f>
        <v>T Rowe Price Group Inc</v>
      </c>
      <c r="B214" t="str">
        <f>Benchmarking!B214</f>
        <v>trow</v>
      </c>
      <c r="C214" t="str">
        <f>Benchmarking!C214</f>
        <v>Financial Services</v>
      </c>
      <c r="D214" s="17">
        <f>Benchmarking!D214</f>
        <v>510</v>
      </c>
      <c r="E214" s="17">
        <f>Benchmarking!E214</f>
        <v>325</v>
      </c>
      <c r="F214" s="17">
        <f>Benchmarking!F214</f>
        <v>310</v>
      </c>
      <c r="G214" s="17">
        <f>Benchmarking!G214</f>
        <v>1145</v>
      </c>
      <c r="H214" t="str">
        <f t="shared" si="36"/>
        <v>Environmental</v>
      </c>
      <c r="I214" t="str">
        <f t="shared" si="37"/>
        <v>Governance</v>
      </c>
      <c r="J214" s="19">
        <f t="shared" si="38"/>
        <v>185</v>
      </c>
      <c r="K214" s="19">
        <f t="shared" si="39"/>
        <v>15</v>
      </c>
      <c r="L214" s="19">
        <f t="shared" si="40"/>
        <v>200</v>
      </c>
      <c r="M214" s="17">
        <f t="shared" si="41"/>
        <v>200</v>
      </c>
      <c r="N214" s="22">
        <f t="shared" si="42"/>
        <v>0.75207756232686984</v>
      </c>
      <c r="O214" s="22">
        <f t="shared" si="43"/>
        <v>0.66620498614958445</v>
      </c>
      <c r="P214" s="22">
        <f t="shared" si="44"/>
        <v>8.5872576177285387E-2</v>
      </c>
      <c r="Q214" t="str">
        <f t="shared" si="45"/>
        <v/>
      </c>
      <c r="S214">
        <f t="shared" si="46"/>
        <v>200.0009786</v>
      </c>
      <c r="T214" s="23">
        <f t="shared" si="47"/>
        <v>8.6851176177285383E-2</v>
      </c>
    </row>
    <row r="215" spans="1:20" ht="15" customHeight="1" x14ac:dyDescent="0.35">
      <c r="A215" t="str">
        <f>Benchmarking!A215</f>
        <v>Take-Two Interactive Software Inc</v>
      </c>
      <c r="B215" t="str">
        <f>Benchmarking!B215</f>
        <v>ttwo</v>
      </c>
      <c r="C215" t="str">
        <f>Benchmarking!C215</f>
        <v>Media</v>
      </c>
      <c r="D215" s="17">
        <f>Benchmarking!D215</f>
        <v>225</v>
      </c>
      <c r="E215" s="17">
        <f>Benchmarking!E215</f>
        <v>307</v>
      </c>
      <c r="F215" s="17">
        <f>Benchmarking!F215</f>
        <v>310</v>
      </c>
      <c r="G215" s="17">
        <f>Benchmarking!G215</f>
        <v>842</v>
      </c>
      <c r="H215" t="str">
        <f t="shared" si="36"/>
        <v>Governance</v>
      </c>
      <c r="I215" t="str">
        <f t="shared" si="37"/>
        <v>Environmental</v>
      </c>
      <c r="J215" s="19">
        <f t="shared" si="38"/>
        <v>-82</v>
      </c>
      <c r="K215" s="19">
        <f t="shared" si="39"/>
        <v>-3</v>
      </c>
      <c r="L215" s="19">
        <f t="shared" si="40"/>
        <v>-85</v>
      </c>
      <c r="M215" s="17">
        <f t="shared" si="41"/>
        <v>85</v>
      </c>
      <c r="N215" s="22">
        <f t="shared" si="42"/>
        <v>0.33102493074792244</v>
      </c>
      <c r="O215" s="22">
        <f t="shared" si="43"/>
        <v>0.17036011080332411</v>
      </c>
      <c r="P215" s="22">
        <f t="shared" si="44"/>
        <v>0.16066481994459833</v>
      </c>
      <c r="Q215" t="str">
        <f t="shared" si="45"/>
        <v/>
      </c>
      <c r="S215">
        <f t="shared" si="46"/>
        <v>85.000978500000002</v>
      </c>
      <c r="T215" s="23">
        <f t="shared" si="47"/>
        <v>0.16164331994459832</v>
      </c>
    </row>
    <row r="216" spans="1:20" ht="15" customHeight="1" x14ac:dyDescent="0.35">
      <c r="A216" t="str">
        <f>Benchmarking!A216</f>
        <v>Tesla Inc</v>
      </c>
      <c r="B216" t="str">
        <f>Benchmarking!B216</f>
        <v>tsla</v>
      </c>
      <c r="C216" t="str">
        <f>Benchmarking!C216</f>
        <v>Automobiles</v>
      </c>
      <c r="D216" s="17">
        <f>Benchmarking!D216</f>
        <v>555</v>
      </c>
      <c r="E216" s="17">
        <f>Benchmarking!E216</f>
        <v>160</v>
      </c>
      <c r="F216" s="17">
        <f>Benchmarking!F216</f>
        <v>278</v>
      </c>
      <c r="G216" s="17">
        <f>Benchmarking!G216</f>
        <v>993</v>
      </c>
      <c r="H216" t="str">
        <f t="shared" si="36"/>
        <v>Environmental</v>
      </c>
      <c r="I216" t="str">
        <f t="shared" si="37"/>
        <v>Social</v>
      </c>
      <c r="J216" s="19">
        <f t="shared" si="38"/>
        <v>395</v>
      </c>
      <c r="K216" s="19">
        <f t="shared" si="39"/>
        <v>-118</v>
      </c>
      <c r="L216" s="19">
        <f t="shared" si="40"/>
        <v>277</v>
      </c>
      <c r="M216" s="17">
        <f t="shared" si="41"/>
        <v>395</v>
      </c>
      <c r="N216" s="22">
        <f t="shared" si="42"/>
        <v>0.45013850415512463</v>
      </c>
      <c r="O216" s="22">
        <f t="shared" si="43"/>
        <v>1.3850415512465374E-3</v>
      </c>
      <c r="P216" s="22">
        <f t="shared" si="44"/>
        <v>0.44875346260387811</v>
      </c>
      <c r="Q216" t="str">
        <f t="shared" si="45"/>
        <v/>
      </c>
      <c r="S216">
        <f t="shared" si="46"/>
        <v>395.00097840000001</v>
      </c>
      <c r="T216" s="23">
        <f t="shared" si="47"/>
        <v>0.4497318626038781</v>
      </c>
    </row>
    <row r="217" spans="1:20" ht="15" customHeight="1" x14ac:dyDescent="0.35">
      <c r="A217" t="str">
        <f>Benchmarking!A217</f>
        <v>Tractor Supply Co</v>
      </c>
      <c r="B217" t="str">
        <f>Benchmarking!B217</f>
        <v>tsco</v>
      </c>
      <c r="C217" t="str">
        <f>Benchmarking!C217</f>
        <v>Retail</v>
      </c>
      <c r="D217" s="17">
        <f>Benchmarking!D217</f>
        <v>500</v>
      </c>
      <c r="E217" s="17">
        <f>Benchmarking!E217</f>
        <v>300</v>
      </c>
      <c r="F217" s="17">
        <f>Benchmarking!F217</f>
        <v>200</v>
      </c>
      <c r="G217" s="17">
        <f>Benchmarking!G217</f>
        <v>1000</v>
      </c>
      <c r="H217" t="str">
        <f t="shared" si="36"/>
        <v>Environmental</v>
      </c>
      <c r="I217" t="str">
        <f t="shared" si="37"/>
        <v>Governance</v>
      </c>
      <c r="J217" s="19">
        <f t="shared" si="38"/>
        <v>200</v>
      </c>
      <c r="K217" s="19">
        <f t="shared" si="39"/>
        <v>100</v>
      </c>
      <c r="L217" s="19">
        <f t="shared" si="40"/>
        <v>300</v>
      </c>
      <c r="M217" s="17">
        <f t="shared" si="41"/>
        <v>300</v>
      </c>
      <c r="N217" s="22">
        <f t="shared" si="42"/>
        <v>0.45567867036011078</v>
      </c>
      <c r="O217" s="22">
        <f t="shared" si="43"/>
        <v>2.7700831024930748E-3</v>
      </c>
      <c r="P217" s="22">
        <f t="shared" si="44"/>
        <v>0.45290858725761773</v>
      </c>
      <c r="Q217" t="str">
        <f t="shared" si="45"/>
        <v/>
      </c>
      <c r="S217">
        <f t="shared" si="46"/>
        <v>300.00097829999999</v>
      </c>
      <c r="T217" s="23">
        <f t="shared" si="47"/>
        <v>0.45388688725761772</v>
      </c>
    </row>
    <row r="218" spans="1:20" ht="15" customHeight="1" x14ac:dyDescent="0.35">
      <c r="A218" t="str">
        <f>Benchmarking!A218</f>
        <v>Texas Instruments Inc</v>
      </c>
      <c r="B218" t="str">
        <f>Benchmarking!B218</f>
        <v>txn</v>
      </c>
      <c r="C218" t="str">
        <f>Benchmarking!C218</f>
        <v>Semiconductors</v>
      </c>
      <c r="D218" s="17">
        <f>Benchmarking!D218</f>
        <v>500</v>
      </c>
      <c r="E218" s="17">
        <f>Benchmarking!E218</f>
        <v>300</v>
      </c>
      <c r="F218" s="17">
        <f>Benchmarking!F218</f>
        <v>300</v>
      </c>
      <c r="G218" s="17">
        <f>Benchmarking!G218</f>
        <v>1100</v>
      </c>
      <c r="H218" t="str">
        <f t="shared" si="36"/>
        <v>Environmental</v>
      </c>
      <c r="I218" t="str">
        <f t="shared" si="37"/>
        <v>Social</v>
      </c>
      <c r="J218" s="19">
        <f t="shared" si="38"/>
        <v>200</v>
      </c>
      <c r="K218" s="19">
        <f t="shared" si="39"/>
        <v>0</v>
      </c>
      <c r="L218" s="19">
        <f t="shared" si="40"/>
        <v>200</v>
      </c>
      <c r="M218" s="17">
        <f t="shared" si="41"/>
        <v>200</v>
      </c>
      <c r="N218" s="22">
        <f t="shared" si="42"/>
        <v>0.56925207756232687</v>
      </c>
      <c r="O218" s="22">
        <f t="shared" si="43"/>
        <v>0.36565096952908588</v>
      </c>
      <c r="P218" s="22">
        <f t="shared" si="44"/>
        <v>0.203601108033241</v>
      </c>
      <c r="Q218" t="str">
        <f t="shared" si="45"/>
        <v/>
      </c>
      <c r="S218">
        <f t="shared" si="46"/>
        <v>200.00097819999999</v>
      </c>
      <c r="T218" s="23">
        <f t="shared" si="47"/>
        <v>0.20457930803324101</v>
      </c>
    </row>
    <row r="219" spans="1:20" ht="15" customHeight="1" x14ac:dyDescent="0.35">
      <c r="A219" t="str">
        <f>Benchmarking!A219</f>
        <v>T-Mobile US Inc</v>
      </c>
      <c r="B219" t="str">
        <f>Benchmarking!B219</f>
        <v>tmus</v>
      </c>
      <c r="C219" t="str">
        <f>Benchmarking!C219</f>
        <v>Telecommunication</v>
      </c>
      <c r="D219" s="17">
        <f>Benchmarking!D219</f>
        <v>342</v>
      </c>
      <c r="E219" s="17">
        <f>Benchmarking!E219</f>
        <v>331</v>
      </c>
      <c r="F219" s="17">
        <f>Benchmarking!F219</f>
        <v>230</v>
      </c>
      <c r="G219" s="17">
        <f>Benchmarking!G219</f>
        <v>903</v>
      </c>
      <c r="H219" t="str">
        <f t="shared" si="36"/>
        <v>Environmental</v>
      </c>
      <c r="I219" t="str">
        <f t="shared" si="37"/>
        <v>Governance</v>
      </c>
      <c r="J219" s="19">
        <f t="shared" si="38"/>
        <v>11</v>
      </c>
      <c r="K219" s="19">
        <f t="shared" si="39"/>
        <v>101</v>
      </c>
      <c r="L219" s="19">
        <f t="shared" si="40"/>
        <v>112</v>
      </c>
      <c r="M219" s="17">
        <f t="shared" si="41"/>
        <v>112</v>
      </c>
      <c r="N219" s="22">
        <f t="shared" si="42"/>
        <v>0.37950138504155123</v>
      </c>
      <c r="O219" s="22">
        <f t="shared" si="43"/>
        <v>0.22991689750692521</v>
      </c>
      <c r="P219" s="22">
        <f t="shared" si="44"/>
        <v>0.14958448753462603</v>
      </c>
      <c r="Q219" t="str">
        <f t="shared" si="45"/>
        <v/>
      </c>
      <c r="S219">
        <f t="shared" si="46"/>
        <v>112.0009781</v>
      </c>
      <c r="T219" s="23">
        <f t="shared" si="47"/>
        <v>0.15056258753462604</v>
      </c>
    </row>
    <row r="220" spans="1:20" ht="15" customHeight="1" x14ac:dyDescent="0.35">
      <c r="A220" t="str">
        <f>Benchmarking!A220</f>
        <v>United Airlines Holdings Inc</v>
      </c>
      <c r="B220" t="str">
        <f>Benchmarking!B220</f>
        <v>ual</v>
      </c>
      <c r="C220" t="str">
        <f>Benchmarking!C220</f>
        <v>Airlines</v>
      </c>
      <c r="D220" s="17">
        <f>Benchmarking!D220</f>
        <v>205</v>
      </c>
      <c r="E220" s="17">
        <f>Benchmarking!E220</f>
        <v>203</v>
      </c>
      <c r="F220" s="17">
        <f>Benchmarking!F220</f>
        <v>221</v>
      </c>
      <c r="G220" s="17">
        <f>Benchmarking!G220</f>
        <v>629</v>
      </c>
      <c r="H220" t="str">
        <f t="shared" si="36"/>
        <v>Governance</v>
      </c>
      <c r="I220" t="str">
        <f t="shared" si="37"/>
        <v>Social</v>
      </c>
      <c r="J220" s="19">
        <f t="shared" si="38"/>
        <v>2</v>
      </c>
      <c r="K220" s="19">
        <f t="shared" si="39"/>
        <v>-18</v>
      </c>
      <c r="L220" s="19">
        <f t="shared" si="40"/>
        <v>-16</v>
      </c>
      <c r="M220" s="17">
        <f t="shared" si="41"/>
        <v>18</v>
      </c>
      <c r="N220" s="22">
        <f t="shared" si="42"/>
        <v>5.5401662049861494E-2</v>
      </c>
      <c r="O220" s="22">
        <f t="shared" si="43"/>
        <v>5.1246537396121887E-2</v>
      </c>
      <c r="P220" s="22">
        <f t="shared" si="44"/>
        <v>4.1551246537396072E-3</v>
      </c>
      <c r="Q220" t="str">
        <f t="shared" si="45"/>
        <v/>
      </c>
      <c r="S220">
        <f t="shared" si="46"/>
        <v>18.000978</v>
      </c>
      <c r="T220" s="23">
        <f t="shared" si="47"/>
        <v>5.1331246537396069E-3</v>
      </c>
    </row>
    <row r="221" spans="1:20" ht="15" customHeight="1" x14ac:dyDescent="0.35">
      <c r="A221" t="str">
        <f>Benchmarking!A221</f>
        <v>Verisk Analytics Inc</v>
      </c>
      <c r="B221" t="str">
        <f>Benchmarking!B221</f>
        <v>vrsk</v>
      </c>
      <c r="C221" t="str">
        <f>Benchmarking!C221</f>
        <v>Professional Services</v>
      </c>
      <c r="D221" s="17">
        <f>Benchmarking!D221</f>
        <v>615</v>
      </c>
      <c r="E221" s="17">
        <f>Benchmarking!E221</f>
        <v>366</v>
      </c>
      <c r="F221" s="17">
        <f>Benchmarking!F221</f>
        <v>300</v>
      </c>
      <c r="G221" s="17">
        <f>Benchmarking!G221</f>
        <v>1281</v>
      </c>
      <c r="H221" t="str">
        <f t="shared" si="36"/>
        <v>Environmental</v>
      </c>
      <c r="I221" t="str">
        <f t="shared" si="37"/>
        <v>Governance</v>
      </c>
      <c r="J221" s="19">
        <f t="shared" si="38"/>
        <v>249</v>
      </c>
      <c r="K221" s="19">
        <f t="shared" si="39"/>
        <v>66</v>
      </c>
      <c r="L221" s="19">
        <f t="shared" si="40"/>
        <v>315</v>
      </c>
      <c r="M221" s="17">
        <f t="shared" si="41"/>
        <v>315</v>
      </c>
      <c r="N221" s="22">
        <f t="shared" si="42"/>
        <v>0.95844875346260383</v>
      </c>
      <c r="O221" s="22">
        <f t="shared" si="43"/>
        <v>0.39335180055401664</v>
      </c>
      <c r="P221" s="22">
        <f t="shared" si="44"/>
        <v>0.56509695290858719</v>
      </c>
      <c r="Q221" t="str">
        <f t="shared" si="45"/>
        <v>High ESG / weak pillar (analytical flag - not an ESG rating) - warrants investigation</v>
      </c>
      <c r="S221">
        <f t="shared" si="46"/>
        <v>315.00097790000001</v>
      </c>
      <c r="T221" s="23">
        <f t="shared" si="47"/>
        <v>0.56607485290858717</v>
      </c>
    </row>
    <row r="222" spans="1:20" ht="15" customHeight="1" x14ac:dyDescent="0.35">
      <c r="A222" t="str">
        <f>Benchmarking!A222</f>
        <v>Ulta Beauty Inc</v>
      </c>
      <c r="B222" t="str">
        <f>Benchmarking!B222</f>
        <v>ulta</v>
      </c>
      <c r="C222" t="str">
        <f>Benchmarking!C222</f>
        <v>Retail</v>
      </c>
      <c r="D222" s="17">
        <f>Benchmarking!D222</f>
        <v>205</v>
      </c>
      <c r="E222" s="17">
        <f>Benchmarking!E222</f>
        <v>242</v>
      </c>
      <c r="F222" s="17">
        <f>Benchmarking!F222</f>
        <v>200</v>
      </c>
      <c r="G222" s="17">
        <f>Benchmarking!G222</f>
        <v>647</v>
      </c>
      <c r="H222" t="str">
        <f t="shared" si="36"/>
        <v>Social</v>
      </c>
      <c r="I222" t="str">
        <f t="shared" si="37"/>
        <v>Governance</v>
      </c>
      <c r="J222" s="19">
        <f t="shared" si="38"/>
        <v>-37</v>
      </c>
      <c r="K222" s="19">
        <f t="shared" si="39"/>
        <v>42</v>
      </c>
      <c r="L222" s="19">
        <f t="shared" si="40"/>
        <v>5</v>
      </c>
      <c r="M222" s="17">
        <f t="shared" si="41"/>
        <v>42</v>
      </c>
      <c r="N222" s="22">
        <f t="shared" si="42"/>
        <v>8.8642659279778394E-2</v>
      </c>
      <c r="O222" s="22">
        <f t="shared" si="43"/>
        <v>2.7700831024930748E-3</v>
      </c>
      <c r="P222" s="22">
        <f t="shared" si="44"/>
        <v>8.5872576177285317E-2</v>
      </c>
      <c r="Q222" t="str">
        <f t="shared" si="45"/>
        <v/>
      </c>
      <c r="S222">
        <f t="shared" si="46"/>
        <v>42.000977800000001</v>
      </c>
      <c r="T222" s="23">
        <f t="shared" si="47"/>
        <v>8.6850376177285318E-2</v>
      </c>
    </row>
    <row r="223" spans="1:20" ht="15" customHeight="1" x14ac:dyDescent="0.35">
      <c r="A223" t="str">
        <f>Benchmarking!A223</f>
        <v>Vertex Pharmaceuticals Inc</v>
      </c>
      <c r="B223" t="str">
        <f>Benchmarking!B223</f>
        <v>vrtx</v>
      </c>
      <c r="C223" t="str">
        <f>Benchmarking!C223</f>
        <v>Biotechnology</v>
      </c>
      <c r="D223" s="17">
        <f>Benchmarking!D223</f>
        <v>500</v>
      </c>
      <c r="E223" s="17">
        <f>Benchmarking!E223</f>
        <v>300</v>
      </c>
      <c r="F223" s="17">
        <f>Benchmarking!F223</f>
        <v>300</v>
      </c>
      <c r="G223" s="17">
        <f>Benchmarking!G223</f>
        <v>1100</v>
      </c>
      <c r="H223" t="str">
        <f t="shared" si="36"/>
        <v>Environmental</v>
      </c>
      <c r="I223" t="str">
        <f t="shared" si="37"/>
        <v>Social</v>
      </c>
      <c r="J223" s="19">
        <f t="shared" si="38"/>
        <v>200</v>
      </c>
      <c r="K223" s="19">
        <f t="shared" si="39"/>
        <v>0</v>
      </c>
      <c r="L223" s="19">
        <f t="shared" si="40"/>
        <v>200</v>
      </c>
      <c r="M223" s="17">
        <f t="shared" si="41"/>
        <v>200</v>
      </c>
      <c r="N223" s="22">
        <f t="shared" si="42"/>
        <v>0.56925207756232687</v>
      </c>
      <c r="O223" s="22">
        <f t="shared" si="43"/>
        <v>0.36565096952908588</v>
      </c>
      <c r="P223" s="22">
        <f t="shared" si="44"/>
        <v>0.203601108033241</v>
      </c>
      <c r="Q223" t="str">
        <f t="shared" si="45"/>
        <v/>
      </c>
      <c r="S223">
        <f t="shared" si="46"/>
        <v>200.00097769999999</v>
      </c>
      <c r="T223" s="23">
        <f t="shared" si="47"/>
        <v>0.20457880803324099</v>
      </c>
    </row>
    <row r="224" spans="1:20" ht="15" customHeight="1" x14ac:dyDescent="0.35">
      <c r="A224" t="str">
        <f>Benchmarking!A224</f>
        <v>Viatris Inc</v>
      </c>
      <c r="B224" t="str">
        <f>Benchmarking!B224</f>
        <v>vtrs</v>
      </c>
      <c r="C224" t="str">
        <f>Benchmarking!C224</f>
        <v>Pharmaceuticals</v>
      </c>
      <c r="D224" s="17">
        <f>Benchmarking!D224</f>
        <v>500</v>
      </c>
      <c r="E224" s="17">
        <f>Benchmarking!E224</f>
        <v>300</v>
      </c>
      <c r="F224" s="17">
        <f>Benchmarking!F224</f>
        <v>200</v>
      </c>
      <c r="G224" s="17">
        <f>Benchmarking!G224</f>
        <v>1000</v>
      </c>
      <c r="H224" t="str">
        <f t="shared" si="36"/>
        <v>Environmental</v>
      </c>
      <c r="I224" t="str">
        <f t="shared" si="37"/>
        <v>Governance</v>
      </c>
      <c r="J224" s="19">
        <f t="shared" si="38"/>
        <v>200</v>
      </c>
      <c r="K224" s="19">
        <f t="shared" si="39"/>
        <v>100</v>
      </c>
      <c r="L224" s="19">
        <f t="shared" si="40"/>
        <v>300</v>
      </c>
      <c r="M224" s="17">
        <f t="shared" si="41"/>
        <v>300</v>
      </c>
      <c r="N224" s="22">
        <f t="shared" si="42"/>
        <v>0.45567867036011078</v>
      </c>
      <c r="O224" s="22">
        <f t="shared" si="43"/>
        <v>2.7700831024930748E-3</v>
      </c>
      <c r="P224" s="22">
        <f t="shared" si="44"/>
        <v>0.45290858725761773</v>
      </c>
      <c r="Q224" t="str">
        <f t="shared" si="45"/>
        <v/>
      </c>
      <c r="S224">
        <f t="shared" si="46"/>
        <v>300.0009776</v>
      </c>
      <c r="T224" s="23">
        <f t="shared" si="47"/>
        <v>0.45388618725761776</v>
      </c>
    </row>
    <row r="225" spans="1:20" ht="15" customHeight="1" x14ac:dyDescent="0.35">
      <c r="A225" t="str">
        <f>Benchmarking!A225</f>
        <v>Verisign Inc</v>
      </c>
      <c r="B225" t="str">
        <f>Benchmarking!B225</f>
        <v>vrsn</v>
      </c>
      <c r="C225" t="str">
        <f>Benchmarking!C225</f>
        <v>Technology</v>
      </c>
      <c r="D225" s="17">
        <f>Benchmarking!D225</f>
        <v>548</v>
      </c>
      <c r="E225" s="17">
        <f>Benchmarking!E225</f>
        <v>354</v>
      </c>
      <c r="F225" s="17">
        <f>Benchmarking!F225</f>
        <v>325</v>
      </c>
      <c r="G225" s="17">
        <f>Benchmarking!G225</f>
        <v>1227</v>
      </c>
      <c r="H225" t="str">
        <f t="shared" si="36"/>
        <v>Environmental</v>
      </c>
      <c r="I225" t="str">
        <f t="shared" si="37"/>
        <v>Governance</v>
      </c>
      <c r="J225" s="19">
        <f t="shared" si="38"/>
        <v>194</v>
      </c>
      <c r="K225" s="19">
        <f t="shared" si="39"/>
        <v>29</v>
      </c>
      <c r="L225" s="19">
        <f t="shared" si="40"/>
        <v>223</v>
      </c>
      <c r="M225" s="17">
        <f t="shared" si="41"/>
        <v>223</v>
      </c>
      <c r="N225" s="22">
        <f t="shared" si="42"/>
        <v>0.91551246537396125</v>
      </c>
      <c r="O225" s="22">
        <f t="shared" si="43"/>
        <v>0.87257617728531855</v>
      </c>
      <c r="P225" s="22">
        <f t="shared" si="44"/>
        <v>4.2936288088642693E-2</v>
      </c>
      <c r="Q225" t="str">
        <f t="shared" si="45"/>
        <v/>
      </c>
      <c r="S225">
        <f t="shared" si="46"/>
        <v>223.0009775</v>
      </c>
      <c r="T225" s="23">
        <f t="shared" si="47"/>
        <v>4.3913788088642693E-2</v>
      </c>
    </row>
    <row r="226" spans="1:20" ht="15" customHeight="1" x14ac:dyDescent="0.35">
      <c r="A226" t="str">
        <f>Benchmarking!A226</f>
        <v>Walgreens Boots Alliance Inc</v>
      </c>
      <c r="B226" t="str">
        <f>Benchmarking!B226</f>
        <v>wba</v>
      </c>
      <c r="C226" t="str">
        <f>Benchmarking!C226</f>
        <v>Retail</v>
      </c>
      <c r="D226" s="17">
        <f>Benchmarking!D226</f>
        <v>515</v>
      </c>
      <c r="E226" s="17">
        <f>Benchmarking!E226</f>
        <v>325</v>
      </c>
      <c r="F226" s="17">
        <f>Benchmarking!F226</f>
        <v>300</v>
      </c>
      <c r="G226" s="17">
        <f>Benchmarking!G226</f>
        <v>1140</v>
      </c>
      <c r="H226" t="str">
        <f t="shared" si="36"/>
        <v>Environmental</v>
      </c>
      <c r="I226" t="str">
        <f t="shared" si="37"/>
        <v>Governance</v>
      </c>
      <c r="J226" s="19">
        <f t="shared" si="38"/>
        <v>190</v>
      </c>
      <c r="K226" s="19">
        <f t="shared" si="39"/>
        <v>25</v>
      </c>
      <c r="L226" s="19">
        <f t="shared" si="40"/>
        <v>215</v>
      </c>
      <c r="M226" s="17">
        <f t="shared" si="41"/>
        <v>215</v>
      </c>
      <c r="N226" s="22">
        <f t="shared" si="42"/>
        <v>0.73268698060941828</v>
      </c>
      <c r="O226" s="22">
        <f t="shared" si="43"/>
        <v>0.39335180055401664</v>
      </c>
      <c r="P226" s="22">
        <f t="shared" si="44"/>
        <v>0.33933518005540164</v>
      </c>
      <c r="Q226" t="str">
        <f t="shared" si="45"/>
        <v/>
      </c>
      <c r="S226">
        <f t="shared" si="46"/>
        <v>215.00097740000001</v>
      </c>
      <c r="T226" s="23">
        <f t="shared" si="47"/>
        <v>0.34031258005540166</v>
      </c>
    </row>
    <row r="227" spans="1:20" ht="15" customHeight="1" x14ac:dyDescent="0.35">
      <c r="A227" t="str">
        <f>Benchmarking!A227</f>
        <v>NetApp Inc</v>
      </c>
      <c r="B227" t="str">
        <f>Benchmarking!B227</f>
        <v>ntap</v>
      </c>
      <c r="C227" t="str">
        <f>Benchmarking!C227</f>
        <v>Technology</v>
      </c>
      <c r="D227" s="17">
        <f>Benchmarking!D227</f>
        <v>545</v>
      </c>
      <c r="E227" s="17">
        <f>Benchmarking!E227</f>
        <v>359</v>
      </c>
      <c r="F227" s="17">
        <f>Benchmarking!F227</f>
        <v>325</v>
      </c>
      <c r="G227" s="17">
        <f>Benchmarking!G227</f>
        <v>1229</v>
      </c>
      <c r="H227" t="str">
        <f t="shared" si="36"/>
        <v>Environmental</v>
      </c>
      <c r="I227" t="str">
        <f t="shared" si="37"/>
        <v>Governance</v>
      </c>
      <c r="J227" s="19">
        <f t="shared" si="38"/>
        <v>186</v>
      </c>
      <c r="K227" s="19">
        <f t="shared" si="39"/>
        <v>34</v>
      </c>
      <c r="L227" s="19">
        <f t="shared" si="40"/>
        <v>220</v>
      </c>
      <c r="M227" s="17">
        <f t="shared" si="41"/>
        <v>220</v>
      </c>
      <c r="N227" s="22">
        <f t="shared" si="42"/>
        <v>0.91689750692520777</v>
      </c>
      <c r="O227" s="22">
        <f t="shared" si="43"/>
        <v>0.86149584487534625</v>
      </c>
      <c r="P227" s="22">
        <f t="shared" si="44"/>
        <v>5.5401662049861522E-2</v>
      </c>
      <c r="Q227" t="str">
        <f t="shared" si="45"/>
        <v/>
      </c>
      <c r="S227">
        <f t="shared" si="46"/>
        <v>220.00097729999999</v>
      </c>
      <c r="T227" s="23">
        <f t="shared" si="47"/>
        <v>5.6378962049861522E-2</v>
      </c>
    </row>
    <row r="228" spans="1:20" ht="15" customHeight="1" x14ac:dyDescent="0.35">
      <c r="A228" t="str">
        <f>Benchmarking!A228</f>
        <v>Xcel Energy Inc</v>
      </c>
      <c r="B228" t="str">
        <f>Benchmarking!B228</f>
        <v>xel</v>
      </c>
      <c r="C228" t="str">
        <f>Benchmarking!C228</f>
        <v>Utilities</v>
      </c>
      <c r="D228" s="17">
        <f>Benchmarking!D228</f>
        <v>223</v>
      </c>
      <c r="E228" s="17">
        <f>Benchmarking!E228</f>
        <v>201</v>
      </c>
      <c r="F228" s="17">
        <f>Benchmarking!F228</f>
        <v>205</v>
      </c>
      <c r="G228" s="17">
        <f>Benchmarking!G228</f>
        <v>629</v>
      </c>
      <c r="H228" t="str">
        <f t="shared" si="36"/>
        <v>Environmental</v>
      </c>
      <c r="I228" t="str">
        <f t="shared" si="37"/>
        <v>Social</v>
      </c>
      <c r="J228" s="19">
        <f t="shared" si="38"/>
        <v>22</v>
      </c>
      <c r="K228" s="19">
        <f t="shared" si="39"/>
        <v>-4</v>
      </c>
      <c r="L228" s="19">
        <f t="shared" si="40"/>
        <v>18</v>
      </c>
      <c r="M228" s="17">
        <f t="shared" si="41"/>
        <v>22</v>
      </c>
      <c r="N228" s="22">
        <f t="shared" si="42"/>
        <v>5.5401662049861494E-2</v>
      </c>
      <c r="O228" s="22">
        <f t="shared" si="43"/>
        <v>3.1855955678670361E-2</v>
      </c>
      <c r="P228" s="22">
        <f t="shared" si="44"/>
        <v>2.3545706371191133E-2</v>
      </c>
      <c r="Q228" t="str">
        <f t="shared" si="45"/>
        <v/>
      </c>
      <c r="S228">
        <f t="shared" si="46"/>
        <v>22.000977200000001</v>
      </c>
      <c r="T228" s="23">
        <f t="shared" si="47"/>
        <v>2.4522906371191134E-2</v>
      </c>
    </row>
    <row r="229" spans="1:20" ht="15" customHeight="1" x14ac:dyDescent="0.35">
      <c r="A229" t="str">
        <f>Benchmarking!A229</f>
        <v>DENTSPLY SIRONA Inc</v>
      </c>
      <c r="B229" t="str">
        <f>Benchmarking!B229</f>
        <v>xray</v>
      </c>
      <c r="C229" t="str">
        <f>Benchmarking!C229</f>
        <v>Health Care</v>
      </c>
      <c r="D229" s="17">
        <f>Benchmarking!D229</f>
        <v>530</v>
      </c>
      <c r="E229" s="17">
        <f>Benchmarking!E229</f>
        <v>318</v>
      </c>
      <c r="F229" s="17">
        <f>Benchmarking!F229</f>
        <v>305</v>
      </c>
      <c r="G229" s="17">
        <f>Benchmarking!G229</f>
        <v>1153</v>
      </c>
      <c r="H229" t="str">
        <f t="shared" si="36"/>
        <v>Environmental</v>
      </c>
      <c r="I229" t="str">
        <f t="shared" si="37"/>
        <v>Governance</v>
      </c>
      <c r="J229" s="19">
        <f t="shared" si="38"/>
        <v>212</v>
      </c>
      <c r="K229" s="19">
        <f t="shared" si="39"/>
        <v>13</v>
      </c>
      <c r="L229" s="19">
        <f t="shared" si="40"/>
        <v>225</v>
      </c>
      <c r="M229" s="17">
        <f t="shared" si="41"/>
        <v>225</v>
      </c>
      <c r="N229" s="22">
        <f t="shared" si="42"/>
        <v>0.7770083102493075</v>
      </c>
      <c r="O229" s="22">
        <f t="shared" si="43"/>
        <v>0.63296398891966754</v>
      </c>
      <c r="P229" s="22">
        <f t="shared" si="44"/>
        <v>0.14404432132963996</v>
      </c>
      <c r="Q229" t="str">
        <f t="shared" si="45"/>
        <v/>
      </c>
      <c r="S229">
        <f t="shared" si="46"/>
        <v>225.0009771</v>
      </c>
      <c r="T229" s="23">
        <f t="shared" si="47"/>
        <v>0.14502142132963997</v>
      </c>
    </row>
    <row r="230" spans="1:20" ht="15" customHeight="1" x14ac:dyDescent="0.35">
      <c r="A230" t="str">
        <f>Benchmarking!A230</f>
        <v>Zebra Technologies Corp</v>
      </c>
      <c r="B230" t="str">
        <f>Benchmarking!B230</f>
        <v>zbra</v>
      </c>
      <c r="C230" t="str">
        <f>Benchmarking!C230</f>
        <v>Electrical Equipment</v>
      </c>
      <c r="D230" s="17">
        <f>Benchmarking!D230</f>
        <v>320</v>
      </c>
      <c r="E230" s="17">
        <f>Benchmarking!E230</f>
        <v>317</v>
      </c>
      <c r="F230" s="17">
        <f>Benchmarking!F230</f>
        <v>300</v>
      </c>
      <c r="G230" s="17">
        <f>Benchmarking!G230</f>
        <v>937</v>
      </c>
      <c r="H230" t="str">
        <f t="shared" si="36"/>
        <v>Environmental</v>
      </c>
      <c r="I230" t="str">
        <f t="shared" si="37"/>
        <v>Governance</v>
      </c>
      <c r="J230" s="19">
        <f t="shared" si="38"/>
        <v>3</v>
      </c>
      <c r="K230" s="19">
        <f t="shared" si="39"/>
        <v>17</v>
      </c>
      <c r="L230" s="19">
        <f t="shared" si="40"/>
        <v>20</v>
      </c>
      <c r="M230" s="17">
        <f t="shared" si="41"/>
        <v>20</v>
      </c>
      <c r="N230" s="22">
        <f t="shared" si="42"/>
        <v>0.40443213296398894</v>
      </c>
      <c r="O230" s="22">
        <f t="shared" si="43"/>
        <v>0.36980609418282551</v>
      </c>
      <c r="P230" s="22">
        <f t="shared" si="44"/>
        <v>3.4626038781163437E-2</v>
      </c>
      <c r="Q230" t="str">
        <f t="shared" si="45"/>
        <v/>
      </c>
      <c r="S230">
        <f t="shared" si="46"/>
        <v>20.000976999999999</v>
      </c>
      <c r="T230" s="23">
        <f t="shared" si="47"/>
        <v>3.5603038781163436E-2</v>
      </c>
    </row>
    <row r="231" spans="1:20" ht="15" customHeight="1" x14ac:dyDescent="0.35">
      <c r="A231" t="str">
        <f>Benchmarking!A231</f>
        <v>Advance Auto Parts Inc</v>
      </c>
      <c r="B231" t="str">
        <f>Benchmarking!B231</f>
        <v>aap</v>
      </c>
      <c r="C231" t="str">
        <f>Benchmarking!C231</f>
        <v>Retail</v>
      </c>
      <c r="D231" s="17">
        <f>Benchmarking!D231</f>
        <v>264</v>
      </c>
      <c r="E231" s="17">
        <f>Benchmarking!E231</f>
        <v>261</v>
      </c>
      <c r="F231" s="17">
        <f>Benchmarking!F231</f>
        <v>210</v>
      </c>
      <c r="G231" s="17">
        <f>Benchmarking!G231</f>
        <v>735</v>
      </c>
      <c r="H231" t="str">
        <f t="shared" si="36"/>
        <v>Environmental</v>
      </c>
      <c r="I231" t="str">
        <f t="shared" si="37"/>
        <v>Governance</v>
      </c>
      <c r="J231" s="19">
        <f t="shared" si="38"/>
        <v>3</v>
      </c>
      <c r="K231" s="19">
        <f t="shared" si="39"/>
        <v>51</v>
      </c>
      <c r="L231" s="19">
        <f t="shared" si="40"/>
        <v>54</v>
      </c>
      <c r="M231" s="17">
        <f t="shared" si="41"/>
        <v>54</v>
      </c>
      <c r="N231" s="22">
        <f t="shared" si="42"/>
        <v>0.203601108033241</v>
      </c>
      <c r="O231" s="22">
        <f t="shared" si="43"/>
        <v>0.12049861495844875</v>
      </c>
      <c r="P231" s="22">
        <f t="shared" si="44"/>
        <v>8.3102493074792241E-2</v>
      </c>
      <c r="Q231" t="str">
        <f t="shared" si="45"/>
        <v/>
      </c>
      <c r="S231">
        <f t="shared" si="46"/>
        <v>54.000976899999998</v>
      </c>
      <c r="T231" s="23">
        <f t="shared" si="47"/>
        <v>8.4079393074792244E-2</v>
      </c>
    </row>
    <row r="232" spans="1:20" ht="15" customHeight="1" x14ac:dyDescent="0.35">
      <c r="A232" t="str">
        <f>Benchmarking!A232</f>
        <v>Zions Bancorporation NA</v>
      </c>
      <c r="B232" t="str">
        <f>Benchmarking!B232</f>
        <v>zion</v>
      </c>
      <c r="C232" t="str">
        <f>Benchmarking!C232</f>
        <v>Banking</v>
      </c>
      <c r="D232" s="17">
        <f>Benchmarking!D232</f>
        <v>200</v>
      </c>
      <c r="E232" s="17">
        <f>Benchmarking!E232</f>
        <v>200</v>
      </c>
      <c r="F232" s="17">
        <f>Benchmarking!F232</f>
        <v>200</v>
      </c>
      <c r="G232" s="17">
        <f>Benchmarking!G232</f>
        <v>600</v>
      </c>
      <c r="H232" t="str">
        <f t="shared" si="36"/>
        <v>Environmental</v>
      </c>
      <c r="I232" t="str">
        <f t="shared" si="37"/>
        <v>Environmental</v>
      </c>
      <c r="J232" s="19">
        <f t="shared" si="38"/>
        <v>0</v>
      </c>
      <c r="K232" s="19">
        <f t="shared" si="39"/>
        <v>0</v>
      </c>
      <c r="L232" s="19">
        <f t="shared" si="40"/>
        <v>0</v>
      </c>
      <c r="M232" s="17">
        <f t="shared" si="41"/>
        <v>0</v>
      </c>
      <c r="N232" s="22">
        <f t="shared" si="42"/>
        <v>1.3850415512465374E-3</v>
      </c>
      <c r="O232" s="22">
        <f t="shared" si="43"/>
        <v>1.3850415512465374E-3</v>
      </c>
      <c r="P232" s="22">
        <f t="shared" si="44"/>
        <v>0</v>
      </c>
      <c r="Q232" t="str">
        <f t="shared" si="45"/>
        <v/>
      </c>
      <c r="S232">
        <f t="shared" si="46"/>
        <v>9.7680000000000011E-4</v>
      </c>
      <c r="T232" s="23">
        <f t="shared" si="47"/>
        <v>9.7680000000000011E-4</v>
      </c>
    </row>
    <row r="233" spans="1:20" ht="15" customHeight="1" x14ac:dyDescent="0.35">
      <c r="A233" t="str">
        <f>Benchmarking!A233</f>
        <v>Wynn Resorts Ltd</v>
      </c>
      <c r="B233" t="str">
        <f>Benchmarking!B233</f>
        <v>wynn</v>
      </c>
      <c r="C233" t="str">
        <f>Benchmarking!C233</f>
        <v>Hotels Restaurants &amp; Leisure</v>
      </c>
      <c r="D233" s="17">
        <f>Benchmarking!D233</f>
        <v>225</v>
      </c>
      <c r="E233" s="17">
        <f>Benchmarking!E233</f>
        <v>201</v>
      </c>
      <c r="F233" s="17">
        <f>Benchmarking!F233</f>
        <v>200</v>
      </c>
      <c r="G233" s="17">
        <f>Benchmarking!G233</f>
        <v>626</v>
      </c>
      <c r="H233" t="str">
        <f t="shared" si="36"/>
        <v>Environmental</v>
      </c>
      <c r="I233" t="str">
        <f t="shared" si="37"/>
        <v>Governance</v>
      </c>
      <c r="J233" s="19">
        <f t="shared" si="38"/>
        <v>24</v>
      </c>
      <c r="K233" s="19">
        <f t="shared" si="39"/>
        <v>1</v>
      </c>
      <c r="L233" s="19">
        <f t="shared" si="40"/>
        <v>25</v>
      </c>
      <c r="M233" s="17">
        <f t="shared" si="41"/>
        <v>25</v>
      </c>
      <c r="N233" s="22">
        <f t="shared" si="42"/>
        <v>5.1246537396121887E-2</v>
      </c>
      <c r="O233" s="22">
        <f t="shared" si="43"/>
        <v>2.7700831024930748E-3</v>
      </c>
      <c r="P233" s="22">
        <f t="shared" si="44"/>
        <v>4.8476454293628811E-2</v>
      </c>
      <c r="Q233" t="str">
        <f t="shared" si="45"/>
        <v/>
      </c>
      <c r="S233">
        <f t="shared" si="46"/>
        <v>25.000976699999999</v>
      </c>
      <c r="T233" s="23">
        <f t="shared" si="47"/>
        <v>4.9453154293628808E-2</v>
      </c>
    </row>
    <row r="234" spans="1:20" ht="15" customHeight="1" x14ac:dyDescent="0.35">
      <c r="A234" t="str">
        <f>Benchmarking!A234</f>
        <v>Agilent Technologies Inc</v>
      </c>
      <c r="B234" t="str">
        <f>Benchmarking!B234</f>
        <v>a</v>
      </c>
      <c r="C234" t="str">
        <f>Benchmarking!C234</f>
        <v>Life Sciences Tools &amp; Services</v>
      </c>
      <c r="D234" s="17">
        <f>Benchmarking!D234</f>
        <v>573</v>
      </c>
      <c r="E234" s="17">
        <f>Benchmarking!E234</f>
        <v>231</v>
      </c>
      <c r="F234" s="17">
        <f>Benchmarking!F234</f>
        <v>233</v>
      </c>
      <c r="G234" s="17">
        <f>Benchmarking!G234</f>
        <v>1037</v>
      </c>
      <c r="H234" t="str">
        <f t="shared" si="36"/>
        <v>Environmental</v>
      </c>
      <c r="I234" t="str">
        <f t="shared" si="37"/>
        <v>Social</v>
      </c>
      <c r="J234" s="19">
        <f t="shared" si="38"/>
        <v>342</v>
      </c>
      <c r="K234" s="19">
        <f t="shared" si="39"/>
        <v>-2</v>
      </c>
      <c r="L234" s="19">
        <f t="shared" si="40"/>
        <v>340</v>
      </c>
      <c r="M234" s="17">
        <f t="shared" si="41"/>
        <v>342</v>
      </c>
      <c r="N234" s="22">
        <f t="shared" si="42"/>
        <v>0.49445983379501385</v>
      </c>
      <c r="O234" s="22">
        <f t="shared" si="43"/>
        <v>0.19667590027700832</v>
      </c>
      <c r="P234" s="22">
        <f t="shared" si="44"/>
        <v>0.29778393351800553</v>
      </c>
      <c r="Q234" t="str">
        <f t="shared" si="45"/>
        <v/>
      </c>
      <c r="S234">
        <f t="shared" si="46"/>
        <v>342.0009766</v>
      </c>
      <c r="T234" s="23">
        <f t="shared" si="47"/>
        <v>0.29876053351800552</v>
      </c>
    </row>
    <row r="235" spans="1:20" ht="15" customHeight="1" x14ac:dyDescent="0.35">
      <c r="A235" t="str">
        <f>Benchmarking!A235</f>
        <v>Abbvie Inc</v>
      </c>
      <c r="B235" t="str">
        <f>Benchmarking!B235</f>
        <v>abbv</v>
      </c>
      <c r="C235" t="str">
        <f>Benchmarking!C235</f>
        <v>Biotechnology</v>
      </c>
      <c r="D235" s="17">
        <f>Benchmarking!D235</f>
        <v>505</v>
      </c>
      <c r="E235" s="17">
        <f>Benchmarking!E235</f>
        <v>317</v>
      </c>
      <c r="F235" s="17">
        <f>Benchmarking!F235</f>
        <v>300</v>
      </c>
      <c r="G235" s="17">
        <f>Benchmarking!G235</f>
        <v>1122</v>
      </c>
      <c r="H235" t="str">
        <f t="shared" si="36"/>
        <v>Environmental</v>
      </c>
      <c r="I235" t="str">
        <f t="shared" si="37"/>
        <v>Governance</v>
      </c>
      <c r="J235" s="19">
        <f t="shared" si="38"/>
        <v>188</v>
      </c>
      <c r="K235" s="19">
        <f t="shared" si="39"/>
        <v>17</v>
      </c>
      <c r="L235" s="19">
        <f t="shared" si="40"/>
        <v>205</v>
      </c>
      <c r="M235" s="17">
        <f t="shared" si="41"/>
        <v>205</v>
      </c>
      <c r="N235" s="22">
        <f t="shared" si="42"/>
        <v>0.67174515235457066</v>
      </c>
      <c r="O235" s="22">
        <f t="shared" si="43"/>
        <v>0.39335180055401664</v>
      </c>
      <c r="P235" s="22">
        <f t="shared" si="44"/>
        <v>0.27839335180055402</v>
      </c>
      <c r="Q235" t="str">
        <f t="shared" si="45"/>
        <v/>
      </c>
      <c r="S235">
        <f t="shared" si="46"/>
        <v>205.00097650000001</v>
      </c>
      <c r="T235" s="23">
        <f t="shared" si="47"/>
        <v>0.27936985180055401</v>
      </c>
    </row>
    <row r="236" spans="1:20" ht="15" customHeight="1" x14ac:dyDescent="0.35">
      <c r="A236" t="str">
        <f>Benchmarking!A236</f>
        <v>Amerisourcebergen Corp</v>
      </c>
      <c r="B236" t="str">
        <f>Benchmarking!B236</f>
        <v>abc</v>
      </c>
      <c r="C236" t="str">
        <f>Benchmarking!C236</f>
        <v>Health Care</v>
      </c>
      <c r="D236" s="17">
        <f>Benchmarking!D236</f>
        <v>505</v>
      </c>
      <c r="E236" s="17">
        <f>Benchmarking!E236</f>
        <v>300</v>
      </c>
      <c r="F236" s="17">
        <f>Benchmarking!F236</f>
        <v>315</v>
      </c>
      <c r="G236" s="17">
        <f>Benchmarking!G236</f>
        <v>1120</v>
      </c>
      <c r="H236" t="str">
        <f t="shared" si="36"/>
        <v>Environmental</v>
      </c>
      <c r="I236" t="str">
        <f t="shared" si="37"/>
        <v>Social</v>
      </c>
      <c r="J236" s="19">
        <f t="shared" si="38"/>
        <v>205</v>
      </c>
      <c r="K236" s="19">
        <f t="shared" si="39"/>
        <v>-15</v>
      </c>
      <c r="L236" s="19">
        <f t="shared" si="40"/>
        <v>190</v>
      </c>
      <c r="M236" s="17">
        <f t="shared" si="41"/>
        <v>205</v>
      </c>
      <c r="N236" s="22">
        <f t="shared" si="42"/>
        <v>0.66204986149584488</v>
      </c>
      <c r="O236" s="22">
        <f t="shared" si="43"/>
        <v>0.36565096952908588</v>
      </c>
      <c r="P236" s="22">
        <f t="shared" si="44"/>
        <v>0.296398891966759</v>
      </c>
      <c r="Q236" t="str">
        <f t="shared" si="45"/>
        <v/>
      </c>
      <c r="S236">
        <f t="shared" si="46"/>
        <v>205.00097640000001</v>
      </c>
      <c r="T236" s="23">
        <f t="shared" si="47"/>
        <v>0.29737529196675899</v>
      </c>
    </row>
    <row r="237" spans="1:20" ht="15" customHeight="1" x14ac:dyDescent="0.35">
      <c r="A237" t="str">
        <f>Benchmarking!A237</f>
        <v>Archer-Daniels-Midland Co</v>
      </c>
      <c r="B237" t="str">
        <f>Benchmarking!B237</f>
        <v>adm</v>
      </c>
      <c r="C237" t="str">
        <f>Benchmarking!C237</f>
        <v>Food Products</v>
      </c>
      <c r="D237" s="17">
        <f>Benchmarking!D237</f>
        <v>587</v>
      </c>
      <c r="E237" s="17">
        <f>Benchmarking!E237</f>
        <v>353</v>
      </c>
      <c r="F237" s="17">
        <f>Benchmarking!F237</f>
        <v>305</v>
      </c>
      <c r="G237" s="17">
        <f>Benchmarking!G237</f>
        <v>1245</v>
      </c>
      <c r="H237" t="str">
        <f t="shared" si="36"/>
        <v>Environmental</v>
      </c>
      <c r="I237" t="str">
        <f t="shared" si="37"/>
        <v>Governance</v>
      </c>
      <c r="J237" s="19">
        <f t="shared" si="38"/>
        <v>234</v>
      </c>
      <c r="K237" s="19">
        <f t="shared" si="39"/>
        <v>48</v>
      </c>
      <c r="L237" s="19">
        <f t="shared" si="40"/>
        <v>282</v>
      </c>
      <c r="M237" s="17">
        <f t="shared" si="41"/>
        <v>282</v>
      </c>
      <c r="N237" s="22">
        <f t="shared" si="42"/>
        <v>0.93213296398891965</v>
      </c>
      <c r="O237" s="22">
        <f t="shared" si="43"/>
        <v>0.63296398891966754</v>
      </c>
      <c r="P237" s="22">
        <f t="shared" si="44"/>
        <v>0.29916897506925211</v>
      </c>
      <c r="Q237" t="str">
        <f t="shared" si="45"/>
        <v/>
      </c>
      <c r="S237">
        <f t="shared" si="46"/>
        <v>282.00097629999999</v>
      </c>
      <c r="T237" s="23">
        <f t="shared" si="47"/>
        <v>0.30014527506925209</v>
      </c>
    </row>
    <row r="238" spans="1:20" ht="15" customHeight="1" x14ac:dyDescent="0.35">
      <c r="A238" t="str">
        <f>Benchmarking!A238</f>
        <v>Abbott Laboratories</v>
      </c>
      <c r="B238" t="str">
        <f>Benchmarking!B238</f>
        <v>abt</v>
      </c>
      <c r="C238" t="str">
        <f>Benchmarking!C238</f>
        <v>Health Care</v>
      </c>
      <c r="D238" s="17">
        <f>Benchmarking!D238</f>
        <v>515</v>
      </c>
      <c r="E238" s="17">
        <f>Benchmarking!E238</f>
        <v>305</v>
      </c>
      <c r="F238" s="17">
        <f>Benchmarking!F238</f>
        <v>305</v>
      </c>
      <c r="G238" s="17">
        <f>Benchmarking!G238</f>
        <v>1125</v>
      </c>
      <c r="H238" t="str">
        <f t="shared" si="36"/>
        <v>Environmental</v>
      </c>
      <c r="I238" t="str">
        <f t="shared" si="37"/>
        <v>Social</v>
      </c>
      <c r="J238" s="19">
        <f t="shared" si="38"/>
        <v>210</v>
      </c>
      <c r="K238" s="19">
        <f t="shared" si="39"/>
        <v>0</v>
      </c>
      <c r="L238" s="19">
        <f t="shared" si="40"/>
        <v>210</v>
      </c>
      <c r="M238" s="17">
        <f t="shared" si="41"/>
        <v>210</v>
      </c>
      <c r="N238" s="22">
        <f t="shared" si="42"/>
        <v>0.67590027700831024</v>
      </c>
      <c r="O238" s="22">
        <f t="shared" si="43"/>
        <v>0.56371191135734067</v>
      </c>
      <c r="P238" s="22">
        <f t="shared" si="44"/>
        <v>0.11218836565096957</v>
      </c>
      <c r="Q238" t="str">
        <f t="shared" si="45"/>
        <v/>
      </c>
      <c r="S238">
        <f t="shared" si="46"/>
        <v>210.0009762</v>
      </c>
      <c r="T238" s="23">
        <f t="shared" si="47"/>
        <v>0.11316456565096956</v>
      </c>
    </row>
    <row r="239" spans="1:20" ht="15" customHeight="1" x14ac:dyDescent="0.35">
      <c r="A239" t="str">
        <f>Benchmarking!A239</f>
        <v>Ameren Corp</v>
      </c>
      <c r="B239" t="str">
        <f>Benchmarking!B239</f>
        <v>aee</v>
      </c>
      <c r="C239" t="str">
        <f>Benchmarking!C239</f>
        <v>Utilities</v>
      </c>
      <c r="D239" s="17">
        <f>Benchmarking!D239</f>
        <v>562</v>
      </c>
      <c r="E239" s="17">
        <f>Benchmarking!E239</f>
        <v>345</v>
      </c>
      <c r="F239" s="17">
        <f>Benchmarking!F239</f>
        <v>300</v>
      </c>
      <c r="G239" s="17">
        <f>Benchmarking!G239</f>
        <v>1207</v>
      </c>
      <c r="H239" t="str">
        <f t="shared" si="36"/>
        <v>Environmental</v>
      </c>
      <c r="I239" t="str">
        <f t="shared" si="37"/>
        <v>Governance</v>
      </c>
      <c r="J239" s="19">
        <f t="shared" si="38"/>
        <v>217</v>
      </c>
      <c r="K239" s="19">
        <f t="shared" si="39"/>
        <v>45</v>
      </c>
      <c r="L239" s="19">
        <f t="shared" si="40"/>
        <v>262</v>
      </c>
      <c r="M239" s="17">
        <f t="shared" si="41"/>
        <v>262</v>
      </c>
      <c r="N239" s="22">
        <f t="shared" si="42"/>
        <v>0.89750692520775621</v>
      </c>
      <c r="O239" s="22">
        <f t="shared" si="43"/>
        <v>0.39335180055401664</v>
      </c>
      <c r="P239" s="22">
        <f t="shared" si="44"/>
        <v>0.50415512465373957</v>
      </c>
      <c r="Q239" t="str">
        <f t="shared" si="45"/>
        <v>High ESG / weak pillar (analytical flag - not an ESG rating) - warrants investigation</v>
      </c>
      <c r="S239">
        <f t="shared" si="46"/>
        <v>262.0009761</v>
      </c>
      <c r="T239" s="23">
        <f t="shared" si="47"/>
        <v>0.50513122465373961</v>
      </c>
    </row>
    <row r="240" spans="1:20" ht="15" customHeight="1" x14ac:dyDescent="0.35">
      <c r="A240" t="str">
        <f>Benchmarking!A240</f>
        <v>AES Corp</v>
      </c>
      <c r="B240" t="str">
        <f>Benchmarking!B240</f>
        <v>aes</v>
      </c>
      <c r="C240" t="str">
        <f>Benchmarking!C240</f>
        <v>Utilities</v>
      </c>
      <c r="D240" s="17">
        <f>Benchmarking!D240</f>
        <v>525</v>
      </c>
      <c r="E240" s="17">
        <f>Benchmarking!E240</f>
        <v>326</v>
      </c>
      <c r="F240" s="17">
        <f>Benchmarking!F240</f>
        <v>370</v>
      </c>
      <c r="G240" s="17">
        <f>Benchmarking!G240</f>
        <v>1221</v>
      </c>
      <c r="H240" t="str">
        <f t="shared" si="36"/>
        <v>Environmental</v>
      </c>
      <c r="I240" t="str">
        <f t="shared" si="37"/>
        <v>Social</v>
      </c>
      <c r="J240" s="19">
        <f t="shared" si="38"/>
        <v>199</v>
      </c>
      <c r="K240" s="19">
        <f t="shared" si="39"/>
        <v>-44</v>
      </c>
      <c r="L240" s="19">
        <f t="shared" si="40"/>
        <v>155</v>
      </c>
      <c r="M240" s="17">
        <f t="shared" si="41"/>
        <v>199</v>
      </c>
      <c r="N240" s="22">
        <f t="shared" si="42"/>
        <v>0.90997229916897504</v>
      </c>
      <c r="O240" s="22">
        <f t="shared" si="43"/>
        <v>0.77008310249307477</v>
      </c>
      <c r="P240" s="22">
        <f t="shared" si="44"/>
        <v>0.13988919667590027</v>
      </c>
      <c r="Q240" t="str">
        <f t="shared" si="45"/>
        <v/>
      </c>
      <c r="S240">
        <f t="shared" si="46"/>
        <v>199.00097600000001</v>
      </c>
      <c r="T240" s="23">
        <f t="shared" si="47"/>
        <v>0.14086519667590028</v>
      </c>
    </row>
    <row r="241" spans="1:20" ht="15" customHeight="1" x14ac:dyDescent="0.35">
      <c r="A241" t="str">
        <f>Benchmarking!A241</f>
        <v>Aflac Inc</v>
      </c>
      <c r="B241" t="str">
        <f>Benchmarking!B241</f>
        <v>afl</v>
      </c>
      <c r="C241" t="str">
        <f>Benchmarking!C241</f>
        <v>Insurance</v>
      </c>
      <c r="D241" s="17">
        <f>Benchmarking!D241</f>
        <v>454</v>
      </c>
      <c r="E241" s="17">
        <f>Benchmarking!E241</f>
        <v>300</v>
      </c>
      <c r="F241" s="17">
        <f>Benchmarking!F241</f>
        <v>235</v>
      </c>
      <c r="G241" s="17">
        <f>Benchmarking!G241</f>
        <v>989</v>
      </c>
      <c r="H241" t="str">
        <f t="shared" si="36"/>
        <v>Environmental</v>
      </c>
      <c r="I241" t="str">
        <f t="shared" si="37"/>
        <v>Governance</v>
      </c>
      <c r="J241" s="19">
        <f t="shared" si="38"/>
        <v>154</v>
      </c>
      <c r="K241" s="19">
        <f t="shared" si="39"/>
        <v>65</v>
      </c>
      <c r="L241" s="19">
        <f t="shared" si="40"/>
        <v>219</v>
      </c>
      <c r="M241" s="17">
        <f t="shared" si="41"/>
        <v>219</v>
      </c>
      <c r="N241" s="22">
        <f t="shared" si="42"/>
        <v>0.44598337950138506</v>
      </c>
      <c r="O241" s="22">
        <f t="shared" si="43"/>
        <v>0.24653739612188366</v>
      </c>
      <c r="P241" s="22">
        <f t="shared" si="44"/>
        <v>0.1994459833795014</v>
      </c>
      <c r="Q241" t="str">
        <f t="shared" si="45"/>
        <v/>
      </c>
      <c r="S241">
        <f t="shared" si="46"/>
        <v>219.00097589999999</v>
      </c>
      <c r="T241" s="23">
        <f t="shared" si="47"/>
        <v>0.2004218833795014</v>
      </c>
    </row>
    <row r="242" spans="1:20" ht="15" customHeight="1" x14ac:dyDescent="0.35">
      <c r="A242" t="str">
        <f>Benchmarking!A242</f>
        <v>Accenture PLC</v>
      </c>
      <c r="B242" t="str">
        <f>Benchmarking!B242</f>
        <v>acn</v>
      </c>
      <c r="C242" t="str">
        <f>Benchmarking!C242</f>
        <v>Technology</v>
      </c>
      <c r="D242" s="17">
        <f>Benchmarking!D242</f>
        <v>515</v>
      </c>
      <c r="E242" s="17">
        <f>Benchmarking!E242</f>
        <v>360</v>
      </c>
      <c r="F242" s="17">
        <f>Benchmarking!F242</f>
        <v>305</v>
      </c>
      <c r="G242" s="17">
        <f>Benchmarking!G242</f>
        <v>1180</v>
      </c>
      <c r="H242" t="str">
        <f t="shared" si="36"/>
        <v>Environmental</v>
      </c>
      <c r="I242" t="str">
        <f t="shared" si="37"/>
        <v>Governance</v>
      </c>
      <c r="J242" s="19">
        <f t="shared" si="38"/>
        <v>155</v>
      </c>
      <c r="K242" s="19">
        <f t="shared" si="39"/>
        <v>55</v>
      </c>
      <c r="L242" s="19">
        <f t="shared" si="40"/>
        <v>210</v>
      </c>
      <c r="M242" s="17">
        <f t="shared" si="41"/>
        <v>210</v>
      </c>
      <c r="N242" s="22">
        <f t="shared" si="42"/>
        <v>0.85180055401662047</v>
      </c>
      <c r="O242" s="22">
        <f t="shared" si="43"/>
        <v>0.63296398891966754</v>
      </c>
      <c r="P242" s="22">
        <f t="shared" si="44"/>
        <v>0.21883656509695293</v>
      </c>
      <c r="Q242" t="str">
        <f t="shared" si="45"/>
        <v/>
      </c>
      <c r="S242">
        <f t="shared" si="46"/>
        <v>210.00097579999999</v>
      </c>
      <c r="T242" s="23">
        <f t="shared" si="47"/>
        <v>0.21981236509695293</v>
      </c>
    </row>
    <row r="243" spans="1:20" ht="15" customHeight="1" x14ac:dyDescent="0.35">
      <c r="A243" t="str">
        <f>Benchmarking!A243</f>
        <v>Arthur J. Gallagher &amp; Co.</v>
      </c>
      <c r="B243" t="str">
        <f>Benchmarking!B243</f>
        <v>ajg</v>
      </c>
      <c r="C243" t="str">
        <f>Benchmarking!C243</f>
        <v>Insurance</v>
      </c>
      <c r="D243" s="17">
        <f>Benchmarking!D243</f>
        <v>530</v>
      </c>
      <c r="E243" s="17">
        <f>Benchmarking!E243</f>
        <v>344</v>
      </c>
      <c r="F243" s="17">
        <f>Benchmarking!F243</f>
        <v>310</v>
      </c>
      <c r="G243" s="17">
        <f>Benchmarking!G243</f>
        <v>1184</v>
      </c>
      <c r="H243" t="str">
        <f t="shared" si="36"/>
        <v>Environmental</v>
      </c>
      <c r="I243" t="str">
        <f t="shared" si="37"/>
        <v>Governance</v>
      </c>
      <c r="J243" s="19">
        <f t="shared" si="38"/>
        <v>186</v>
      </c>
      <c r="K243" s="19">
        <f t="shared" si="39"/>
        <v>34</v>
      </c>
      <c r="L243" s="19">
        <f t="shared" si="40"/>
        <v>220</v>
      </c>
      <c r="M243" s="17">
        <f t="shared" si="41"/>
        <v>220</v>
      </c>
      <c r="N243" s="22">
        <f t="shared" si="42"/>
        <v>0.86288088642659277</v>
      </c>
      <c r="O243" s="22">
        <f t="shared" si="43"/>
        <v>0.74653739612188363</v>
      </c>
      <c r="P243" s="22">
        <f t="shared" si="44"/>
        <v>0.11634349030470914</v>
      </c>
      <c r="Q243" t="str">
        <f t="shared" si="45"/>
        <v/>
      </c>
      <c r="S243">
        <f t="shared" si="46"/>
        <v>220.0009757</v>
      </c>
      <c r="T243" s="23">
        <f t="shared" si="47"/>
        <v>0.11731919030470914</v>
      </c>
    </row>
    <row r="244" spans="1:20" ht="15" customHeight="1" x14ac:dyDescent="0.35">
      <c r="A244" t="str">
        <f>Benchmarking!A244</f>
        <v>Assurant Inc</v>
      </c>
      <c r="B244" t="str">
        <f>Benchmarking!B244</f>
        <v>aiz</v>
      </c>
      <c r="C244" t="str">
        <f>Benchmarking!C244</f>
        <v>Insurance</v>
      </c>
      <c r="D244" s="17">
        <f>Benchmarking!D244</f>
        <v>438</v>
      </c>
      <c r="E244" s="17">
        <f>Benchmarking!E244</f>
        <v>316</v>
      </c>
      <c r="F244" s="17">
        <f>Benchmarking!F244</f>
        <v>300</v>
      </c>
      <c r="G244" s="17">
        <f>Benchmarking!G244</f>
        <v>1054</v>
      </c>
      <c r="H244" t="str">
        <f t="shared" si="36"/>
        <v>Environmental</v>
      </c>
      <c r="I244" t="str">
        <f t="shared" si="37"/>
        <v>Governance</v>
      </c>
      <c r="J244" s="19">
        <f t="shared" si="38"/>
        <v>122</v>
      </c>
      <c r="K244" s="19">
        <f t="shared" si="39"/>
        <v>16</v>
      </c>
      <c r="L244" s="19">
        <f t="shared" si="40"/>
        <v>138</v>
      </c>
      <c r="M244" s="17">
        <f t="shared" si="41"/>
        <v>138</v>
      </c>
      <c r="N244" s="22">
        <f t="shared" si="42"/>
        <v>0.50969529085872578</v>
      </c>
      <c r="O244" s="22">
        <f t="shared" si="43"/>
        <v>0.39335180055401664</v>
      </c>
      <c r="P244" s="22">
        <f t="shared" si="44"/>
        <v>0.11634349030470914</v>
      </c>
      <c r="Q244" t="str">
        <f t="shared" si="45"/>
        <v/>
      </c>
      <c r="S244">
        <f t="shared" si="46"/>
        <v>138.0009756</v>
      </c>
      <c r="T244" s="23">
        <f t="shared" si="47"/>
        <v>0.11731909030470913</v>
      </c>
    </row>
    <row r="245" spans="1:20" ht="15" customHeight="1" x14ac:dyDescent="0.35">
      <c r="A245" t="str">
        <f>Benchmarking!A245</f>
        <v>Alaska Air Group Inc</v>
      </c>
      <c r="B245" t="str">
        <f>Benchmarking!B245</f>
        <v>alk</v>
      </c>
      <c r="C245" t="str">
        <f>Benchmarking!C245</f>
        <v>Airlines</v>
      </c>
      <c r="D245" s="17">
        <f>Benchmarking!D245</f>
        <v>515</v>
      </c>
      <c r="E245" s="17">
        <f>Benchmarking!E245</f>
        <v>303</v>
      </c>
      <c r="F245" s="17">
        <f>Benchmarking!F245</f>
        <v>259</v>
      </c>
      <c r="G245" s="17">
        <f>Benchmarking!G245</f>
        <v>1077</v>
      </c>
      <c r="H245" t="str">
        <f t="shared" si="36"/>
        <v>Environmental</v>
      </c>
      <c r="I245" t="str">
        <f t="shared" si="37"/>
        <v>Governance</v>
      </c>
      <c r="J245" s="19">
        <f t="shared" si="38"/>
        <v>212</v>
      </c>
      <c r="K245" s="19">
        <f t="shared" si="39"/>
        <v>44</v>
      </c>
      <c r="L245" s="19">
        <f t="shared" si="40"/>
        <v>256</v>
      </c>
      <c r="M245" s="17">
        <f t="shared" si="41"/>
        <v>256</v>
      </c>
      <c r="N245" s="22">
        <f t="shared" si="42"/>
        <v>0.53462603878116344</v>
      </c>
      <c r="O245" s="22">
        <f t="shared" si="43"/>
        <v>0.32271468144044324</v>
      </c>
      <c r="P245" s="22">
        <f t="shared" si="44"/>
        <v>0.2119113573407202</v>
      </c>
      <c r="Q245" t="str">
        <f t="shared" si="45"/>
        <v/>
      </c>
      <c r="S245">
        <f t="shared" si="46"/>
        <v>256.00097549999998</v>
      </c>
      <c r="T245" s="23">
        <f t="shared" si="47"/>
        <v>0.21288685734072019</v>
      </c>
    </row>
    <row r="246" spans="1:20" ht="15" customHeight="1" x14ac:dyDescent="0.35">
      <c r="A246" t="str">
        <f>Benchmarking!A246</f>
        <v>Albemarle Corp</v>
      </c>
      <c r="B246" t="str">
        <f>Benchmarking!B246</f>
        <v>alb</v>
      </c>
      <c r="C246" t="str">
        <f>Benchmarking!C246</f>
        <v>Chemicals</v>
      </c>
      <c r="D246" s="17">
        <f>Benchmarking!D246</f>
        <v>545</v>
      </c>
      <c r="E246" s="17">
        <f>Benchmarking!E246</f>
        <v>322</v>
      </c>
      <c r="F246" s="17">
        <f>Benchmarking!F246</f>
        <v>315</v>
      </c>
      <c r="G246" s="17">
        <f>Benchmarking!G246</f>
        <v>1182</v>
      </c>
      <c r="H246" t="str">
        <f t="shared" si="36"/>
        <v>Environmental</v>
      </c>
      <c r="I246" t="str">
        <f t="shared" si="37"/>
        <v>Governance</v>
      </c>
      <c r="J246" s="19">
        <f t="shared" si="38"/>
        <v>223</v>
      </c>
      <c r="K246" s="19">
        <f t="shared" si="39"/>
        <v>7</v>
      </c>
      <c r="L246" s="19">
        <f t="shared" si="40"/>
        <v>230</v>
      </c>
      <c r="M246" s="17">
        <f t="shared" si="41"/>
        <v>230</v>
      </c>
      <c r="N246" s="22">
        <f t="shared" si="42"/>
        <v>0.85734072022160668</v>
      </c>
      <c r="O246" s="22">
        <f t="shared" si="43"/>
        <v>0.73822714681440438</v>
      </c>
      <c r="P246" s="22">
        <f t="shared" si="44"/>
        <v>0.1191135734072023</v>
      </c>
      <c r="Q246" t="str">
        <f t="shared" si="45"/>
        <v/>
      </c>
      <c r="S246">
        <f t="shared" si="46"/>
        <v>230.00097539999999</v>
      </c>
      <c r="T246" s="23">
        <f t="shared" si="47"/>
        <v>0.1200889734072023</v>
      </c>
    </row>
    <row r="247" spans="1:20" ht="15" customHeight="1" x14ac:dyDescent="0.35">
      <c r="A247" t="str">
        <f>Benchmarking!A247</f>
        <v>American International Group Inc</v>
      </c>
      <c r="B247" t="str">
        <f>Benchmarking!B247</f>
        <v>aig</v>
      </c>
      <c r="C247" t="str">
        <f>Benchmarking!C247</f>
        <v>Insurance</v>
      </c>
      <c r="D247" s="17">
        <f>Benchmarking!D247</f>
        <v>518</v>
      </c>
      <c r="E247" s="17">
        <f>Benchmarking!E247</f>
        <v>323</v>
      </c>
      <c r="F247" s="17">
        <f>Benchmarking!F247</f>
        <v>310</v>
      </c>
      <c r="G247" s="17">
        <f>Benchmarking!G247</f>
        <v>1151</v>
      </c>
      <c r="H247" t="str">
        <f t="shared" si="36"/>
        <v>Environmental</v>
      </c>
      <c r="I247" t="str">
        <f t="shared" si="37"/>
        <v>Governance</v>
      </c>
      <c r="J247" s="19">
        <f t="shared" si="38"/>
        <v>195</v>
      </c>
      <c r="K247" s="19">
        <f t="shared" si="39"/>
        <v>13</v>
      </c>
      <c r="L247" s="19">
        <f t="shared" si="40"/>
        <v>208</v>
      </c>
      <c r="M247" s="17">
        <f t="shared" si="41"/>
        <v>208</v>
      </c>
      <c r="N247" s="22">
        <f t="shared" si="42"/>
        <v>0.77146814404432129</v>
      </c>
      <c r="O247" s="22">
        <f t="shared" si="43"/>
        <v>0.74653739612188363</v>
      </c>
      <c r="P247" s="22">
        <f t="shared" si="44"/>
        <v>2.4930747922437657E-2</v>
      </c>
      <c r="Q247" t="str">
        <f t="shared" si="45"/>
        <v/>
      </c>
      <c r="S247">
        <f t="shared" si="46"/>
        <v>208.00097529999999</v>
      </c>
      <c r="T247" s="23">
        <f t="shared" si="47"/>
        <v>2.5906047922437656E-2</v>
      </c>
    </row>
    <row r="248" spans="1:20" ht="15" customHeight="1" x14ac:dyDescent="0.35">
      <c r="A248" t="str">
        <f>Benchmarking!A248</f>
        <v>Allstate Corp</v>
      </c>
      <c r="B248" t="str">
        <f>Benchmarking!B248</f>
        <v>all</v>
      </c>
      <c r="C248" t="str">
        <f>Benchmarking!C248</f>
        <v>Insurance</v>
      </c>
      <c r="D248" s="17">
        <f>Benchmarking!D248</f>
        <v>530</v>
      </c>
      <c r="E248" s="17">
        <f>Benchmarking!E248</f>
        <v>300</v>
      </c>
      <c r="F248" s="17">
        <f>Benchmarking!F248</f>
        <v>220</v>
      </c>
      <c r="G248" s="17">
        <f>Benchmarking!G248</f>
        <v>1050</v>
      </c>
      <c r="H248" t="str">
        <f t="shared" si="36"/>
        <v>Environmental</v>
      </c>
      <c r="I248" t="str">
        <f t="shared" si="37"/>
        <v>Governance</v>
      </c>
      <c r="J248" s="19">
        <f t="shared" si="38"/>
        <v>230</v>
      </c>
      <c r="K248" s="19">
        <f t="shared" si="39"/>
        <v>80</v>
      </c>
      <c r="L248" s="19">
        <f t="shared" si="40"/>
        <v>310</v>
      </c>
      <c r="M248" s="17">
        <f t="shared" si="41"/>
        <v>310</v>
      </c>
      <c r="N248" s="22">
        <f t="shared" si="42"/>
        <v>0.50415512465373957</v>
      </c>
      <c r="O248" s="22">
        <f t="shared" si="43"/>
        <v>0.19113573407202217</v>
      </c>
      <c r="P248" s="22">
        <f t="shared" si="44"/>
        <v>0.3130193905817174</v>
      </c>
      <c r="Q248" t="str">
        <f t="shared" si="45"/>
        <v/>
      </c>
      <c r="S248">
        <f t="shared" si="46"/>
        <v>310.00097520000003</v>
      </c>
      <c r="T248" s="23">
        <f t="shared" si="47"/>
        <v>0.31399459058171741</v>
      </c>
    </row>
    <row r="249" spans="1:20" ht="15" customHeight="1" x14ac:dyDescent="0.35">
      <c r="A249" t="str">
        <f>Benchmarking!A249</f>
        <v>Allegion PLC</v>
      </c>
      <c r="B249" t="str">
        <f>Benchmarking!B249</f>
        <v>alle</v>
      </c>
      <c r="C249" t="str">
        <f>Benchmarking!C249</f>
        <v>Building</v>
      </c>
      <c r="D249" s="17">
        <f>Benchmarking!D249</f>
        <v>542</v>
      </c>
      <c r="E249" s="17">
        <f>Benchmarking!E249</f>
        <v>322</v>
      </c>
      <c r="F249" s="17">
        <f>Benchmarking!F249</f>
        <v>315</v>
      </c>
      <c r="G249" s="17">
        <f>Benchmarking!G249</f>
        <v>1179</v>
      </c>
      <c r="H249" t="str">
        <f t="shared" si="36"/>
        <v>Environmental</v>
      </c>
      <c r="I249" t="str">
        <f t="shared" si="37"/>
        <v>Governance</v>
      </c>
      <c r="J249" s="19">
        <f t="shared" si="38"/>
        <v>220</v>
      </c>
      <c r="K249" s="19">
        <f t="shared" si="39"/>
        <v>7</v>
      </c>
      <c r="L249" s="19">
        <f t="shared" si="40"/>
        <v>227</v>
      </c>
      <c r="M249" s="17">
        <f t="shared" si="41"/>
        <v>227</v>
      </c>
      <c r="N249" s="22">
        <f t="shared" si="42"/>
        <v>0.85041551246537395</v>
      </c>
      <c r="O249" s="22">
        <f t="shared" si="43"/>
        <v>0.73822714681440438</v>
      </c>
      <c r="P249" s="22">
        <f t="shared" si="44"/>
        <v>0.11218836565096957</v>
      </c>
      <c r="Q249" t="str">
        <f t="shared" si="45"/>
        <v/>
      </c>
      <c r="S249">
        <f t="shared" si="46"/>
        <v>227.00097510000001</v>
      </c>
      <c r="T249" s="23">
        <f t="shared" si="47"/>
        <v>0.11316346565096957</v>
      </c>
    </row>
    <row r="250" spans="1:20" ht="15" customHeight="1" x14ac:dyDescent="0.35">
      <c r="A250" t="str">
        <f>Benchmarking!A250</f>
        <v>Ameriprise Financial Inc</v>
      </c>
      <c r="B250" t="str">
        <f>Benchmarking!B250</f>
        <v>amp</v>
      </c>
      <c r="C250" t="str">
        <f>Benchmarking!C250</f>
        <v>Financial Services</v>
      </c>
      <c r="D250" s="17">
        <f>Benchmarking!D250</f>
        <v>396</v>
      </c>
      <c r="E250" s="17">
        <f>Benchmarking!E250</f>
        <v>308</v>
      </c>
      <c r="F250" s="17">
        <f>Benchmarking!F250</f>
        <v>267</v>
      </c>
      <c r="G250" s="17">
        <f>Benchmarking!G250</f>
        <v>971</v>
      </c>
      <c r="H250" t="str">
        <f t="shared" si="36"/>
        <v>Environmental</v>
      </c>
      <c r="I250" t="str">
        <f t="shared" si="37"/>
        <v>Governance</v>
      </c>
      <c r="J250" s="19">
        <f t="shared" si="38"/>
        <v>88</v>
      </c>
      <c r="K250" s="19">
        <f t="shared" si="39"/>
        <v>41</v>
      </c>
      <c r="L250" s="19">
        <f t="shared" si="40"/>
        <v>129</v>
      </c>
      <c r="M250" s="17">
        <f t="shared" si="41"/>
        <v>129</v>
      </c>
      <c r="N250" s="22">
        <f t="shared" si="42"/>
        <v>0.43905817174515238</v>
      </c>
      <c r="O250" s="22">
        <f t="shared" si="43"/>
        <v>0.34349030470914127</v>
      </c>
      <c r="P250" s="22">
        <f t="shared" si="44"/>
        <v>9.5567867036011112E-2</v>
      </c>
      <c r="Q250" t="str">
        <f t="shared" si="45"/>
        <v/>
      </c>
      <c r="S250">
        <f t="shared" si="46"/>
        <v>129.00097500000001</v>
      </c>
      <c r="T250" s="23">
        <f t="shared" si="47"/>
        <v>9.6542867036011115E-2</v>
      </c>
    </row>
    <row r="251" spans="1:20" ht="15" customHeight="1" x14ac:dyDescent="0.35">
      <c r="A251" t="str">
        <f>Benchmarking!A251</f>
        <v>AMETEK Inc</v>
      </c>
      <c r="B251" t="str">
        <f>Benchmarking!B251</f>
        <v>ame</v>
      </c>
      <c r="C251" t="str">
        <f>Benchmarking!C251</f>
        <v>Electrical Equipment</v>
      </c>
      <c r="D251" s="17">
        <f>Benchmarking!D251</f>
        <v>540</v>
      </c>
      <c r="E251" s="17">
        <f>Benchmarking!E251</f>
        <v>329</v>
      </c>
      <c r="F251" s="17">
        <f>Benchmarking!F251</f>
        <v>270</v>
      </c>
      <c r="G251" s="17">
        <f>Benchmarking!G251</f>
        <v>1139</v>
      </c>
      <c r="H251" t="str">
        <f t="shared" si="36"/>
        <v>Environmental</v>
      </c>
      <c r="I251" t="str">
        <f t="shared" si="37"/>
        <v>Governance</v>
      </c>
      <c r="J251" s="19">
        <f t="shared" si="38"/>
        <v>211</v>
      </c>
      <c r="K251" s="19">
        <f t="shared" si="39"/>
        <v>59</v>
      </c>
      <c r="L251" s="19">
        <f t="shared" si="40"/>
        <v>270</v>
      </c>
      <c r="M251" s="17">
        <f t="shared" si="41"/>
        <v>270</v>
      </c>
      <c r="N251" s="22">
        <f t="shared" si="42"/>
        <v>0.72853185595567871</v>
      </c>
      <c r="O251" s="22">
        <f t="shared" si="43"/>
        <v>0.34626038781163437</v>
      </c>
      <c r="P251" s="22">
        <f t="shared" si="44"/>
        <v>0.38227146814404434</v>
      </c>
      <c r="Q251" t="str">
        <f t="shared" si="45"/>
        <v/>
      </c>
      <c r="S251">
        <f t="shared" si="46"/>
        <v>270.00097490000002</v>
      </c>
      <c r="T251" s="23">
        <f t="shared" si="47"/>
        <v>0.38324636814404434</v>
      </c>
    </row>
    <row r="252" spans="1:20" ht="15" customHeight="1" x14ac:dyDescent="0.35">
      <c r="A252" t="str">
        <f>Benchmarking!A252</f>
        <v>American Tower Corp</v>
      </c>
      <c r="B252" t="str">
        <f>Benchmarking!B252</f>
        <v>amt</v>
      </c>
      <c r="C252" t="str">
        <f>Benchmarking!C252</f>
        <v>Real Estate</v>
      </c>
      <c r="D252" s="17">
        <f>Benchmarking!D252</f>
        <v>530</v>
      </c>
      <c r="E252" s="17">
        <f>Benchmarking!E252</f>
        <v>333</v>
      </c>
      <c r="F252" s="17">
        <f>Benchmarking!F252</f>
        <v>305</v>
      </c>
      <c r="G252" s="17">
        <f>Benchmarking!G252</f>
        <v>1168</v>
      </c>
      <c r="H252" t="str">
        <f t="shared" si="36"/>
        <v>Environmental</v>
      </c>
      <c r="I252" t="str">
        <f t="shared" si="37"/>
        <v>Governance</v>
      </c>
      <c r="J252" s="19">
        <f t="shared" si="38"/>
        <v>197</v>
      </c>
      <c r="K252" s="19">
        <f t="shared" si="39"/>
        <v>28</v>
      </c>
      <c r="L252" s="19">
        <f t="shared" si="40"/>
        <v>225</v>
      </c>
      <c r="M252" s="17">
        <f t="shared" si="41"/>
        <v>225</v>
      </c>
      <c r="N252" s="22">
        <f t="shared" si="42"/>
        <v>0.81855955678670356</v>
      </c>
      <c r="O252" s="22">
        <f t="shared" si="43"/>
        <v>0.63296398891966754</v>
      </c>
      <c r="P252" s="22">
        <f t="shared" si="44"/>
        <v>0.18559556786703602</v>
      </c>
      <c r="Q252" t="str">
        <f t="shared" si="45"/>
        <v/>
      </c>
      <c r="S252">
        <f t="shared" si="46"/>
        <v>225.00097479999999</v>
      </c>
      <c r="T252" s="23">
        <f t="shared" si="47"/>
        <v>0.18657036786703601</v>
      </c>
    </row>
    <row r="253" spans="1:20" ht="15" customHeight="1" x14ac:dyDescent="0.35">
      <c r="A253" t="str">
        <f>Benchmarking!A253</f>
        <v>A O Smith Corp</v>
      </c>
      <c r="B253" t="str">
        <f>Benchmarking!B253</f>
        <v>aos</v>
      </c>
      <c r="C253" t="str">
        <f>Benchmarking!C253</f>
        <v>Building</v>
      </c>
      <c r="D253" s="17">
        <f>Benchmarking!D253</f>
        <v>510</v>
      </c>
      <c r="E253" s="17">
        <f>Benchmarking!E253</f>
        <v>315</v>
      </c>
      <c r="F253" s="17">
        <f>Benchmarking!F253</f>
        <v>310</v>
      </c>
      <c r="G253" s="17">
        <f>Benchmarking!G253</f>
        <v>1135</v>
      </c>
      <c r="H253" t="str">
        <f t="shared" si="36"/>
        <v>Environmental</v>
      </c>
      <c r="I253" t="str">
        <f t="shared" si="37"/>
        <v>Governance</v>
      </c>
      <c r="J253" s="19">
        <f t="shared" si="38"/>
        <v>195</v>
      </c>
      <c r="K253" s="19">
        <f t="shared" si="39"/>
        <v>5</v>
      </c>
      <c r="L253" s="19">
        <f t="shared" si="40"/>
        <v>200</v>
      </c>
      <c r="M253" s="17">
        <f t="shared" si="41"/>
        <v>200</v>
      </c>
      <c r="N253" s="22">
        <f t="shared" si="42"/>
        <v>0.71468144044321325</v>
      </c>
      <c r="O253" s="22">
        <f t="shared" si="43"/>
        <v>0.66620498614958445</v>
      </c>
      <c r="P253" s="22">
        <f t="shared" si="44"/>
        <v>4.847645429362879E-2</v>
      </c>
      <c r="Q253" t="str">
        <f t="shared" si="45"/>
        <v/>
      </c>
      <c r="S253">
        <f t="shared" si="46"/>
        <v>200.0009747</v>
      </c>
      <c r="T253" s="23">
        <f t="shared" si="47"/>
        <v>4.9451154293628792E-2</v>
      </c>
    </row>
    <row r="254" spans="1:20" ht="15" customHeight="1" x14ac:dyDescent="0.35">
      <c r="A254" t="str">
        <f>Benchmarking!A254</f>
        <v>Air Products and Chemicals Inc</v>
      </c>
      <c r="B254" t="str">
        <f>Benchmarking!B254</f>
        <v>apd</v>
      </c>
      <c r="C254" t="str">
        <f>Benchmarking!C254</f>
        <v>Chemicals</v>
      </c>
      <c r="D254" s="17">
        <f>Benchmarking!D254</f>
        <v>700</v>
      </c>
      <c r="E254" s="17">
        <f>Benchmarking!E254</f>
        <v>442</v>
      </c>
      <c r="F254" s="17">
        <f>Benchmarking!F254</f>
        <v>300</v>
      </c>
      <c r="G254" s="17">
        <f>Benchmarking!G254</f>
        <v>1442</v>
      </c>
      <c r="H254" t="str">
        <f t="shared" si="36"/>
        <v>Environmental</v>
      </c>
      <c r="I254" t="str">
        <f t="shared" si="37"/>
        <v>Governance</v>
      </c>
      <c r="J254" s="19">
        <f t="shared" si="38"/>
        <v>258</v>
      </c>
      <c r="K254" s="19">
        <f t="shared" si="39"/>
        <v>142</v>
      </c>
      <c r="L254" s="19">
        <f t="shared" si="40"/>
        <v>400</v>
      </c>
      <c r="M254" s="17">
        <f t="shared" si="41"/>
        <v>400</v>
      </c>
      <c r="N254" s="22">
        <f t="shared" si="42"/>
        <v>0.9944598337950139</v>
      </c>
      <c r="O254" s="22">
        <f t="shared" si="43"/>
        <v>0.39335180055401664</v>
      </c>
      <c r="P254" s="22">
        <f t="shared" si="44"/>
        <v>0.60110803324099726</v>
      </c>
      <c r="Q254" t="str">
        <f t="shared" si="45"/>
        <v>High ESG / weak pillar (analytical flag - not an ESG rating) - warrants investigation</v>
      </c>
      <c r="S254">
        <f t="shared" si="46"/>
        <v>400.00097460000001</v>
      </c>
      <c r="T254" s="23">
        <f t="shared" si="47"/>
        <v>0.60208263324099731</v>
      </c>
    </row>
    <row r="255" spans="1:20" ht="15" customHeight="1" x14ac:dyDescent="0.35">
      <c r="A255" t="str">
        <f>Benchmarking!A255</f>
        <v>Aon PLC</v>
      </c>
      <c r="B255" t="str">
        <f>Benchmarking!B255</f>
        <v>aon</v>
      </c>
      <c r="C255" t="str">
        <f>Benchmarking!C255</f>
        <v>Insurance</v>
      </c>
      <c r="D255" s="17">
        <f>Benchmarking!D255</f>
        <v>485</v>
      </c>
      <c r="E255" s="17">
        <f>Benchmarking!E255</f>
        <v>304</v>
      </c>
      <c r="F255" s="17">
        <f>Benchmarking!F255</f>
        <v>288</v>
      </c>
      <c r="G255" s="17">
        <f>Benchmarking!G255</f>
        <v>1077</v>
      </c>
      <c r="H255" t="str">
        <f t="shared" si="36"/>
        <v>Environmental</v>
      </c>
      <c r="I255" t="str">
        <f t="shared" si="37"/>
        <v>Governance</v>
      </c>
      <c r="J255" s="19">
        <f t="shared" si="38"/>
        <v>181</v>
      </c>
      <c r="K255" s="19">
        <f t="shared" si="39"/>
        <v>16</v>
      </c>
      <c r="L255" s="19">
        <f t="shared" si="40"/>
        <v>197</v>
      </c>
      <c r="M255" s="17">
        <f t="shared" si="41"/>
        <v>197</v>
      </c>
      <c r="N255" s="22">
        <f t="shared" si="42"/>
        <v>0.53462603878116344</v>
      </c>
      <c r="O255" s="22">
        <f t="shared" si="43"/>
        <v>0.37396121883656508</v>
      </c>
      <c r="P255" s="22">
        <f t="shared" si="44"/>
        <v>0.16066481994459836</v>
      </c>
      <c r="Q255" t="str">
        <f t="shared" si="45"/>
        <v/>
      </c>
      <c r="S255">
        <f t="shared" si="46"/>
        <v>197.00097450000001</v>
      </c>
      <c r="T255" s="23">
        <f t="shared" si="47"/>
        <v>0.16163931994459835</v>
      </c>
    </row>
    <row r="256" spans="1:20" ht="15" customHeight="1" x14ac:dyDescent="0.35">
      <c r="A256" t="str">
        <f>Benchmarking!A256</f>
        <v>Arista Networks Inc</v>
      </c>
      <c r="B256" t="str">
        <f>Benchmarking!B256</f>
        <v>anet</v>
      </c>
      <c r="C256" t="str">
        <f>Benchmarking!C256</f>
        <v>Communications</v>
      </c>
      <c r="D256" s="17">
        <f>Benchmarking!D256</f>
        <v>444</v>
      </c>
      <c r="E256" s="17">
        <f>Benchmarking!E256</f>
        <v>310</v>
      </c>
      <c r="F256" s="17">
        <f>Benchmarking!F256</f>
        <v>295</v>
      </c>
      <c r="G256" s="17">
        <f>Benchmarking!G256</f>
        <v>1049</v>
      </c>
      <c r="H256" t="str">
        <f t="shared" si="36"/>
        <v>Environmental</v>
      </c>
      <c r="I256" t="str">
        <f t="shared" si="37"/>
        <v>Governance</v>
      </c>
      <c r="J256" s="19">
        <f t="shared" si="38"/>
        <v>134</v>
      </c>
      <c r="K256" s="19">
        <f t="shared" si="39"/>
        <v>15</v>
      </c>
      <c r="L256" s="19">
        <f t="shared" si="40"/>
        <v>149</v>
      </c>
      <c r="M256" s="17">
        <f t="shared" si="41"/>
        <v>149</v>
      </c>
      <c r="N256" s="22">
        <f t="shared" si="42"/>
        <v>0.50277008310249305</v>
      </c>
      <c r="O256" s="22">
        <f t="shared" si="43"/>
        <v>0.38227146814404434</v>
      </c>
      <c r="P256" s="22">
        <f t="shared" si="44"/>
        <v>0.12049861495844871</v>
      </c>
      <c r="Q256" t="str">
        <f t="shared" si="45"/>
        <v/>
      </c>
      <c r="S256">
        <f t="shared" si="46"/>
        <v>149.00097439999999</v>
      </c>
      <c r="T256" s="23">
        <f t="shared" si="47"/>
        <v>0.12147301495844871</v>
      </c>
    </row>
    <row r="257" spans="1:20" ht="15" customHeight="1" x14ac:dyDescent="0.35">
      <c r="A257" t="str">
        <f>Benchmarking!A257</f>
        <v>Amphenol Corp</v>
      </c>
      <c r="B257" t="str">
        <f>Benchmarking!B257</f>
        <v>aph</v>
      </c>
      <c r="C257" t="str">
        <f>Benchmarking!C257</f>
        <v>Electrical Equipment</v>
      </c>
      <c r="D257" s="17">
        <f>Benchmarking!D257</f>
        <v>512</v>
      </c>
      <c r="E257" s="17">
        <f>Benchmarking!E257</f>
        <v>303</v>
      </c>
      <c r="F257" s="17">
        <f>Benchmarking!F257</f>
        <v>475</v>
      </c>
      <c r="G257" s="17">
        <f>Benchmarking!G257</f>
        <v>1290</v>
      </c>
      <c r="H257" t="str">
        <f t="shared" si="36"/>
        <v>Environmental</v>
      </c>
      <c r="I257" t="str">
        <f t="shared" si="37"/>
        <v>Social</v>
      </c>
      <c r="J257" s="19">
        <f t="shared" si="38"/>
        <v>209</v>
      </c>
      <c r="K257" s="19">
        <f t="shared" si="39"/>
        <v>-172</v>
      </c>
      <c r="L257" s="19">
        <f t="shared" si="40"/>
        <v>37</v>
      </c>
      <c r="M257" s="17">
        <f t="shared" si="41"/>
        <v>209</v>
      </c>
      <c r="N257" s="22">
        <f t="shared" si="42"/>
        <v>0.96260387811634351</v>
      </c>
      <c r="O257" s="22">
        <f t="shared" si="43"/>
        <v>0.52493074792243766</v>
      </c>
      <c r="P257" s="22">
        <f t="shared" si="44"/>
        <v>0.43767313019390586</v>
      </c>
      <c r="Q257" t="str">
        <f t="shared" si="45"/>
        <v>High ESG / weak pillar (analytical flag - not an ESG rating) - warrants investigation</v>
      </c>
      <c r="S257">
        <f t="shared" si="46"/>
        <v>209.0009743</v>
      </c>
      <c r="T257" s="23">
        <f t="shared" si="47"/>
        <v>0.43864743019390584</v>
      </c>
    </row>
    <row r="258" spans="1:20" ht="15" customHeight="1" x14ac:dyDescent="0.35">
      <c r="A258" t="str">
        <f>Benchmarking!A258</f>
        <v>Atmos Energy Corp</v>
      </c>
      <c r="B258" t="str">
        <f>Benchmarking!B258</f>
        <v>ato</v>
      </c>
      <c r="C258" t="str">
        <f>Benchmarking!C258</f>
        <v>Utilities</v>
      </c>
      <c r="D258" s="17">
        <f>Benchmarking!D258</f>
        <v>572</v>
      </c>
      <c r="E258" s="17">
        <f>Benchmarking!E258</f>
        <v>368</v>
      </c>
      <c r="F258" s="17">
        <f>Benchmarking!F258</f>
        <v>315</v>
      </c>
      <c r="G258" s="17">
        <f>Benchmarking!G258</f>
        <v>1255</v>
      </c>
      <c r="H258" t="str">
        <f t="shared" si="36"/>
        <v>Environmental</v>
      </c>
      <c r="I258" t="str">
        <f t="shared" si="37"/>
        <v>Governance</v>
      </c>
      <c r="J258" s="19">
        <f t="shared" si="38"/>
        <v>204</v>
      </c>
      <c r="K258" s="19">
        <f t="shared" si="39"/>
        <v>53</v>
      </c>
      <c r="L258" s="19">
        <f t="shared" si="40"/>
        <v>257</v>
      </c>
      <c r="M258" s="17">
        <f t="shared" si="41"/>
        <v>257</v>
      </c>
      <c r="N258" s="22">
        <f t="shared" si="42"/>
        <v>0.93767313019390586</v>
      </c>
      <c r="O258" s="22">
        <f t="shared" si="43"/>
        <v>0.82548476454293629</v>
      </c>
      <c r="P258" s="22">
        <f t="shared" si="44"/>
        <v>0.11218836565096957</v>
      </c>
      <c r="Q258" t="str">
        <f t="shared" si="45"/>
        <v/>
      </c>
      <c r="S258">
        <f t="shared" si="46"/>
        <v>257.00097419999997</v>
      </c>
      <c r="T258" s="23">
        <f t="shared" si="47"/>
        <v>0.11316256565096956</v>
      </c>
    </row>
    <row r="259" spans="1:20" ht="15" customHeight="1" x14ac:dyDescent="0.35">
      <c r="A259" t="str">
        <f>Benchmarking!A259</f>
        <v>American Water Works Company Inc</v>
      </c>
      <c r="B259" t="str">
        <f>Benchmarking!B259</f>
        <v>awk</v>
      </c>
      <c r="C259" t="str">
        <f>Benchmarking!C259</f>
        <v>Utilities</v>
      </c>
      <c r="D259" s="17">
        <f>Benchmarking!D259</f>
        <v>653</v>
      </c>
      <c r="E259" s="17">
        <f>Benchmarking!E259</f>
        <v>395</v>
      </c>
      <c r="F259" s="17">
        <f>Benchmarking!F259</f>
        <v>300</v>
      </c>
      <c r="G259" s="17">
        <f>Benchmarking!G259</f>
        <v>1348</v>
      </c>
      <c r="H259" t="str">
        <f t="shared" si="36"/>
        <v>Environmental</v>
      </c>
      <c r="I259" t="str">
        <f t="shared" si="37"/>
        <v>Governance</v>
      </c>
      <c r="J259" s="19">
        <f t="shared" si="38"/>
        <v>258</v>
      </c>
      <c r="K259" s="19">
        <f t="shared" si="39"/>
        <v>95</v>
      </c>
      <c r="L259" s="19">
        <f t="shared" si="40"/>
        <v>353</v>
      </c>
      <c r="M259" s="17">
        <f t="shared" si="41"/>
        <v>353</v>
      </c>
      <c r="N259" s="22">
        <f t="shared" si="42"/>
        <v>0.97645429362880887</v>
      </c>
      <c r="O259" s="22">
        <f t="shared" si="43"/>
        <v>0.39335180055401664</v>
      </c>
      <c r="P259" s="22">
        <f t="shared" si="44"/>
        <v>0.58310249307479223</v>
      </c>
      <c r="Q259" t="str">
        <f t="shared" si="45"/>
        <v>High ESG / weak pillar (analytical flag - not an ESG rating) - warrants investigation</v>
      </c>
      <c r="S259">
        <f t="shared" si="46"/>
        <v>353.00097410000001</v>
      </c>
      <c r="T259" s="23">
        <f t="shared" si="47"/>
        <v>0.58407659307479221</v>
      </c>
    </row>
    <row r="260" spans="1:20" ht="15" customHeight="1" x14ac:dyDescent="0.35">
      <c r="A260" t="str">
        <f>Benchmarking!A260</f>
        <v>Alexandria Real Estate Equities Inc</v>
      </c>
      <c r="B260" t="str">
        <f>Benchmarking!B260</f>
        <v>are</v>
      </c>
      <c r="C260" t="str">
        <f>Benchmarking!C260</f>
        <v>Real Estate</v>
      </c>
      <c r="D260" s="17">
        <f>Benchmarking!D260</f>
        <v>600</v>
      </c>
      <c r="E260" s="17">
        <f>Benchmarking!E260</f>
        <v>337</v>
      </c>
      <c r="F260" s="17">
        <f>Benchmarking!F260</f>
        <v>345</v>
      </c>
      <c r="G260" s="17">
        <f>Benchmarking!G260</f>
        <v>1282</v>
      </c>
      <c r="H260" t="str">
        <f t="shared" ref="H260:H323" si="48">IF(AND(D260&gt;=E260,D260&gt;=F260),"Environmental",IF(AND(E260&gt;=D260,E260&gt;=F260),"Social","Governance"))</f>
        <v>Environmental</v>
      </c>
      <c r="I260" t="str">
        <f t="shared" ref="I260:I323" si="49">IF(AND(D260&lt;=E260,D260&lt;=F260),"Environmental",IF(AND(E260&lt;=D260,E260&lt;=F260),"Social","Governance"))</f>
        <v>Social</v>
      </c>
      <c r="J260" s="19">
        <f t="shared" ref="J260:J323" si="50">D260-E260</f>
        <v>263</v>
      </c>
      <c r="K260" s="19">
        <f t="shared" ref="K260:K323" si="51">E260-F260</f>
        <v>-8</v>
      </c>
      <c r="L260" s="19">
        <f t="shared" ref="L260:L323" si="52">D260-F260</f>
        <v>255</v>
      </c>
      <c r="M260" s="17">
        <f t="shared" ref="M260:M323" si="53">MAX(D260:F260)-MIN(D260:F260)</f>
        <v>263</v>
      </c>
      <c r="N260" s="22">
        <f t="shared" ref="N260:N323" si="54">RANK(G260,$G$4:$G$725,1)/COUNT($G$4:$G$725)</f>
        <v>0.95983379501385047</v>
      </c>
      <c r="O260" s="22">
        <f t="shared" ref="O260:O323" si="55">MIN(RANK(D260,$D$4:$D$725,1)/COUNT($D$4:$D$725),RANK(E260,$E$4:$E$725,1)/COUNT($E$4:$E$725),RANK(F260,$F$4:$F$725,1)/COUNT($F$4:$F$725))</f>
        <v>0.8476454293628809</v>
      </c>
      <c r="P260" s="22">
        <f t="shared" ref="P260:P323" si="56">N260-O260</f>
        <v>0.11218836565096957</v>
      </c>
      <c r="Q260" t="str">
        <f t="shared" ref="Q260:Q323" si="57">IF(AND(N260&gt;=0.7,P260&gt;=0.4),"High ESG / weak pillar (analytical flag - not an ESG rating) - warrants investigation","")</f>
        <v/>
      </c>
      <c r="S260">
        <f t="shared" ref="S260:S323" si="58">M260+(10000-ROW())/10000000</f>
        <v>263.00097399999999</v>
      </c>
      <c r="T260" s="23">
        <f t="shared" ref="T260:T323" si="59">P260+(10000-ROW())/10000000</f>
        <v>0.11316236565096957</v>
      </c>
    </row>
    <row r="261" spans="1:20" ht="15" customHeight="1" x14ac:dyDescent="0.35">
      <c r="A261" t="str">
        <f>Benchmarking!A261</f>
        <v>Aptiv PLC</v>
      </c>
      <c r="B261" t="str">
        <f>Benchmarking!B261</f>
        <v>aptv</v>
      </c>
      <c r="C261" t="str">
        <f>Benchmarking!C261</f>
        <v>Auto Components</v>
      </c>
      <c r="D261" s="17">
        <f>Benchmarking!D261</f>
        <v>555</v>
      </c>
      <c r="E261" s="17">
        <f>Benchmarking!E261</f>
        <v>339</v>
      </c>
      <c r="F261" s="17">
        <f>Benchmarking!F261</f>
        <v>310</v>
      </c>
      <c r="G261" s="17">
        <f>Benchmarking!G261</f>
        <v>1204</v>
      </c>
      <c r="H261" t="str">
        <f t="shared" si="48"/>
        <v>Environmental</v>
      </c>
      <c r="I261" t="str">
        <f t="shared" si="49"/>
        <v>Governance</v>
      </c>
      <c r="J261" s="19">
        <f t="shared" si="50"/>
        <v>216</v>
      </c>
      <c r="K261" s="19">
        <f t="shared" si="51"/>
        <v>29</v>
      </c>
      <c r="L261" s="19">
        <f t="shared" si="52"/>
        <v>245</v>
      </c>
      <c r="M261" s="17">
        <f t="shared" si="53"/>
        <v>245</v>
      </c>
      <c r="N261" s="22">
        <f t="shared" si="54"/>
        <v>0.89058171745152359</v>
      </c>
      <c r="O261" s="22">
        <f t="shared" si="55"/>
        <v>0.74653739612188363</v>
      </c>
      <c r="P261" s="22">
        <f t="shared" si="56"/>
        <v>0.14404432132963996</v>
      </c>
      <c r="Q261" t="str">
        <f t="shared" si="57"/>
        <v/>
      </c>
      <c r="S261">
        <f t="shared" si="58"/>
        <v>245.00097389999999</v>
      </c>
      <c r="T261" s="23">
        <f t="shared" si="59"/>
        <v>0.14501822132963996</v>
      </c>
    </row>
    <row r="262" spans="1:20" ht="15" customHeight="1" x14ac:dyDescent="0.35">
      <c r="A262" t="str">
        <f>Benchmarking!A262</f>
        <v>Avalonbay Communities Inc</v>
      </c>
      <c r="B262" t="str">
        <f>Benchmarking!B262</f>
        <v>avb</v>
      </c>
      <c r="C262" t="str">
        <f>Benchmarking!C262</f>
        <v>Real Estate</v>
      </c>
      <c r="D262" s="17">
        <f>Benchmarking!D262</f>
        <v>500</v>
      </c>
      <c r="E262" s="17">
        <f>Benchmarking!E262</f>
        <v>300</v>
      </c>
      <c r="F262" s="17">
        <f>Benchmarking!F262</f>
        <v>298</v>
      </c>
      <c r="G262" s="17">
        <f>Benchmarking!G262</f>
        <v>1098</v>
      </c>
      <c r="H262" t="str">
        <f t="shared" si="48"/>
        <v>Environmental</v>
      </c>
      <c r="I262" t="str">
        <f t="shared" si="49"/>
        <v>Governance</v>
      </c>
      <c r="J262" s="19">
        <f t="shared" si="50"/>
        <v>200</v>
      </c>
      <c r="K262" s="19">
        <f t="shared" si="51"/>
        <v>2</v>
      </c>
      <c r="L262" s="19">
        <f t="shared" si="52"/>
        <v>202</v>
      </c>
      <c r="M262" s="17">
        <f t="shared" si="53"/>
        <v>202</v>
      </c>
      <c r="N262" s="22">
        <f t="shared" si="54"/>
        <v>0.56648199445983383</v>
      </c>
      <c r="O262" s="22">
        <f t="shared" si="55"/>
        <v>0.36565096952908588</v>
      </c>
      <c r="P262" s="22">
        <f t="shared" si="56"/>
        <v>0.20083102493074795</v>
      </c>
      <c r="Q262" t="str">
        <f t="shared" si="57"/>
        <v/>
      </c>
      <c r="S262">
        <f t="shared" si="58"/>
        <v>202.0009738</v>
      </c>
      <c r="T262" s="23">
        <f t="shared" si="59"/>
        <v>0.20180482493074794</v>
      </c>
    </row>
    <row r="263" spans="1:20" ht="15" customHeight="1" x14ac:dyDescent="0.35">
      <c r="A263" t="str">
        <f>Benchmarking!A263</f>
        <v>Avery Dennison Corp</v>
      </c>
      <c r="B263" t="str">
        <f>Benchmarking!B263</f>
        <v>avy</v>
      </c>
      <c r="C263" t="str">
        <f>Benchmarking!C263</f>
        <v>Packaging</v>
      </c>
      <c r="D263" s="17">
        <f>Benchmarking!D263</f>
        <v>535</v>
      </c>
      <c r="E263" s="17">
        <f>Benchmarking!E263</f>
        <v>347</v>
      </c>
      <c r="F263" s="17">
        <f>Benchmarking!F263</f>
        <v>325</v>
      </c>
      <c r="G263" s="17">
        <f>Benchmarking!G263</f>
        <v>1207</v>
      </c>
      <c r="H263" t="str">
        <f t="shared" si="48"/>
        <v>Environmental</v>
      </c>
      <c r="I263" t="str">
        <f t="shared" si="49"/>
        <v>Governance</v>
      </c>
      <c r="J263" s="19">
        <f t="shared" si="50"/>
        <v>188</v>
      </c>
      <c r="K263" s="19">
        <f t="shared" si="51"/>
        <v>22</v>
      </c>
      <c r="L263" s="19">
        <f t="shared" si="52"/>
        <v>210</v>
      </c>
      <c r="M263" s="17">
        <f t="shared" si="53"/>
        <v>210</v>
      </c>
      <c r="N263" s="22">
        <f t="shared" si="54"/>
        <v>0.89750692520775621</v>
      </c>
      <c r="O263" s="22">
        <f t="shared" si="55"/>
        <v>0.81578947368421051</v>
      </c>
      <c r="P263" s="22">
        <f t="shared" si="56"/>
        <v>8.1717451523545703E-2</v>
      </c>
      <c r="Q263" t="str">
        <f t="shared" si="57"/>
        <v/>
      </c>
      <c r="S263">
        <f t="shared" si="58"/>
        <v>210.0009737</v>
      </c>
      <c r="T263" s="23">
        <f t="shared" si="59"/>
        <v>8.2691151523545697E-2</v>
      </c>
    </row>
    <row r="264" spans="1:20" ht="15" customHeight="1" x14ac:dyDescent="0.35">
      <c r="A264" t="str">
        <f>Benchmarking!A264</f>
        <v>Boeing Co</v>
      </c>
      <c r="B264" t="str">
        <f>Benchmarking!B264</f>
        <v>ba</v>
      </c>
      <c r="C264" t="str">
        <f>Benchmarking!C264</f>
        <v>Aerospace &amp; Defense</v>
      </c>
      <c r="D264" s="17">
        <f>Benchmarking!D264</f>
        <v>220</v>
      </c>
      <c r="E264" s="17">
        <f>Benchmarking!E264</f>
        <v>224</v>
      </c>
      <c r="F264" s="17">
        <f>Benchmarking!F264</f>
        <v>235</v>
      </c>
      <c r="G264" s="17">
        <f>Benchmarking!G264</f>
        <v>679</v>
      </c>
      <c r="H264" t="str">
        <f t="shared" si="48"/>
        <v>Governance</v>
      </c>
      <c r="I264" t="str">
        <f t="shared" si="49"/>
        <v>Environmental</v>
      </c>
      <c r="J264" s="19">
        <f t="shared" si="50"/>
        <v>-4</v>
      </c>
      <c r="K264" s="19">
        <f t="shared" si="51"/>
        <v>-11</v>
      </c>
      <c r="L264" s="19">
        <f t="shared" si="52"/>
        <v>-15</v>
      </c>
      <c r="M264" s="17">
        <f t="shared" si="53"/>
        <v>15</v>
      </c>
      <c r="N264" s="22">
        <f t="shared" si="54"/>
        <v>0.14127423822714683</v>
      </c>
      <c r="O264" s="22">
        <f t="shared" si="55"/>
        <v>0.14681440443213298</v>
      </c>
      <c r="P264" s="22">
        <f t="shared" si="56"/>
        <v>-5.5401662049861522E-3</v>
      </c>
      <c r="Q264" t="str">
        <f t="shared" si="57"/>
        <v/>
      </c>
      <c r="S264">
        <f t="shared" si="58"/>
        <v>15.0009736</v>
      </c>
      <c r="T264" s="23">
        <f t="shared" si="59"/>
        <v>-4.5665662049861524E-3</v>
      </c>
    </row>
    <row r="265" spans="1:20" ht="15" customHeight="1" x14ac:dyDescent="0.35">
      <c r="A265" t="str">
        <f>Benchmarking!A265</f>
        <v>Bank of America Corp</v>
      </c>
      <c r="B265" t="str">
        <f>Benchmarking!B265</f>
        <v>bac</v>
      </c>
      <c r="C265" t="str">
        <f>Benchmarking!C265</f>
        <v>Banking</v>
      </c>
      <c r="D265" s="17">
        <f>Benchmarking!D265</f>
        <v>220</v>
      </c>
      <c r="E265" s="17">
        <f>Benchmarking!E265</f>
        <v>394</v>
      </c>
      <c r="F265" s="17">
        <f>Benchmarking!F265</f>
        <v>265</v>
      </c>
      <c r="G265" s="17">
        <f>Benchmarking!G265</f>
        <v>879</v>
      </c>
      <c r="H265" t="str">
        <f t="shared" si="48"/>
        <v>Social</v>
      </c>
      <c r="I265" t="str">
        <f t="shared" si="49"/>
        <v>Environmental</v>
      </c>
      <c r="J265" s="19">
        <f t="shared" si="50"/>
        <v>-174</v>
      </c>
      <c r="K265" s="19">
        <f t="shared" si="51"/>
        <v>129</v>
      </c>
      <c r="L265" s="19">
        <f t="shared" si="52"/>
        <v>-45</v>
      </c>
      <c r="M265" s="17">
        <f t="shared" si="53"/>
        <v>174</v>
      </c>
      <c r="N265" s="22">
        <f t="shared" si="54"/>
        <v>0.3559556786703601</v>
      </c>
      <c r="O265" s="22">
        <f t="shared" si="55"/>
        <v>0.14681440443213298</v>
      </c>
      <c r="P265" s="22">
        <f t="shared" si="56"/>
        <v>0.20914127423822712</v>
      </c>
      <c r="Q265" t="str">
        <f t="shared" si="57"/>
        <v/>
      </c>
      <c r="S265">
        <f t="shared" si="58"/>
        <v>174.00097349999999</v>
      </c>
      <c r="T265" s="23">
        <f t="shared" si="59"/>
        <v>0.21011477423822711</v>
      </c>
    </row>
    <row r="266" spans="1:20" ht="15" customHeight="1" x14ac:dyDescent="0.35">
      <c r="A266" t="str">
        <f>Benchmarking!A266</f>
        <v>Baxter International Inc</v>
      </c>
      <c r="B266" t="str">
        <f>Benchmarking!B266</f>
        <v>bax</v>
      </c>
      <c r="C266" t="str">
        <f>Benchmarking!C266</f>
        <v>Health Care</v>
      </c>
      <c r="D266" s="17">
        <f>Benchmarking!D266</f>
        <v>500</v>
      </c>
      <c r="E266" s="17">
        <f>Benchmarking!E266</f>
        <v>316</v>
      </c>
      <c r="F266" s="17">
        <f>Benchmarking!F266</f>
        <v>300</v>
      </c>
      <c r="G266" s="17">
        <f>Benchmarking!G266</f>
        <v>1116</v>
      </c>
      <c r="H266" t="str">
        <f t="shared" si="48"/>
        <v>Environmental</v>
      </c>
      <c r="I266" t="str">
        <f t="shared" si="49"/>
        <v>Governance</v>
      </c>
      <c r="J266" s="19">
        <f t="shared" si="50"/>
        <v>184</v>
      </c>
      <c r="K266" s="19">
        <f t="shared" si="51"/>
        <v>16</v>
      </c>
      <c r="L266" s="19">
        <f t="shared" si="52"/>
        <v>200</v>
      </c>
      <c r="M266" s="17">
        <f t="shared" si="53"/>
        <v>200</v>
      </c>
      <c r="N266" s="22">
        <f t="shared" si="54"/>
        <v>0.65373961218836563</v>
      </c>
      <c r="O266" s="22">
        <f t="shared" si="55"/>
        <v>0.39335180055401664</v>
      </c>
      <c r="P266" s="22">
        <f t="shared" si="56"/>
        <v>0.26038781163434899</v>
      </c>
      <c r="Q266" t="str">
        <f t="shared" si="57"/>
        <v/>
      </c>
      <c r="S266">
        <f t="shared" si="58"/>
        <v>200.00097339999999</v>
      </c>
      <c r="T266" s="23">
        <f t="shared" si="59"/>
        <v>0.261361211634349</v>
      </c>
    </row>
    <row r="267" spans="1:20" ht="15" customHeight="1" x14ac:dyDescent="0.35">
      <c r="A267" t="str">
        <f>Benchmarking!A267</f>
        <v>Bath &amp; Body Works Inc</v>
      </c>
      <c r="B267" t="str">
        <f>Benchmarking!B267</f>
        <v>bbwi</v>
      </c>
      <c r="C267" t="str">
        <f>Benchmarking!C267</f>
        <v>Retail</v>
      </c>
      <c r="D267" s="17">
        <f>Benchmarking!D267</f>
        <v>525</v>
      </c>
      <c r="E267" s="17">
        <f>Benchmarking!E267</f>
        <v>303</v>
      </c>
      <c r="F267" s="17">
        <f>Benchmarking!F267</f>
        <v>300</v>
      </c>
      <c r="G267" s="17">
        <f>Benchmarking!G267</f>
        <v>1128</v>
      </c>
      <c r="H267" t="str">
        <f t="shared" si="48"/>
        <v>Environmental</v>
      </c>
      <c r="I267" t="str">
        <f t="shared" si="49"/>
        <v>Governance</v>
      </c>
      <c r="J267" s="19">
        <f t="shared" si="50"/>
        <v>222</v>
      </c>
      <c r="K267" s="19">
        <f t="shared" si="51"/>
        <v>3</v>
      </c>
      <c r="L267" s="19">
        <f t="shared" si="52"/>
        <v>225</v>
      </c>
      <c r="M267" s="17">
        <f t="shared" si="53"/>
        <v>225</v>
      </c>
      <c r="N267" s="22">
        <f t="shared" si="54"/>
        <v>0.69113573407202211</v>
      </c>
      <c r="O267" s="22">
        <f t="shared" si="55"/>
        <v>0.39335180055401664</v>
      </c>
      <c r="P267" s="22">
        <f t="shared" si="56"/>
        <v>0.29778393351800547</v>
      </c>
      <c r="Q267" t="str">
        <f t="shared" si="57"/>
        <v/>
      </c>
      <c r="S267">
        <f t="shared" si="58"/>
        <v>225.0009733</v>
      </c>
      <c r="T267" s="23">
        <f t="shared" si="59"/>
        <v>0.29875723351800548</v>
      </c>
    </row>
    <row r="268" spans="1:20" ht="15" customHeight="1" x14ac:dyDescent="0.35">
      <c r="A268" t="str">
        <f>Benchmarking!A268</f>
        <v>Becton Dickinson and Co</v>
      </c>
      <c r="B268" t="str">
        <f>Benchmarking!B268</f>
        <v>bdx</v>
      </c>
      <c r="C268" t="str">
        <f>Benchmarking!C268</f>
        <v>Health Care</v>
      </c>
      <c r="D268" s="17">
        <f>Benchmarking!D268</f>
        <v>607</v>
      </c>
      <c r="E268" s="17">
        <f>Benchmarking!E268</f>
        <v>384</v>
      </c>
      <c r="F268" s="17">
        <f>Benchmarking!F268</f>
        <v>315</v>
      </c>
      <c r="G268" s="17">
        <f>Benchmarking!G268</f>
        <v>1306</v>
      </c>
      <c r="H268" t="str">
        <f t="shared" si="48"/>
        <v>Environmental</v>
      </c>
      <c r="I268" t="str">
        <f t="shared" si="49"/>
        <v>Governance</v>
      </c>
      <c r="J268" s="19">
        <f t="shared" si="50"/>
        <v>223</v>
      </c>
      <c r="K268" s="19">
        <f t="shared" si="51"/>
        <v>69</v>
      </c>
      <c r="L268" s="19">
        <f t="shared" si="52"/>
        <v>292</v>
      </c>
      <c r="M268" s="17">
        <f t="shared" si="53"/>
        <v>292</v>
      </c>
      <c r="N268" s="22">
        <f t="shared" si="54"/>
        <v>0.96952908587257614</v>
      </c>
      <c r="O268" s="22">
        <f t="shared" si="55"/>
        <v>0.82548476454293629</v>
      </c>
      <c r="P268" s="22">
        <f t="shared" si="56"/>
        <v>0.14404432132963985</v>
      </c>
      <c r="Q268" t="str">
        <f t="shared" si="57"/>
        <v/>
      </c>
      <c r="S268">
        <f t="shared" si="58"/>
        <v>292.00097319999998</v>
      </c>
      <c r="T268" s="23">
        <f t="shared" si="59"/>
        <v>0.14501752132963985</v>
      </c>
    </row>
    <row r="269" spans="1:20" ht="15" customHeight="1" x14ac:dyDescent="0.35">
      <c r="A269" t="str">
        <f>Benchmarking!A269</f>
        <v>Bio Rad Laboratories Inc</v>
      </c>
      <c r="B269" t="str">
        <f>Benchmarking!B269</f>
        <v>bio</v>
      </c>
      <c r="C269" t="str">
        <f>Benchmarking!C269</f>
        <v>Life Sciences Tools &amp; Services</v>
      </c>
      <c r="D269" s="17">
        <f>Benchmarking!D269</f>
        <v>275</v>
      </c>
      <c r="E269" s="17">
        <f>Benchmarking!E269</f>
        <v>227</v>
      </c>
      <c r="F269" s="17">
        <f>Benchmarking!F269</f>
        <v>300</v>
      </c>
      <c r="G269" s="17">
        <f>Benchmarking!G269</f>
        <v>802</v>
      </c>
      <c r="H269" t="str">
        <f t="shared" si="48"/>
        <v>Governance</v>
      </c>
      <c r="I269" t="str">
        <f t="shared" si="49"/>
        <v>Social</v>
      </c>
      <c r="J269" s="19">
        <f t="shared" si="50"/>
        <v>48</v>
      </c>
      <c r="K269" s="19">
        <f t="shared" si="51"/>
        <v>-73</v>
      </c>
      <c r="L269" s="19">
        <f t="shared" si="52"/>
        <v>-25</v>
      </c>
      <c r="M269" s="17">
        <f t="shared" si="53"/>
        <v>73</v>
      </c>
      <c r="N269" s="22">
        <f t="shared" si="54"/>
        <v>0.29085872576177285</v>
      </c>
      <c r="O269" s="22">
        <f t="shared" si="55"/>
        <v>0.18144044321329639</v>
      </c>
      <c r="P269" s="22">
        <f t="shared" si="56"/>
        <v>0.10941828254847646</v>
      </c>
      <c r="Q269" t="str">
        <f t="shared" si="57"/>
        <v/>
      </c>
      <c r="S269">
        <f t="shared" si="58"/>
        <v>73.000973099999996</v>
      </c>
      <c r="T269" s="23">
        <f t="shared" si="59"/>
        <v>0.11039138254847647</v>
      </c>
    </row>
    <row r="270" spans="1:20" ht="15" customHeight="1" x14ac:dyDescent="0.35">
      <c r="A270" t="str">
        <f>Benchmarking!A270</f>
        <v>Best Buy Co Inc</v>
      </c>
      <c r="B270" t="str">
        <f>Benchmarking!B270</f>
        <v>bby</v>
      </c>
      <c r="C270" t="str">
        <f>Benchmarking!C270</f>
        <v>Retail</v>
      </c>
      <c r="D270" s="17">
        <f>Benchmarking!D270</f>
        <v>430</v>
      </c>
      <c r="E270" s="17">
        <f>Benchmarking!E270</f>
        <v>231</v>
      </c>
      <c r="F270" s="17">
        <f>Benchmarking!F270</f>
        <v>300</v>
      </c>
      <c r="G270" s="17">
        <f>Benchmarking!G270</f>
        <v>961</v>
      </c>
      <c r="H270" t="str">
        <f t="shared" si="48"/>
        <v>Environmental</v>
      </c>
      <c r="I270" t="str">
        <f t="shared" si="49"/>
        <v>Social</v>
      </c>
      <c r="J270" s="19">
        <f t="shared" si="50"/>
        <v>199</v>
      </c>
      <c r="K270" s="19">
        <f t="shared" si="51"/>
        <v>-69</v>
      </c>
      <c r="L270" s="19">
        <f t="shared" si="52"/>
        <v>130</v>
      </c>
      <c r="M270" s="17">
        <f t="shared" si="53"/>
        <v>199</v>
      </c>
      <c r="N270" s="22">
        <f t="shared" si="54"/>
        <v>0.43213296398891965</v>
      </c>
      <c r="O270" s="22">
        <f t="shared" si="55"/>
        <v>0.19667590027700832</v>
      </c>
      <c r="P270" s="22">
        <f t="shared" si="56"/>
        <v>0.23545706371191133</v>
      </c>
      <c r="Q270" t="str">
        <f t="shared" si="57"/>
        <v/>
      </c>
      <c r="S270">
        <f t="shared" si="58"/>
        <v>199.00097299999999</v>
      </c>
      <c r="T270" s="23">
        <f t="shared" si="59"/>
        <v>0.23643006371191133</v>
      </c>
    </row>
    <row r="271" spans="1:20" ht="15" customHeight="1" x14ac:dyDescent="0.35">
      <c r="A271" t="str">
        <f>Benchmarking!A271</f>
        <v>Bank of New York Mellon Corp</v>
      </c>
      <c r="B271" t="str">
        <f>Benchmarking!B271</f>
        <v>bk</v>
      </c>
      <c r="C271" t="str">
        <f>Benchmarking!C271</f>
        <v>Financial Services</v>
      </c>
      <c r="D271" s="17">
        <f>Benchmarking!D271</f>
        <v>500</v>
      </c>
      <c r="E271" s="17">
        <f>Benchmarking!E271</f>
        <v>300</v>
      </c>
      <c r="F271" s="17">
        <f>Benchmarking!F271</f>
        <v>300</v>
      </c>
      <c r="G271" s="17">
        <f>Benchmarking!G271</f>
        <v>1100</v>
      </c>
      <c r="H271" t="str">
        <f t="shared" si="48"/>
        <v>Environmental</v>
      </c>
      <c r="I271" t="str">
        <f t="shared" si="49"/>
        <v>Social</v>
      </c>
      <c r="J271" s="19">
        <f t="shared" si="50"/>
        <v>200</v>
      </c>
      <c r="K271" s="19">
        <f t="shared" si="51"/>
        <v>0</v>
      </c>
      <c r="L271" s="19">
        <f t="shared" si="52"/>
        <v>200</v>
      </c>
      <c r="M271" s="17">
        <f t="shared" si="53"/>
        <v>200</v>
      </c>
      <c r="N271" s="22">
        <f t="shared" si="54"/>
        <v>0.56925207756232687</v>
      </c>
      <c r="O271" s="22">
        <f t="shared" si="55"/>
        <v>0.36565096952908588</v>
      </c>
      <c r="P271" s="22">
        <f t="shared" si="56"/>
        <v>0.203601108033241</v>
      </c>
      <c r="Q271" t="str">
        <f t="shared" si="57"/>
        <v/>
      </c>
      <c r="S271">
        <f t="shared" si="58"/>
        <v>200.00097289999999</v>
      </c>
      <c r="T271" s="23">
        <f t="shared" si="59"/>
        <v>0.20457400803324099</v>
      </c>
    </row>
    <row r="272" spans="1:20" ht="15" customHeight="1" x14ac:dyDescent="0.35">
      <c r="A272" t="str">
        <f>Benchmarking!A272</f>
        <v>American Express Co</v>
      </c>
      <c r="B272" t="str">
        <f>Benchmarking!B272</f>
        <v>axp</v>
      </c>
      <c r="C272" t="str">
        <f>Benchmarking!C272</f>
        <v>Financial Services</v>
      </c>
      <c r="D272" s="17">
        <f>Benchmarking!D272</f>
        <v>230</v>
      </c>
      <c r="E272" s="17">
        <f>Benchmarking!E272</f>
        <v>226</v>
      </c>
      <c r="F272" s="17">
        <f>Benchmarking!F272</f>
        <v>208</v>
      </c>
      <c r="G272" s="17">
        <f>Benchmarking!G272</f>
        <v>664</v>
      </c>
      <c r="H272" t="str">
        <f t="shared" si="48"/>
        <v>Environmental</v>
      </c>
      <c r="I272" t="str">
        <f t="shared" si="49"/>
        <v>Governance</v>
      </c>
      <c r="J272" s="19">
        <f t="shared" si="50"/>
        <v>4</v>
      </c>
      <c r="K272" s="19">
        <f t="shared" si="51"/>
        <v>18</v>
      </c>
      <c r="L272" s="19">
        <f t="shared" si="52"/>
        <v>22</v>
      </c>
      <c r="M272" s="17">
        <f t="shared" si="53"/>
        <v>22</v>
      </c>
      <c r="N272" s="22">
        <f t="shared" si="54"/>
        <v>0.12049861495844875</v>
      </c>
      <c r="O272" s="22">
        <f t="shared" si="55"/>
        <v>0.11772853185595568</v>
      </c>
      <c r="P272" s="22">
        <f t="shared" si="56"/>
        <v>2.7700831024930761E-3</v>
      </c>
      <c r="Q272" t="str">
        <f t="shared" si="57"/>
        <v/>
      </c>
      <c r="S272">
        <f t="shared" si="58"/>
        <v>22.0009728</v>
      </c>
      <c r="T272" s="23">
        <f t="shared" si="59"/>
        <v>3.7428831024930763E-3</v>
      </c>
    </row>
    <row r="273" spans="1:20" ht="15" customHeight="1" x14ac:dyDescent="0.35">
      <c r="A273" t="str">
        <f>Benchmarking!A273</f>
        <v>Broadridge Financial Solutions Inc</v>
      </c>
      <c r="B273" t="str">
        <f>Benchmarking!B273</f>
        <v>br</v>
      </c>
      <c r="C273" t="str">
        <f>Benchmarking!C273</f>
        <v>Technology</v>
      </c>
      <c r="D273" s="17">
        <f>Benchmarking!D273</f>
        <v>550</v>
      </c>
      <c r="E273" s="17">
        <f>Benchmarking!E273</f>
        <v>313</v>
      </c>
      <c r="F273" s="17">
        <f>Benchmarking!F273</f>
        <v>325</v>
      </c>
      <c r="G273" s="17">
        <f>Benchmarking!G273</f>
        <v>1188</v>
      </c>
      <c r="H273" t="str">
        <f t="shared" si="48"/>
        <v>Environmental</v>
      </c>
      <c r="I273" t="str">
        <f t="shared" si="49"/>
        <v>Social</v>
      </c>
      <c r="J273" s="19">
        <f t="shared" si="50"/>
        <v>237</v>
      </c>
      <c r="K273" s="19">
        <f t="shared" si="51"/>
        <v>-12</v>
      </c>
      <c r="L273" s="19">
        <f t="shared" si="52"/>
        <v>225</v>
      </c>
      <c r="M273" s="17">
        <f t="shared" si="53"/>
        <v>237</v>
      </c>
      <c r="N273" s="22">
        <f t="shared" si="54"/>
        <v>0.86980609418282551</v>
      </c>
      <c r="O273" s="22">
        <f t="shared" si="55"/>
        <v>0.65373961218836563</v>
      </c>
      <c r="P273" s="22">
        <f t="shared" si="56"/>
        <v>0.21606648199445988</v>
      </c>
      <c r="Q273" t="str">
        <f t="shared" si="57"/>
        <v/>
      </c>
      <c r="S273">
        <f t="shared" si="58"/>
        <v>237.00097270000001</v>
      </c>
      <c r="T273" s="23">
        <f t="shared" si="59"/>
        <v>0.21703918199445987</v>
      </c>
    </row>
    <row r="274" spans="1:20" ht="15" customHeight="1" x14ac:dyDescent="0.35">
      <c r="A274" t="str">
        <f>Benchmarking!A274</f>
        <v>Bristol-Myers Squibb Co</v>
      </c>
      <c r="B274" t="str">
        <f>Benchmarking!B274</f>
        <v>bmy</v>
      </c>
      <c r="C274" t="str">
        <f>Benchmarking!C274</f>
        <v>Pharmaceuticals</v>
      </c>
      <c r="D274" s="17">
        <f>Benchmarking!D274</f>
        <v>500</v>
      </c>
      <c r="E274" s="17">
        <f>Benchmarking!E274</f>
        <v>321</v>
      </c>
      <c r="F274" s="17">
        <f>Benchmarking!F274</f>
        <v>310</v>
      </c>
      <c r="G274" s="17">
        <f>Benchmarking!G274</f>
        <v>1131</v>
      </c>
      <c r="H274" t="str">
        <f t="shared" si="48"/>
        <v>Environmental</v>
      </c>
      <c r="I274" t="str">
        <f t="shared" si="49"/>
        <v>Governance</v>
      </c>
      <c r="J274" s="19">
        <f t="shared" si="50"/>
        <v>179</v>
      </c>
      <c r="K274" s="19">
        <f t="shared" si="51"/>
        <v>11</v>
      </c>
      <c r="L274" s="19">
        <f t="shared" si="52"/>
        <v>190</v>
      </c>
      <c r="M274" s="17">
        <f t="shared" si="53"/>
        <v>190</v>
      </c>
      <c r="N274" s="22">
        <f t="shared" si="54"/>
        <v>0.70360110803324105</v>
      </c>
      <c r="O274" s="22">
        <f t="shared" si="55"/>
        <v>0.51246537396121883</v>
      </c>
      <c r="P274" s="22">
        <f t="shared" si="56"/>
        <v>0.19113573407202222</v>
      </c>
      <c r="Q274" t="str">
        <f t="shared" si="57"/>
        <v/>
      </c>
      <c r="S274">
        <f t="shared" si="58"/>
        <v>190.00097260000001</v>
      </c>
      <c r="T274" s="23">
        <f t="shared" si="59"/>
        <v>0.19210833407202221</v>
      </c>
    </row>
    <row r="275" spans="1:20" ht="15" customHeight="1" x14ac:dyDescent="0.35">
      <c r="A275" t="str">
        <f>Benchmarking!A275</f>
        <v>Brown &amp; Brown Inc</v>
      </c>
      <c r="B275" t="str">
        <f>Benchmarking!B275</f>
        <v>bro</v>
      </c>
      <c r="C275" t="str">
        <f>Benchmarking!C275</f>
        <v>Insurance</v>
      </c>
      <c r="D275" s="17">
        <f>Benchmarking!D275</f>
        <v>405</v>
      </c>
      <c r="E275" s="17">
        <f>Benchmarking!E275</f>
        <v>320</v>
      </c>
      <c r="F275" s="17">
        <f>Benchmarking!F275</f>
        <v>300</v>
      </c>
      <c r="G275" s="17">
        <f>Benchmarking!G275</f>
        <v>1025</v>
      </c>
      <c r="H275" t="str">
        <f t="shared" si="48"/>
        <v>Environmental</v>
      </c>
      <c r="I275" t="str">
        <f t="shared" si="49"/>
        <v>Governance</v>
      </c>
      <c r="J275" s="19">
        <f t="shared" si="50"/>
        <v>85</v>
      </c>
      <c r="K275" s="19">
        <f t="shared" si="51"/>
        <v>20</v>
      </c>
      <c r="L275" s="19">
        <f t="shared" si="52"/>
        <v>105</v>
      </c>
      <c r="M275" s="17">
        <f t="shared" si="53"/>
        <v>105</v>
      </c>
      <c r="N275" s="22">
        <f t="shared" si="54"/>
        <v>0.4889196675900277</v>
      </c>
      <c r="O275" s="22">
        <f t="shared" si="55"/>
        <v>0.39335180055401664</v>
      </c>
      <c r="P275" s="22">
        <f t="shared" si="56"/>
        <v>9.5567867036011056E-2</v>
      </c>
      <c r="Q275" t="str">
        <f t="shared" si="57"/>
        <v/>
      </c>
      <c r="S275">
        <f t="shared" si="58"/>
        <v>105.0009725</v>
      </c>
      <c r="T275" s="23">
        <f t="shared" si="59"/>
        <v>9.6540367036011057E-2</v>
      </c>
    </row>
    <row r="276" spans="1:20" ht="15" customHeight="1" x14ac:dyDescent="0.35">
      <c r="A276" t="str">
        <f>Benchmarking!A276</f>
        <v>Autozone Inc</v>
      </c>
      <c r="B276" t="str">
        <f>Benchmarking!B276</f>
        <v>azo</v>
      </c>
      <c r="C276" t="str">
        <f>Benchmarking!C276</f>
        <v>Retail</v>
      </c>
      <c r="D276" s="17">
        <f>Benchmarking!D276</f>
        <v>260</v>
      </c>
      <c r="E276" s="17">
        <f>Benchmarking!E276</f>
        <v>222</v>
      </c>
      <c r="F276" s="17">
        <f>Benchmarking!F276</f>
        <v>213</v>
      </c>
      <c r="G276" s="17">
        <f>Benchmarking!G276</f>
        <v>695</v>
      </c>
      <c r="H276" t="str">
        <f t="shared" si="48"/>
        <v>Environmental</v>
      </c>
      <c r="I276" t="str">
        <f t="shared" si="49"/>
        <v>Governance</v>
      </c>
      <c r="J276" s="19">
        <f t="shared" si="50"/>
        <v>38</v>
      </c>
      <c r="K276" s="19">
        <f t="shared" si="51"/>
        <v>9</v>
      </c>
      <c r="L276" s="19">
        <f t="shared" si="52"/>
        <v>47</v>
      </c>
      <c r="M276" s="17">
        <f t="shared" si="53"/>
        <v>47</v>
      </c>
      <c r="N276" s="22">
        <f t="shared" si="54"/>
        <v>0.15789473684210525</v>
      </c>
      <c r="O276" s="22">
        <f t="shared" si="55"/>
        <v>0.14958448753462603</v>
      </c>
      <c r="P276" s="22">
        <f t="shared" si="56"/>
        <v>8.3102493074792283E-3</v>
      </c>
      <c r="Q276" t="str">
        <f t="shared" si="57"/>
        <v/>
      </c>
      <c r="S276">
        <f t="shared" si="58"/>
        <v>47.000972400000002</v>
      </c>
      <c r="T276" s="23">
        <f t="shared" si="59"/>
        <v>9.2826493074792283E-3</v>
      </c>
    </row>
    <row r="277" spans="1:20" ht="15" customHeight="1" x14ac:dyDescent="0.35">
      <c r="A277" t="str">
        <f>Benchmarking!A277</f>
        <v>Boston Scientific Corp</v>
      </c>
      <c r="B277" t="str">
        <f>Benchmarking!B277</f>
        <v>bsx</v>
      </c>
      <c r="C277" t="str">
        <f>Benchmarking!C277</f>
        <v>Health Care</v>
      </c>
      <c r="D277" s="17">
        <f>Benchmarking!D277</f>
        <v>525</v>
      </c>
      <c r="E277" s="17">
        <f>Benchmarking!E277</f>
        <v>399</v>
      </c>
      <c r="F277" s="17">
        <f>Benchmarking!F277</f>
        <v>300</v>
      </c>
      <c r="G277" s="17">
        <f>Benchmarking!G277</f>
        <v>1224</v>
      </c>
      <c r="H277" t="str">
        <f t="shared" si="48"/>
        <v>Environmental</v>
      </c>
      <c r="I277" t="str">
        <f t="shared" si="49"/>
        <v>Governance</v>
      </c>
      <c r="J277" s="19">
        <f t="shared" si="50"/>
        <v>126</v>
      </c>
      <c r="K277" s="19">
        <f t="shared" si="51"/>
        <v>99</v>
      </c>
      <c r="L277" s="19">
        <f t="shared" si="52"/>
        <v>225</v>
      </c>
      <c r="M277" s="17">
        <f t="shared" si="53"/>
        <v>225</v>
      </c>
      <c r="N277" s="22">
        <f t="shared" si="54"/>
        <v>0.91135734072022156</v>
      </c>
      <c r="O277" s="22">
        <f t="shared" si="55"/>
        <v>0.39335180055401664</v>
      </c>
      <c r="P277" s="22">
        <f t="shared" si="56"/>
        <v>0.51800554016620493</v>
      </c>
      <c r="Q277" t="str">
        <f t="shared" si="57"/>
        <v>High ESG / weak pillar (analytical flag - not an ESG rating) - warrants investigation</v>
      </c>
      <c r="S277">
        <f t="shared" si="58"/>
        <v>225.0009723</v>
      </c>
      <c r="T277" s="23">
        <f t="shared" si="59"/>
        <v>0.51897784016620496</v>
      </c>
    </row>
    <row r="278" spans="1:20" ht="15" customHeight="1" x14ac:dyDescent="0.35">
      <c r="A278" t="str">
        <f>Benchmarking!A278</f>
        <v>Blackstone Inc</v>
      </c>
      <c r="B278" t="str">
        <f>Benchmarking!B278</f>
        <v>bx</v>
      </c>
      <c r="C278" t="str">
        <f>Benchmarking!C278</f>
        <v>Financial Services</v>
      </c>
      <c r="D278" s="17">
        <f>Benchmarking!D278</f>
        <v>534</v>
      </c>
      <c r="E278" s="17">
        <f>Benchmarking!E278</f>
        <v>343</v>
      </c>
      <c r="F278" s="17">
        <f>Benchmarking!F278</f>
        <v>320</v>
      </c>
      <c r="G278" s="17">
        <f>Benchmarking!G278</f>
        <v>1197</v>
      </c>
      <c r="H278" t="str">
        <f t="shared" si="48"/>
        <v>Environmental</v>
      </c>
      <c r="I278" t="str">
        <f t="shared" si="49"/>
        <v>Governance</v>
      </c>
      <c r="J278" s="19">
        <f t="shared" si="50"/>
        <v>191</v>
      </c>
      <c r="K278" s="19">
        <f t="shared" si="51"/>
        <v>23</v>
      </c>
      <c r="L278" s="19">
        <f t="shared" si="52"/>
        <v>214</v>
      </c>
      <c r="M278" s="17">
        <f t="shared" si="53"/>
        <v>214</v>
      </c>
      <c r="N278" s="22">
        <f t="shared" si="54"/>
        <v>0.88227146814404434</v>
      </c>
      <c r="O278" s="22">
        <f t="shared" si="55"/>
        <v>0.81440443213296398</v>
      </c>
      <c r="P278" s="22">
        <f t="shared" si="56"/>
        <v>6.7867036011080351E-2</v>
      </c>
      <c r="Q278" t="str">
        <f t="shared" si="57"/>
        <v/>
      </c>
      <c r="S278">
        <f t="shared" si="58"/>
        <v>214.00097220000001</v>
      </c>
      <c r="T278" s="23">
        <f t="shared" si="59"/>
        <v>6.8839236011080357E-2</v>
      </c>
    </row>
    <row r="279" spans="1:20" ht="15" customHeight="1" x14ac:dyDescent="0.35">
      <c r="A279" t="str">
        <f>Benchmarking!A279</f>
        <v>Boston Properties Inc</v>
      </c>
      <c r="B279" t="str">
        <f>Benchmarking!B279</f>
        <v>bxp</v>
      </c>
      <c r="C279" t="str">
        <f>Benchmarking!C279</f>
        <v>Real Estate</v>
      </c>
      <c r="D279" s="17">
        <f>Benchmarking!D279</f>
        <v>532</v>
      </c>
      <c r="E279" s="17">
        <f>Benchmarking!E279</f>
        <v>339</v>
      </c>
      <c r="F279" s="17">
        <f>Benchmarking!F279</f>
        <v>305</v>
      </c>
      <c r="G279" s="17">
        <f>Benchmarking!G279</f>
        <v>1176</v>
      </c>
      <c r="H279" t="str">
        <f t="shared" si="48"/>
        <v>Environmental</v>
      </c>
      <c r="I279" t="str">
        <f t="shared" si="49"/>
        <v>Governance</v>
      </c>
      <c r="J279" s="19">
        <f t="shared" si="50"/>
        <v>193</v>
      </c>
      <c r="K279" s="19">
        <f t="shared" si="51"/>
        <v>34</v>
      </c>
      <c r="L279" s="19">
        <f t="shared" si="52"/>
        <v>227</v>
      </c>
      <c r="M279" s="17">
        <f t="shared" si="53"/>
        <v>227</v>
      </c>
      <c r="N279" s="22">
        <f t="shared" si="54"/>
        <v>0.84349030470914133</v>
      </c>
      <c r="O279" s="22">
        <f t="shared" si="55"/>
        <v>0.63296398891966754</v>
      </c>
      <c r="P279" s="22">
        <f t="shared" si="56"/>
        <v>0.21052631578947378</v>
      </c>
      <c r="Q279" t="str">
        <f t="shared" si="57"/>
        <v/>
      </c>
      <c r="S279">
        <f t="shared" si="58"/>
        <v>227.00097210000001</v>
      </c>
      <c r="T279" s="23">
        <f t="shared" si="59"/>
        <v>0.21149841578947379</v>
      </c>
    </row>
    <row r="280" spans="1:20" ht="15" customHeight="1" x14ac:dyDescent="0.35">
      <c r="A280" t="str">
        <f>Benchmarking!A280</f>
        <v>SVB Financial Group</v>
      </c>
      <c r="B280" t="str">
        <f>Benchmarking!B280</f>
        <v>sivb</v>
      </c>
      <c r="C280" t="str">
        <f>Benchmarking!C280</f>
        <v>Banking</v>
      </c>
      <c r="D280" s="17">
        <f>Benchmarking!D280</f>
        <v>510</v>
      </c>
      <c r="E280" s="17">
        <f>Benchmarking!E280</f>
        <v>340</v>
      </c>
      <c r="F280" s="17">
        <f>Benchmarking!F280</f>
        <v>300</v>
      </c>
      <c r="G280" s="17">
        <f>Benchmarking!G280</f>
        <v>1150</v>
      </c>
      <c r="H280" t="str">
        <f t="shared" si="48"/>
        <v>Environmental</v>
      </c>
      <c r="I280" t="str">
        <f t="shared" si="49"/>
        <v>Governance</v>
      </c>
      <c r="J280" s="19">
        <f t="shared" si="50"/>
        <v>170</v>
      </c>
      <c r="K280" s="19">
        <f t="shared" si="51"/>
        <v>40</v>
      </c>
      <c r="L280" s="19">
        <f t="shared" si="52"/>
        <v>210</v>
      </c>
      <c r="M280" s="17">
        <f t="shared" si="53"/>
        <v>210</v>
      </c>
      <c r="N280" s="22">
        <f t="shared" si="54"/>
        <v>0.76454293628808867</v>
      </c>
      <c r="O280" s="22">
        <f t="shared" si="55"/>
        <v>0.39335180055401664</v>
      </c>
      <c r="P280" s="22">
        <f t="shared" si="56"/>
        <v>0.37119113573407203</v>
      </c>
      <c r="Q280" t="str">
        <f t="shared" si="57"/>
        <v/>
      </c>
      <c r="S280">
        <f t="shared" si="58"/>
        <v>210.00097199999999</v>
      </c>
      <c r="T280" s="23">
        <f t="shared" si="59"/>
        <v>0.372163135734072</v>
      </c>
    </row>
    <row r="281" spans="1:20" ht="15" customHeight="1" x14ac:dyDescent="0.35">
      <c r="A281" t="str">
        <f>Benchmarking!A281</f>
        <v>Citigroup Inc</v>
      </c>
      <c r="B281" t="str">
        <f>Benchmarking!B281</f>
        <v>c</v>
      </c>
      <c r="C281" t="str">
        <f>Benchmarking!C281</f>
        <v>Banking</v>
      </c>
      <c r="D281" s="17">
        <f>Benchmarking!D281</f>
        <v>515</v>
      </c>
      <c r="E281" s="17">
        <f>Benchmarking!E281</f>
        <v>300</v>
      </c>
      <c r="F281" s="17">
        <f>Benchmarking!F281</f>
        <v>303</v>
      </c>
      <c r="G281" s="17">
        <f>Benchmarking!G281</f>
        <v>1118</v>
      </c>
      <c r="H281" t="str">
        <f t="shared" si="48"/>
        <v>Environmental</v>
      </c>
      <c r="I281" t="str">
        <f t="shared" si="49"/>
        <v>Social</v>
      </c>
      <c r="J281" s="19">
        <f t="shared" si="50"/>
        <v>215</v>
      </c>
      <c r="K281" s="19">
        <f t="shared" si="51"/>
        <v>-3</v>
      </c>
      <c r="L281" s="19">
        <f t="shared" si="52"/>
        <v>212</v>
      </c>
      <c r="M281" s="17">
        <f t="shared" si="53"/>
        <v>215</v>
      </c>
      <c r="N281" s="22">
        <f t="shared" si="54"/>
        <v>0.65650969529085867</v>
      </c>
      <c r="O281" s="22">
        <f t="shared" si="55"/>
        <v>0.36565096952908588</v>
      </c>
      <c r="P281" s="22">
        <f t="shared" si="56"/>
        <v>0.2908587257617728</v>
      </c>
      <c r="Q281" t="str">
        <f t="shared" si="57"/>
        <v/>
      </c>
      <c r="S281">
        <f t="shared" si="58"/>
        <v>215.0009719</v>
      </c>
      <c r="T281" s="23">
        <f t="shared" si="59"/>
        <v>0.29183062576177282</v>
      </c>
    </row>
    <row r="282" spans="1:20" ht="15" customHeight="1" x14ac:dyDescent="0.35">
      <c r="A282" t="str">
        <f>Benchmarking!A282</f>
        <v>Caterpillar Inc</v>
      </c>
      <c r="B282" t="str">
        <f>Benchmarking!B282</f>
        <v>cat</v>
      </c>
      <c r="C282" t="str">
        <f>Benchmarking!C282</f>
        <v>Machinery</v>
      </c>
      <c r="D282" s="17">
        <f>Benchmarking!D282</f>
        <v>235</v>
      </c>
      <c r="E282" s="17">
        <f>Benchmarking!E282</f>
        <v>239</v>
      </c>
      <c r="F282" s="17">
        <f>Benchmarking!F282</f>
        <v>235</v>
      </c>
      <c r="G282" s="17">
        <f>Benchmarking!G282</f>
        <v>709</v>
      </c>
      <c r="H282" t="str">
        <f t="shared" si="48"/>
        <v>Social</v>
      </c>
      <c r="I282" t="str">
        <f t="shared" si="49"/>
        <v>Environmental</v>
      </c>
      <c r="J282" s="19">
        <f t="shared" si="50"/>
        <v>-4</v>
      </c>
      <c r="K282" s="19">
        <f t="shared" si="51"/>
        <v>4</v>
      </c>
      <c r="L282" s="19">
        <f t="shared" si="52"/>
        <v>0</v>
      </c>
      <c r="M282" s="17">
        <f t="shared" si="53"/>
        <v>4</v>
      </c>
      <c r="N282" s="22">
        <f t="shared" si="54"/>
        <v>0.17451523545706371</v>
      </c>
      <c r="O282" s="22">
        <f t="shared" si="55"/>
        <v>0.22160664819944598</v>
      </c>
      <c r="P282" s="22">
        <f t="shared" si="56"/>
        <v>-4.7091412742382266E-2</v>
      </c>
      <c r="Q282" t="str">
        <f t="shared" si="57"/>
        <v/>
      </c>
      <c r="S282">
        <f t="shared" si="58"/>
        <v>4.0009718000000003</v>
      </c>
      <c r="T282" s="23">
        <f t="shared" si="59"/>
        <v>-4.6119612742382264E-2</v>
      </c>
    </row>
    <row r="283" spans="1:20" ht="15" customHeight="1" x14ac:dyDescent="0.35">
      <c r="A283" t="str">
        <f>Benchmarking!A283</f>
        <v>Carrier Global Corp</v>
      </c>
      <c r="B283" t="str">
        <f>Benchmarking!B283</f>
        <v>carr</v>
      </c>
      <c r="C283" t="str">
        <f>Benchmarking!C283</f>
        <v>Building</v>
      </c>
      <c r="D283" s="17">
        <f>Benchmarking!D283</f>
        <v>210</v>
      </c>
      <c r="E283" s="17">
        <f>Benchmarking!E283</f>
        <v>258</v>
      </c>
      <c r="F283" s="17">
        <f>Benchmarking!F283</f>
        <v>226</v>
      </c>
      <c r="G283" s="17">
        <f>Benchmarking!G283</f>
        <v>694</v>
      </c>
      <c r="H283" t="str">
        <f t="shared" si="48"/>
        <v>Social</v>
      </c>
      <c r="I283" t="str">
        <f t="shared" si="49"/>
        <v>Environmental</v>
      </c>
      <c r="J283" s="19">
        <f t="shared" si="50"/>
        <v>-48</v>
      </c>
      <c r="K283" s="19">
        <f t="shared" si="51"/>
        <v>32</v>
      </c>
      <c r="L283" s="19">
        <f t="shared" si="52"/>
        <v>-16</v>
      </c>
      <c r="M283" s="17">
        <f t="shared" si="53"/>
        <v>48</v>
      </c>
      <c r="N283" s="22">
        <f t="shared" si="54"/>
        <v>0.15650969529085873</v>
      </c>
      <c r="O283" s="22">
        <f t="shared" si="55"/>
        <v>9.141274238227147E-2</v>
      </c>
      <c r="P283" s="22">
        <f t="shared" si="56"/>
        <v>6.5096952908587261E-2</v>
      </c>
      <c r="Q283" t="str">
        <f t="shared" si="57"/>
        <v/>
      </c>
      <c r="S283">
        <f t="shared" si="58"/>
        <v>48.000971700000001</v>
      </c>
      <c r="T283" s="23">
        <f t="shared" si="59"/>
        <v>6.6068652908587266E-2</v>
      </c>
    </row>
    <row r="284" spans="1:20" ht="15" customHeight="1" x14ac:dyDescent="0.35">
      <c r="A284" t="str">
        <f>Benchmarking!A284</f>
        <v>CBRE Group Inc</v>
      </c>
      <c r="B284" t="str">
        <f>Benchmarking!B284</f>
        <v>cbre</v>
      </c>
      <c r="C284" t="str">
        <f>Benchmarking!C284</f>
        <v>Real Estate</v>
      </c>
      <c r="D284" s="17">
        <f>Benchmarking!D284</f>
        <v>200</v>
      </c>
      <c r="E284" s="17">
        <f>Benchmarking!E284</f>
        <v>209</v>
      </c>
      <c r="F284" s="17">
        <f>Benchmarking!F284</f>
        <v>200</v>
      </c>
      <c r="G284" s="17">
        <f>Benchmarking!G284</f>
        <v>609</v>
      </c>
      <c r="H284" t="str">
        <f t="shared" si="48"/>
        <v>Social</v>
      </c>
      <c r="I284" t="str">
        <f t="shared" si="49"/>
        <v>Environmental</v>
      </c>
      <c r="J284" s="19">
        <f t="shared" si="50"/>
        <v>-9</v>
      </c>
      <c r="K284" s="19">
        <f t="shared" si="51"/>
        <v>9</v>
      </c>
      <c r="L284" s="19">
        <f t="shared" si="52"/>
        <v>0</v>
      </c>
      <c r="M284" s="17">
        <f t="shared" si="53"/>
        <v>9</v>
      </c>
      <c r="N284" s="22">
        <f t="shared" si="54"/>
        <v>2.4930747922437674E-2</v>
      </c>
      <c r="O284" s="22">
        <f t="shared" si="55"/>
        <v>1.3850415512465374E-3</v>
      </c>
      <c r="P284" s="22">
        <f t="shared" si="56"/>
        <v>2.3545706371191136E-2</v>
      </c>
      <c r="Q284" t="str">
        <f t="shared" si="57"/>
        <v/>
      </c>
      <c r="S284">
        <f t="shared" si="58"/>
        <v>9.0009715999999997</v>
      </c>
      <c r="T284" s="23">
        <f t="shared" si="59"/>
        <v>2.4517306371191136E-2</v>
      </c>
    </row>
    <row r="285" spans="1:20" ht="15" customHeight="1" x14ac:dyDescent="0.35">
      <c r="A285" t="str">
        <f>Benchmarking!A285</f>
        <v>Crown Castle Inc</v>
      </c>
      <c r="B285" t="str">
        <f>Benchmarking!B285</f>
        <v>cci</v>
      </c>
      <c r="C285" t="str">
        <f>Benchmarking!C285</f>
        <v>Real Estate</v>
      </c>
      <c r="D285" s="17">
        <f>Benchmarking!D285</f>
        <v>500</v>
      </c>
      <c r="E285" s="17">
        <f>Benchmarking!E285</f>
        <v>300</v>
      </c>
      <c r="F285" s="17">
        <f>Benchmarking!F285</f>
        <v>200</v>
      </c>
      <c r="G285" s="17">
        <f>Benchmarking!G285</f>
        <v>1000</v>
      </c>
      <c r="H285" t="str">
        <f t="shared" si="48"/>
        <v>Environmental</v>
      </c>
      <c r="I285" t="str">
        <f t="shared" si="49"/>
        <v>Governance</v>
      </c>
      <c r="J285" s="19">
        <f t="shared" si="50"/>
        <v>200</v>
      </c>
      <c r="K285" s="19">
        <f t="shared" si="51"/>
        <v>100</v>
      </c>
      <c r="L285" s="19">
        <f t="shared" si="52"/>
        <v>300</v>
      </c>
      <c r="M285" s="17">
        <f t="shared" si="53"/>
        <v>300</v>
      </c>
      <c r="N285" s="22">
        <f t="shared" si="54"/>
        <v>0.45567867036011078</v>
      </c>
      <c r="O285" s="22">
        <f t="shared" si="55"/>
        <v>2.7700831024930748E-3</v>
      </c>
      <c r="P285" s="22">
        <f t="shared" si="56"/>
        <v>0.45290858725761773</v>
      </c>
      <c r="Q285" t="str">
        <f t="shared" si="57"/>
        <v/>
      </c>
      <c r="S285">
        <f t="shared" si="58"/>
        <v>300.00097149999999</v>
      </c>
      <c r="T285" s="23">
        <f t="shared" si="59"/>
        <v>0.45388008725761775</v>
      </c>
    </row>
    <row r="286" spans="1:20" ht="15" customHeight="1" x14ac:dyDescent="0.35">
      <c r="A286" t="str">
        <f>Benchmarking!A286</f>
        <v>Ceridian HCM Holding Inc</v>
      </c>
      <c r="B286" t="str">
        <f>Benchmarking!B286</f>
        <v>cday</v>
      </c>
      <c r="C286" t="str">
        <f>Benchmarking!C286</f>
        <v>Technology</v>
      </c>
      <c r="D286" s="17">
        <f>Benchmarking!D286</f>
        <v>530</v>
      </c>
      <c r="E286" s="17">
        <f>Benchmarking!E286</f>
        <v>379</v>
      </c>
      <c r="F286" s="17">
        <f>Benchmarking!F286</f>
        <v>320</v>
      </c>
      <c r="G286" s="17">
        <f>Benchmarking!G286</f>
        <v>1229</v>
      </c>
      <c r="H286" t="str">
        <f t="shared" si="48"/>
        <v>Environmental</v>
      </c>
      <c r="I286" t="str">
        <f t="shared" si="49"/>
        <v>Governance</v>
      </c>
      <c r="J286" s="19">
        <f t="shared" si="50"/>
        <v>151</v>
      </c>
      <c r="K286" s="19">
        <f t="shared" si="51"/>
        <v>59</v>
      </c>
      <c r="L286" s="19">
        <f t="shared" si="52"/>
        <v>210</v>
      </c>
      <c r="M286" s="17">
        <f t="shared" si="53"/>
        <v>210</v>
      </c>
      <c r="N286" s="22">
        <f t="shared" si="54"/>
        <v>0.91689750692520777</v>
      </c>
      <c r="O286" s="22">
        <f t="shared" si="55"/>
        <v>0.79501385041551242</v>
      </c>
      <c r="P286" s="22">
        <f t="shared" si="56"/>
        <v>0.12188365650969535</v>
      </c>
      <c r="Q286" t="str">
        <f t="shared" si="57"/>
        <v/>
      </c>
      <c r="S286">
        <f t="shared" si="58"/>
        <v>210.0009714</v>
      </c>
      <c r="T286" s="23">
        <f t="shared" si="59"/>
        <v>0.12285505650969535</v>
      </c>
    </row>
    <row r="287" spans="1:20" ht="15" customHeight="1" x14ac:dyDescent="0.35">
      <c r="A287" t="str">
        <f>Benchmarking!A287</f>
        <v>Comerica Inc</v>
      </c>
      <c r="B287" t="str">
        <f>Benchmarking!B287</f>
        <v>cma</v>
      </c>
      <c r="C287" t="str">
        <f>Benchmarking!C287</f>
        <v>Banking</v>
      </c>
      <c r="D287" s="17">
        <f>Benchmarking!D287</f>
        <v>280</v>
      </c>
      <c r="E287" s="17">
        <f>Benchmarking!E287</f>
        <v>300</v>
      </c>
      <c r="F287" s="17">
        <f>Benchmarking!F287</f>
        <v>230</v>
      </c>
      <c r="G287" s="17">
        <f>Benchmarking!G287</f>
        <v>810</v>
      </c>
      <c r="H287" t="str">
        <f t="shared" si="48"/>
        <v>Social</v>
      </c>
      <c r="I287" t="str">
        <f t="shared" si="49"/>
        <v>Governance</v>
      </c>
      <c r="J287" s="19">
        <f t="shared" si="50"/>
        <v>-20</v>
      </c>
      <c r="K287" s="19">
        <f t="shared" si="51"/>
        <v>70</v>
      </c>
      <c r="L287" s="19">
        <f t="shared" si="52"/>
        <v>50</v>
      </c>
      <c r="M287" s="17">
        <f t="shared" si="53"/>
        <v>70</v>
      </c>
      <c r="N287" s="22">
        <f t="shared" si="54"/>
        <v>0.296398891966759</v>
      </c>
      <c r="O287" s="22">
        <f t="shared" si="55"/>
        <v>0.22991689750692521</v>
      </c>
      <c r="P287" s="22">
        <f t="shared" si="56"/>
        <v>6.6481994459833799E-2</v>
      </c>
      <c r="Q287" t="str">
        <f t="shared" si="57"/>
        <v/>
      </c>
      <c r="S287">
        <f t="shared" si="58"/>
        <v>70.000971300000003</v>
      </c>
      <c r="T287" s="23">
        <f t="shared" si="59"/>
        <v>6.7453294459833793E-2</v>
      </c>
    </row>
    <row r="288" spans="1:20" ht="15" customHeight="1" x14ac:dyDescent="0.35">
      <c r="A288" t="str">
        <f>Benchmarking!A288</f>
        <v>D R Horton Inc</v>
      </c>
      <c r="B288" t="str">
        <f>Benchmarking!B288</f>
        <v>dhi</v>
      </c>
      <c r="C288" t="str">
        <f>Benchmarking!C288</f>
        <v>Consumer products</v>
      </c>
      <c r="D288" s="17">
        <f>Benchmarking!D288</f>
        <v>250</v>
      </c>
      <c r="E288" s="17">
        <f>Benchmarking!E288</f>
        <v>271</v>
      </c>
      <c r="F288" s="17">
        <f>Benchmarking!F288</f>
        <v>205</v>
      </c>
      <c r="G288" s="17">
        <f>Benchmarking!G288</f>
        <v>726</v>
      </c>
      <c r="H288" t="str">
        <f t="shared" si="48"/>
        <v>Social</v>
      </c>
      <c r="I288" t="str">
        <f t="shared" si="49"/>
        <v>Governance</v>
      </c>
      <c r="J288" s="19">
        <f t="shared" si="50"/>
        <v>-21</v>
      </c>
      <c r="K288" s="19">
        <f t="shared" si="51"/>
        <v>66</v>
      </c>
      <c r="L288" s="19">
        <f t="shared" si="52"/>
        <v>45</v>
      </c>
      <c r="M288" s="17">
        <f t="shared" si="53"/>
        <v>66</v>
      </c>
      <c r="N288" s="22">
        <f t="shared" si="54"/>
        <v>0.19390581717451524</v>
      </c>
      <c r="O288" s="22">
        <f t="shared" si="55"/>
        <v>8.3102493074792241E-2</v>
      </c>
      <c r="P288" s="22">
        <f t="shared" si="56"/>
        <v>0.110803324099723</v>
      </c>
      <c r="Q288" t="str">
        <f t="shared" si="57"/>
        <v/>
      </c>
      <c r="S288">
        <f t="shared" si="58"/>
        <v>66.000971199999995</v>
      </c>
      <c r="T288" s="23">
        <f t="shared" si="59"/>
        <v>0.11177452409972301</v>
      </c>
    </row>
    <row r="289" spans="1:20" ht="15" customHeight="1" x14ac:dyDescent="0.35">
      <c r="A289" t="str">
        <f>Benchmarking!A289</f>
        <v>Dover Corp</v>
      </c>
      <c r="B289" t="str">
        <f>Benchmarking!B289</f>
        <v>dov</v>
      </c>
      <c r="C289" t="str">
        <f>Benchmarking!C289</f>
        <v>Machinery</v>
      </c>
      <c r="D289" s="17">
        <f>Benchmarking!D289</f>
        <v>500</v>
      </c>
      <c r="E289" s="17">
        <f>Benchmarking!E289</f>
        <v>320</v>
      </c>
      <c r="F289" s="17">
        <f>Benchmarking!F289</f>
        <v>305</v>
      </c>
      <c r="G289" s="17">
        <f>Benchmarking!G289</f>
        <v>1125</v>
      </c>
      <c r="H289" t="str">
        <f t="shared" si="48"/>
        <v>Environmental</v>
      </c>
      <c r="I289" t="str">
        <f t="shared" si="49"/>
        <v>Governance</v>
      </c>
      <c r="J289" s="19">
        <f t="shared" si="50"/>
        <v>180</v>
      </c>
      <c r="K289" s="19">
        <f t="shared" si="51"/>
        <v>15</v>
      </c>
      <c r="L289" s="19">
        <f t="shared" si="52"/>
        <v>195</v>
      </c>
      <c r="M289" s="17">
        <f t="shared" si="53"/>
        <v>195</v>
      </c>
      <c r="N289" s="22">
        <f t="shared" si="54"/>
        <v>0.67590027700831024</v>
      </c>
      <c r="O289" s="22">
        <f t="shared" si="55"/>
        <v>0.51246537396121883</v>
      </c>
      <c r="P289" s="22">
        <f t="shared" si="56"/>
        <v>0.16343490304709141</v>
      </c>
      <c r="Q289" t="str">
        <f t="shared" si="57"/>
        <v/>
      </c>
      <c r="S289">
        <f t="shared" si="58"/>
        <v>195.00097109999999</v>
      </c>
      <c r="T289" s="23">
        <f t="shared" si="59"/>
        <v>0.16440600304709141</v>
      </c>
    </row>
    <row r="290" spans="1:20" ht="15" customHeight="1" x14ac:dyDescent="0.35">
      <c r="A290" t="str">
        <f>Benchmarking!A290</f>
        <v>Darden Restaurants Inc</v>
      </c>
      <c r="B290" t="str">
        <f>Benchmarking!B290</f>
        <v>dri</v>
      </c>
      <c r="C290" t="str">
        <f>Benchmarking!C290</f>
        <v>Hotels Restaurants &amp; Leisure</v>
      </c>
      <c r="D290" s="17">
        <f>Benchmarking!D290</f>
        <v>515</v>
      </c>
      <c r="E290" s="17">
        <f>Benchmarking!E290</f>
        <v>309</v>
      </c>
      <c r="F290" s="17">
        <f>Benchmarking!F290</f>
        <v>300</v>
      </c>
      <c r="G290" s="17">
        <f>Benchmarking!G290</f>
        <v>1124</v>
      </c>
      <c r="H290" t="str">
        <f t="shared" si="48"/>
        <v>Environmental</v>
      </c>
      <c r="I290" t="str">
        <f t="shared" si="49"/>
        <v>Governance</v>
      </c>
      <c r="J290" s="19">
        <f t="shared" si="50"/>
        <v>206</v>
      </c>
      <c r="K290" s="19">
        <f t="shared" si="51"/>
        <v>9</v>
      </c>
      <c r="L290" s="19">
        <f t="shared" si="52"/>
        <v>215</v>
      </c>
      <c r="M290" s="17">
        <f t="shared" si="53"/>
        <v>215</v>
      </c>
      <c r="N290" s="22">
        <f t="shared" si="54"/>
        <v>0.67451523545706371</v>
      </c>
      <c r="O290" s="22">
        <f t="shared" si="55"/>
        <v>0.39335180055401664</v>
      </c>
      <c r="P290" s="22">
        <f t="shared" si="56"/>
        <v>0.28116343490304707</v>
      </c>
      <c r="Q290" t="str">
        <f t="shared" si="57"/>
        <v/>
      </c>
      <c r="S290">
        <f t="shared" si="58"/>
        <v>215.00097099999999</v>
      </c>
      <c r="T290" s="23">
        <f t="shared" si="59"/>
        <v>0.28213443490304707</v>
      </c>
    </row>
    <row r="291" spans="1:20" ht="15" customHeight="1" x14ac:dyDescent="0.35">
      <c r="A291" t="str">
        <f>Benchmarking!A291</f>
        <v>Celanese Corp</v>
      </c>
      <c r="B291" t="str">
        <f>Benchmarking!B291</f>
        <v>ce</v>
      </c>
      <c r="C291" t="str">
        <f>Benchmarking!C291</f>
        <v>Chemicals</v>
      </c>
      <c r="D291" s="17">
        <f>Benchmarking!D291</f>
        <v>500</v>
      </c>
      <c r="E291" s="17">
        <f>Benchmarking!E291</f>
        <v>319</v>
      </c>
      <c r="F291" s="17">
        <f>Benchmarking!F291</f>
        <v>300</v>
      </c>
      <c r="G291" s="17">
        <f>Benchmarking!G291</f>
        <v>1119</v>
      </c>
      <c r="H291" t="str">
        <f t="shared" si="48"/>
        <v>Environmental</v>
      </c>
      <c r="I291" t="str">
        <f t="shared" si="49"/>
        <v>Governance</v>
      </c>
      <c r="J291" s="19">
        <f t="shared" si="50"/>
        <v>181</v>
      </c>
      <c r="K291" s="19">
        <f t="shared" si="51"/>
        <v>19</v>
      </c>
      <c r="L291" s="19">
        <f t="shared" si="52"/>
        <v>200</v>
      </c>
      <c r="M291" s="17">
        <f t="shared" si="53"/>
        <v>200</v>
      </c>
      <c r="N291" s="22">
        <f t="shared" si="54"/>
        <v>0.65927977839335183</v>
      </c>
      <c r="O291" s="22">
        <f t="shared" si="55"/>
        <v>0.39335180055401664</v>
      </c>
      <c r="P291" s="22">
        <f t="shared" si="56"/>
        <v>0.26592797783933519</v>
      </c>
      <c r="Q291" t="str">
        <f t="shared" si="57"/>
        <v/>
      </c>
      <c r="S291">
        <f t="shared" si="58"/>
        <v>200.0009709</v>
      </c>
      <c r="T291" s="23">
        <f t="shared" si="59"/>
        <v>0.26689887783933519</v>
      </c>
    </row>
    <row r="292" spans="1:20" ht="15" customHeight="1" x14ac:dyDescent="0.35">
      <c r="A292" t="str">
        <f>Benchmarking!A292</f>
        <v>Dollar General Corp</v>
      </c>
      <c r="B292" t="str">
        <f>Benchmarking!B292</f>
        <v>dg</v>
      </c>
      <c r="C292" t="str">
        <f>Benchmarking!C292</f>
        <v>Retail</v>
      </c>
      <c r="D292" s="17">
        <f>Benchmarking!D292</f>
        <v>247</v>
      </c>
      <c r="E292" s="17">
        <f>Benchmarking!E292</f>
        <v>222</v>
      </c>
      <c r="F292" s="17">
        <f>Benchmarking!F292</f>
        <v>200</v>
      </c>
      <c r="G292" s="17">
        <f>Benchmarking!G292</f>
        <v>669</v>
      </c>
      <c r="H292" t="str">
        <f t="shared" si="48"/>
        <v>Environmental</v>
      </c>
      <c r="I292" t="str">
        <f t="shared" si="49"/>
        <v>Governance</v>
      </c>
      <c r="J292" s="19">
        <f t="shared" si="50"/>
        <v>25</v>
      </c>
      <c r="K292" s="19">
        <f t="shared" si="51"/>
        <v>22</v>
      </c>
      <c r="L292" s="19">
        <f t="shared" si="52"/>
        <v>47</v>
      </c>
      <c r="M292" s="17">
        <f t="shared" si="53"/>
        <v>47</v>
      </c>
      <c r="N292" s="22">
        <f t="shared" si="54"/>
        <v>0.12880886426592797</v>
      </c>
      <c r="O292" s="22">
        <f t="shared" si="55"/>
        <v>2.7700831024930748E-3</v>
      </c>
      <c r="P292" s="22">
        <f t="shared" si="56"/>
        <v>0.12603878116343489</v>
      </c>
      <c r="Q292" t="str">
        <f t="shared" si="57"/>
        <v/>
      </c>
      <c r="S292">
        <f t="shared" si="58"/>
        <v>47.000970799999997</v>
      </c>
      <c r="T292" s="23">
        <f t="shared" si="59"/>
        <v>0.12700958116343489</v>
      </c>
    </row>
    <row r="293" spans="1:20" ht="15" customHeight="1" x14ac:dyDescent="0.35">
      <c r="A293" t="str">
        <f>Benchmarking!A293</f>
        <v>Chipotle Mexican Grill Inc</v>
      </c>
      <c r="B293" t="str">
        <f>Benchmarking!B293</f>
        <v>cmg</v>
      </c>
      <c r="C293" t="str">
        <f>Benchmarking!C293</f>
        <v>Hotels Restaurants &amp; Leisure</v>
      </c>
      <c r="D293" s="17">
        <f>Benchmarking!D293</f>
        <v>210</v>
      </c>
      <c r="E293" s="17">
        <f>Benchmarking!E293</f>
        <v>241</v>
      </c>
      <c r="F293" s="17">
        <f>Benchmarking!F293</f>
        <v>213</v>
      </c>
      <c r="G293" s="17">
        <f>Benchmarking!G293</f>
        <v>664</v>
      </c>
      <c r="H293" t="str">
        <f t="shared" si="48"/>
        <v>Social</v>
      </c>
      <c r="I293" t="str">
        <f t="shared" si="49"/>
        <v>Environmental</v>
      </c>
      <c r="J293" s="19">
        <f t="shared" si="50"/>
        <v>-31</v>
      </c>
      <c r="K293" s="19">
        <f t="shared" si="51"/>
        <v>28</v>
      </c>
      <c r="L293" s="19">
        <f t="shared" si="52"/>
        <v>-3</v>
      </c>
      <c r="M293" s="17">
        <f t="shared" si="53"/>
        <v>31</v>
      </c>
      <c r="N293" s="22">
        <f t="shared" si="54"/>
        <v>0.12049861495844875</v>
      </c>
      <c r="O293" s="22">
        <f t="shared" si="55"/>
        <v>9.141274238227147E-2</v>
      </c>
      <c r="P293" s="22">
        <f t="shared" si="56"/>
        <v>2.9085872576177285E-2</v>
      </c>
      <c r="Q293" t="str">
        <f t="shared" si="57"/>
        <v/>
      </c>
      <c r="S293">
        <f t="shared" si="58"/>
        <v>31.0009707</v>
      </c>
      <c r="T293" s="23">
        <f t="shared" si="59"/>
        <v>3.0056572576177287E-2</v>
      </c>
    </row>
    <row r="294" spans="1:20" ht="15" customHeight="1" x14ac:dyDescent="0.35">
      <c r="A294" t="str">
        <f>Benchmarking!A294</f>
        <v>Quest Diagnostics Inc</v>
      </c>
      <c r="B294" t="str">
        <f>Benchmarking!B294</f>
        <v>dgx</v>
      </c>
      <c r="C294" t="str">
        <f>Benchmarking!C294</f>
        <v>Health Care</v>
      </c>
      <c r="D294" s="17">
        <f>Benchmarking!D294</f>
        <v>230</v>
      </c>
      <c r="E294" s="17">
        <f>Benchmarking!E294</f>
        <v>300</v>
      </c>
      <c r="F294" s="17">
        <f>Benchmarking!F294</f>
        <v>205</v>
      </c>
      <c r="G294" s="17">
        <f>Benchmarking!G294</f>
        <v>735</v>
      </c>
      <c r="H294" t="str">
        <f t="shared" si="48"/>
        <v>Social</v>
      </c>
      <c r="I294" t="str">
        <f t="shared" si="49"/>
        <v>Governance</v>
      </c>
      <c r="J294" s="19">
        <f t="shared" si="50"/>
        <v>-70</v>
      </c>
      <c r="K294" s="19">
        <f t="shared" si="51"/>
        <v>95</v>
      </c>
      <c r="L294" s="19">
        <f t="shared" si="52"/>
        <v>25</v>
      </c>
      <c r="M294" s="17">
        <f t="shared" si="53"/>
        <v>95</v>
      </c>
      <c r="N294" s="22">
        <f t="shared" si="54"/>
        <v>0.203601108033241</v>
      </c>
      <c r="O294" s="22">
        <f t="shared" si="55"/>
        <v>8.3102493074792241E-2</v>
      </c>
      <c r="P294" s="22">
        <f t="shared" si="56"/>
        <v>0.12049861495844875</v>
      </c>
      <c r="Q294" t="str">
        <f t="shared" si="57"/>
        <v/>
      </c>
      <c r="S294">
        <f t="shared" si="58"/>
        <v>95.000970600000002</v>
      </c>
      <c r="T294" s="23">
        <f t="shared" si="59"/>
        <v>0.12146921495844876</v>
      </c>
    </row>
    <row r="295" spans="1:20" ht="15" customHeight="1" x14ac:dyDescent="0.35">
      <c r="A295" t="str">
        <f>Benchmarking!A295</f>
        <v>Carnival Corp</v>
      </c>
      <c r="B295" t="str">
        <f>Benchmarking!B295</f>
        <v>ccl</v>
      </c>
      <c r="C295" t="str">
        <f>Benchmarking!C295</f>
        <v>Hotels Restaurants &amp; Leisure</v>
      </c>
      <c r="D295" s="17">
        <f>Benchmarking!D295</f>
        <v>515</v>
      </c>
      <c r="E295" s="17">
        <f>Benchmarking!E295</f>
        <v>326</v>
      </c>
      <c r="F295" s="17">
        <f>Benchmarking!F295</f>
        <v>320</v>
      </c>
      <c r="G295" s="17">
        <f>Benchmarking!G295</f>
        <v>1161</v>
      </c>
      <c r="H295" t="str">
        <f t="shared" si="48"/>
        <v>Environmental</v>
      </c>
      <c r="I295" t="str">
        <f t="shared" si="49"/>
        <v>Governance</v>
      </c>
      <c r="J295" s="19">
        <f t="shared" si="50"/>
        <v>189</v>
      </c>
      <c r="K295" s="19">
        <f t="shared" si="51"/>
        <v>6</v>
      </c>
      <c r="L295" s="19">
        <f t="shared" si="52"/>
        <v>195</v>
      </c>
      <c r="M295" s="17">
        <f t="shared" si="53"/>
        <v>195</v>
      </c>
      <c r="N295" s="22">
        <f t="shared" si="54"/>
        <v>0.80193905817174516</v>
      </c>
      <c r="O295" s="22">
        <f t="shared" si="55"/>
        <v>0.70914127423822715</v>
      </c>
      <c r="P295" s="22">
        <f t="shared" si="56"/>
        <v>9.2797783933518008E-2</v>
      </c>
      <c r="Q295" t="str">
        <f t="shared" si="57"/>
        <v/>
      </c>
      <c r="S295">
        <f t="shared" si="58"/>
        <v>195.00097049999999</v>
      </c>
      <c r="T295" s="23">
        <f t="shared" si="59"/>
        <v>9.3768283933518007E-2</v>
      </c>
    </row>
    <row r="296" spans="1:20" ht="15" customHeight="1" x14ac:dyDescent="0.35">
      <c r="A296" t="str">
        <f>Benchmarking!A296</f>
        <v>Church &amp; Dwight Co Inc</v>
      </c>
      <c r="B296" t="str">
        <f>Benchmarking!B296</f>
        <v>chd</v>
      </c>
      <c r="C296" t="str">
        <f>Benchmarking!C296</f>
        <v>Consumer products</v>
      </c>
      <c r="D296" s="17">
        <f>Benchmarking!D296</f>
        <v>578</v>
      </c>
      <c r="E296" s="17">
        <f>Benchmarking!E296</f>
        <v>341</v>
      </c>
      <c r="F296" s="17">
        <f>Benchmarking!F296</f>
        <v>348</v>
      </c>
      <c r="G296" s="17">
        <f>Benchmarking!G296</f>
        <v>1267</v>
      </c>
      <c r="H296" t="str">
        <f t="shared" si="48"/>
        <v>Environmental</v>
      </c>
      <c r="I296" t="str">
        <f t="shared" si="49"/>
        <v>Social</v>
      </c>
      <c r="J296" s="19">
        <f t="shared" si="50"/>
        <v>237</v>
      </c>
      <c r="K296" s="19">
        <f t="shared" si="51"/>
        <v>-7</v>
      </c>
      <c r="L296" s="19">
        <f t="shared" si="52"/>
        <v>230</v>
      </c>
      <c r="M296" s="17">
        <f t="shared" si="53"/>
        <v>237</v>
      </c>
      <c r="N296" s="22">
        <f t="shared" si="54"/>
        <v>0.94875346260387816</v>
      </c>
      <c r="O296" s="22">
        <f t="shared" si="55"/>
        <v>0.86703601108033246</v>
      </c>
      <c r="P296" s="22">
        <f t="shared" si="56"/>
        <v>8.1717451523545703E-2</v>
      </c>
      <c r="Q296" t="str">
        <f t="shared" si="57"/>
        <v/>
      </c>
      <c r="S296">
        <f t="shared" si="58"/>
        <v>237.0009704</v>
      </c>
      <c r="T296" s="23">
        <f t="shared" si="59"/>
        <v>8.26878515235457E-2</v>
      </c>
    </row>
    <row r="297" spans="1:20" ht="15" customHeight="1" x14ac:dyDescent="0.35">
      <c r="A297" t="str">
        <f>Benchmarking!A297</f>
        <v>Dow Inc</v>
      </c>
      <c r="B297" t="str">
        <f>Benchmarking!B297</f>
        <v>dow</v>
      </c>
      <c r="C297" t="str">
        <f>Benchmarking!C297</f>
        <v>Chemicals</v>
      </c>
      <c r="D297" s="17">
        <f>Benchmarking!D297</f>
        <v>225</v>
      </c>
      <c r="E297" s="17">
        <f>Benchmarking!E297</f>
        <v>201</v>
      </c>
      <c r="F297" s="17">
        <f>Benchmarking!F297</f>
        <v>200</v>
      </c>
      <c r="G297" s="17">
        <f>Benchmarking!G297</f>
        <v>626</v>
      </c>
      <c r="H297" t="str">
        <f t="shared" si="48"/>
        <v>Environmental</v>
      </c>
      <c r="I297" t="str">
        <f t="shared" si="49"/>
        <v>Governance</v>
      </c>
      <c r="J297" s="19">
        <f t="shared" si="50"/>
        <v>24</v>
      </c>
      <c r="K297" s="19">
        <f t="shared" si="51"/>
        <v>1</v>
      </c>
      <c r="L297" s="19">
        <f t="shared" si="52"/>
        <v>25</v>
      </c>
      <c r="M297" s="17">
        <f t="shared" si="53"/>
        <v>25</v>
      </c>
      <c r="N297" s="22">
        <f t="shared" si="54"/>
        <v>5.1246537396121887E-2</v>
      </c>
      <c r="O297" s="22">
        <f t="shared" si="55"/>
        <v>2.7700831024930748E-3</v>
      </c>
      <c r="P297" s="22">
        <f t="shared" si="56"/>
        <v>4.8476454293628811E-2</v>
      </c>
      <c r="Q297" t="str">
        <f t="shared" si="57"/>
        <v/>
      </c>
      <c r="S297">
        <f t="shared" si="58"/>
        <v>25.000970299999999</v>
      </c>
      <c r="T297" s="23">
        <f t="shared" si="59"/>
        <v>4.9446754293628811E-2</v>
      </c>
    </row>
    <row r="298" spans="1:20" ht="15" customHeight="1" x14ac:dyDescent="0.35">
      <c r="A298" t="str">
        <f>Benchmarking!A298</f>
        <v>Discover Financial Services</v>
      </c>
      <c r="B298" t="str">
        <f>Benchmarking!B298</f>
        <v>dfs</v>
      </c>
      <c r="C298" t="str">
        <f>Benchmarking!C298</f>
        <v>Financial Services</v>
      </c>
      <c r="D298" s="17">
        <f>Benchmarking!D298</f>
        <v>335</v>
      </c>
      <c r="E298" s="17">
        <f>Benchmarking!E298</f>
        <v>321</v>
      </c>
      <c r="F298" s="17">
        <f>Benchmarking!F298</f>
        <v>313</v>
      </c>
      <c r="G298" s="17">
        <f>Benchmarking!G298</f>
        <v>969</v>
      </c>
      <c r="H298" t="str">
        <f t="shared" si="48"/>
        <v>Environmental</v>
      </c>
      <c r="I298" t="str">
        <f t="shared" si="49"/>
        <v>Governance</v>
      </c>
      <c r="J298" s="19">
        <f t="shared" si="50"/>
        <v>14</v>
      </c>
      <c r="K298" s="19">
        <f t="shared" si="51"/>
        <v>8</v>
      </c>
      <c r="L298" s="19">
        <f t="shared" si="52"/>
        <v>22</v>
      </c>
      <c r="M298" s="17">
        <f t="shared" si="53"/>
        <v>22</v>
      </c>
      <c r="N298" s="22">
        <f t="shared" si="54"/>
        <v>0.4376731301939058</v>
      </c>
      <c r="O298" s="22">
        <f t="shared" si="55"/>
        <v>0.38919667590027701</v>
      </c>
      <c r="P298" s="22">
        <f t="shared" si="56"/>
        <v>4.847645429362879E-2</v>
      </c>
      <c r="Q298" t="str">
        <f t="shared" si="57"/>
        <v/>
      </c>
      <c r="S298">
        <f t="shared" si="58"/>
        <v>22.000970200000001</v>
      </c>
      <c r="T298" s="23">
        <f t="shared" si="59"/>
        <v>4.9446654293628788E-2</v>
      </c>
    </row>
    <row r="299" spans="1:20" ht="15" customHeight="1" x14ac:dyDescent="0.35">
      <c r="A299" t="str">
        <f>Benchmarking!A299</f>
        <v>Duke Energy Corp</v>
      </c>
      <c r="B299" t="str">
        <f>Benchmarking!B299</f>
        <v>duk</v>
      </c>
      <c r="C299" t="str">
        <f>Benchmarking!C299</f>
        <v>Utilities</v>
      </c>
      <c r="D299" s="17">
        <f>Benchmarking!D299</f>
        <v>604</v>
      </c>
      <c r="E299" s="17">
        <f>Benchmarking!E299</f>
        <v>362</v>
      </c>
      <c r="F299" s="17">
        <f>Benchmarking!F299</f>
        <v>328</v>
      </c>
      <c r="G299" s="17">
        <f>Benchmarking!G299</f>
        <v>1294</v>
      </c>
      <c r="H299" t="str">
        <f t="shared" si="48"/>
        <v>Environmental</v>
      </c>
      <c r="I299" t="str">
        <f t="shared" si="49"/>
        <v>Governance</v>
      </c>
      <c r="J299" s="19">
        <f t="shared" si="50"/>
        <v>242</v>
      </c>
      <c r="K299" s="19">
        <f t="shared" si="51"/>
        <v>34</v>
      </c>
      <c r="L299" s="19">
        <f t="shared" si="52"/>
        <v>276</v>
      </c>
      <c r="M299" s="17">
        <f t="shared" si="53"/>
        <v>276</v>
      </c>
      <c r="N299" s="22">
        <f t="shared" si="54"/>
        <v>0.96537396121883656</v>
      </c>
      <c r="O299" s="22">
        <f t="shared" si="55"/>
        <v>0.93213296398891965</v>
      </c>
      <c r="P299" s="22">
        <f t="shared" si="56"/>
        <v>3.3240997229916913E-2</v>
      </c>
      <c r="Q299" t="str">
        <f t="shared" si="57"/>
        <v/>
      </c>
      <c r="S299">
        <f t="shared" si="58"/>
        <v>276.00097010000002</v>
      </c>
      <c r="T299" s="23">
        <f t="shared" si="59"/>
        <v>3.4211097229916915E-2</v>
      </c>
    </row>
    <row r="300" spans="1:20" ht="15" customHeight="1" x14ac:dyDescent="0.35">
      <c r="A300" t="str">
        <f>Benchmarking!A300</f>
        <v>Duke Realty Corp</v>
      </c>
      <c r="B300" t="str">
        <f>Benchmarking!B300</f>
        <v>dre</v>
      </c>
      <c r="C300" t="str">
        <f>Benchmarking!C300</f>
        <v>Real Estate</v>
      </c>
      <c r="D300" s="17">
        <f>Benchmarking!D300</f>
        <v>540</v>
      </c>
      <c r="E300" s="17">
        <f>Benchmarking!E300</f>
        <v>313</v>
      </c>
      <c r="F300" s="17">
        <f>Benchmarking!F300</f>
        <v>300</v>
      </c>
      <c r="G300" s="17">
        <f>Benchmarking!G300</f>
        <v>1153</v>
      </c>
      <c r="H300" t="str">
        <f t="shared" si="48"/>
        <v>Environmental</v>
      </c>
      <c r="I300" t="str">
        <f t="shared" si="49"/>
        <v>Governance</v>
      </c>
      <c r="J300" s="19">
        <f t="shared" si="50"/>
        <v>227</v>
      </c>
      <c r="K300" s="19">
        <f t="shared" si="51"/>
        <v>13</v>
      </c>
      <c r="L300" s="19">
        <f t="shared" si="52"/>
        <v>240</v>
      </c>
      <c r="M300" s="17">
        <f t="shared" si="53"/>
        <v>240</v>
      </c>
      <c r="N300" s="22">
        <f t="shared" si="54"/>
        <v>0.7770083102493075</v>
      </c>
      <c r="O300" s="22">
        <f t="shared" si="55"/>
        <v>0.39335180055401664</v>
      </c>
      <c r="P300" s="22">
        <f t="shared" si="56"/>
        <v>0.38365650969529086</v>
      </c>
      <c r="Q300" t="str">
        <f t="shared" si="57"/>
        <v/>
      </c>
      <c r="S300">
        <f t="shared" si="58"/>
        <v>240.00097</v>
      </c>
      <c r="T300" s="23">
        <f t="shared" si="59"/>
        <v>0.38462650969529089</v>
      </c>
    </row>
    <row r="301" spans="1:20" ht="15" customHeight="1" x14ac:dyDescent="0.35">
      <c r="A301" t="str">
        <f>Benchmarking!A301</f>
        <v>CF Industries Holdings Inc</v>
      </c>
      <c r="B301" t="str">
        <f>Benchmarking!B301</f>
        <v>cf</v>
      </c>
      <c r="C301" t="str">
        <f>Benchmarking!C301</f>
        <v>Chemicals</v>
      </c>
      <c r="D301" s="17">
        <f>Benchmarking!D301</f>
        <v>525</v>
      </c>
      <c r="E301" s="17">
        <f>Benchmarking!E301</f>
        <v>307</v>
      </c>
      <c r="F301" s="17">
        <f>Benchmarking!F301</f>
        <v>310</v>
      </c>
      <c r="G301" s="17">
        <f>Benchmarking!G301</f>
        <v>1142</v>
      </c>
      <c r="H301" t="str">
        <f t="shared" si="48"/>
        <v>Environmental</v>
      </c>
      <c r="I301" t="str">
        <f t="shared" si="49"/>
        <v>Social</v>
      </c>
      <c r="J301" s="19">
        <f t="shared" si="50"/>
        <v>218</v>
      </c>
      <c r="K301" s="19">
        <f t="shared" si="51"/>
        <v>-3</v>
      </c>
      <c r="L301" s="19">
        <f t="shared" si="52"/>
        <v>215</v>
      </c>
      <c r="M301" s="17">
        <f t="shared" si="53"/>
        <v>218</v>
      </c>
      <c r="N301" s="22">
        <f t="shared" si="54"/>
        <v>0.74238227146814406</v>
      </c>
      <c r="O301" s="22">
        <f t="shared" si="55"/>
        <v>0.5983379501385041</v>
      </c>
      <c r="P301" s="22">
        <f t="shared" si="56"/>
        <v>0.14404432132963996</v>
      </c>
      <c r="Q301" t="str">
        <f t="shared" si="57"/>
        <v/>
      </c>
      <c r="S301">
        <f t="shared" si="58"/>
        <v>218.0009699</v>
      </c>
      <c r="T301" s="23">
        <f t="shared" si="59"/>
        <v>0.14501422132963995</v>
      </c>
    </row>
    <row r="302" spans="1:20" ht="15" customHeight="1" x14ac:dyDescent="0.35">
      <c r="A302" t="str">
        <f>Benchmarking!A302</f>
        <v>Devon Energy Corp</v>
      </c>
      <c r="B302" t="str">
        <f>Benchmarking!B302</f>
        <v>dvn</v>
      </c>
      <c r="C302" t="str">
        <f>Benchmarking!C302</f>
        <v>Energy</v>
      </c>
      <c r="D302" s="17">
        <f>Benchmarking!D302</f>
        <v>570</v>
      </c>
      <c r="E302" s="17">
        <f>Benchmarking!E302</f>
        <v>301</v>
      </c>
      <c r="F302" s="17">
        <f>Benchmarking!F302</f>
        <v>300</v>
      </c>
      <c r="G302" s="17">
        <f>Benchmarking!G302</f>
        <v>1171</v>
      </c>
      <c r="H302" t="str">
        <f t="shared" si="48"/>
        <v>Environmental</v>
      </c>
      <c r="I302" t="str">
        <f t="shared" si="49"/>
        <v>Governance</v>
      </c>
      <c r="J302" s="19">
        <f t="shared" si="50"/>
        <v>269</v>
      </c>
      <c r="K302" s="19">
        <f t="shared" si="51"/>
        <v>1</v>
      </c>
      <c r="L302" s="19">
        <f t="shared" si="52"/>
        <v>270</v>
      </c>
      <c r="M302" s="17">
        <f t="shared" si="53"/>
        <v>270</v>
      </c>
      <c r="N302" s="22">
        <f t="shared" si="54"/>
        <v>0.82825484764542934</v>
      </c>
      <c r="O302" s="22">
        <f t="shared" si="55"/>
        <v>0.39335180055401664</v>
      </c>
      <c r="P302" s="22">
        <f t="shared" si="56"/>
        <v>0.4349030470914127</v>
      </c>
      <c r="Q302" t="str">
        <f t="shared" si="57"/>
        <v>High ESG / weak pillar (analytical flag - not an ESG rating) - warrants investigation</v>
      </c>
      <c r="S302">
        <f t="shared" si="58"/>
        <v>270.00096980000001</v>
      </c>
      <c r="T302" s="23">
        <f t="shared" si="59"/>
        <v>0.43587284709141272</v>
      </c>
    </row>
    <row r="303" spans="1:20" ht="15" customHeight="1" x14ac:dyDescent="0.35">
      <c r="A303" t="str">
        <f>Benchmarking!A303</f>
        <v>Ecolab Inc</v>
      </c>
      <c r="B303" t="str">
        <f>Benchmarking!B303</f>
        <v>ecl</v>
      </c>
      <c r="C303" t="str">
        <f>Benchmarking!C303</f>
        <v>Chemicals</v>
      </c>
      <c r="D303" s="17">
        <f>Benchmarking!D303</f>
        <v>547</v>
      </c>
      <c r="E303" s="17">
        <f>Benchmarking!E303</f>
        <v>373</v>
      </c>
      <c r="F303" s="17">
        <f>Benchmarking!F303</f>
        <v>325</v>
      </c>
      <c r="G303" s="17">
        <f>Benchmarking!G303</f>
        <v>1245</v>
      </c>
      <c r="H303" t="str">
        <f t="shared" si="48"/>
        <v>Environmental</v>
      </c>
      <c r="I303" t="str">
        <f t="shared" si="49"/>
        <v>Governance</v>
      </c>
      <c r="J303" s="19">
        <f t="shared" si="50"/>
        <v>174</v>
      </c>
      <c r="K303" s="19">
        <f t="shared" si="51"/>
        <v>48</v>
      </c>
      <c r="L303" s="19">
        <f t="shared" si="52"/>
        <v>222</v>
      </c>
      <c r="M303" s="17">
        <f t="shared" si="53"/>
        <v>222</v>
      </c>
      <c r="N303" s="22">
        <f t="shared" si="54"/>
        <v>0.93213296398891965</v>
      </c>
      <c r="O303" s="22">
        <f t="shared" si="55"/>
        <v>0.86980609418282551</v>
      </c>
      <c r="P303" s="22">
        <f t="shared" si="56"/>
        <v>6.2326869806094143E-2</v>
      </c>
      <c r="Q303" t="str">
        <f t="shared" si="57"/>
        <v/>
      </c>
      <c r="S303">
        <f t="shared" si="58"/>
        <v>222.00096970000001</v>
      </c>
      <c r="T303" s="23">
        <f t="shared" si="59"/>
        <v>6.3296569806094147E-2</v>
      </c>
    </row>
    <row r="304" spans="1:20" ht="15" customHeight="1" x14ac:dyDescent="0.35">
      <c r="A304" t="str">
        <f>Benchmarking!A304</f>
        <v>Home Depot Inc</v>
      </c>
      <c r="B304" t="str">
        <f>Benchmarking!B304</f>
        <v>hd</v>
      </c>
      <c r="C304" t="str">
        <f>Benchmarking!C304</f>
        <v>Retail</v>
      </c>
      <c r="D304" s="17">
        <f>Benchmarking!D304</f>
        <v>230</v>
      </c>
      <c r="E304" s="17">
        <f>Benchmarking!E304</f>
        <v>317</v>
      </c>
      <c r="F304" s="17">
        <f>Benchmarking!F304</f>
        <v>205</v>
      </c>
      <c r="G304" s="17">
        <f>Benchmarking!G304</f>
        <v>752</v>
      </c>
      <c r="H304" t="str">
        <f t="shared" si="48"/>
        <v>Social</v>
      </c>
      <c r="I304" t="str">
        <f t="shared" si="49"/>
        <v>Governance</v>
      </c>
      <c r="J304" s="19">
        <f t="shared" si="50"/>
        <v>-87</v>
      </c>
      <c r="K304" s="19">
        <f t="shared" si="51"/>
        <v>112</v>
      </c>
      <c r="L304" s="19">
        <f t="shared" si="52"/>
        <v>25</v>
      </c>
      <c r="M304" s="17">
        <f t="shared" si="53"/>
        <v>112</v>
      </c>
      <c r="N304" s="22">
        <f t="shared" si="54"/>
        <v>0.23822714681440443</v>
      </c>
      <c r="O304" s="22">
        <f t="shared" si="55"/>
        <v>8.3102493074792241E-2</v>
      </c>
      <c r="P304" s="22">
        <f t="shared" si="56"/>
        <v>0.15512465373961221</v>
      </c>
      <c r="Q304" t="str">
        <f t="shared" si="57"/>
        <v/>
      </c>
      <c r="S304">
        <f t="shared" si="58"/>
        <v>112.0009696</v>
      </c>
      <c r="T304" s="23">
        <f t="shared" si="59"/>
        <v>0.15609425373961219</v>
      </c>
    </row>
    <row r="305" spans="1:20" ht="15" customHeight="1" x14ac:dyDescent="0.35">
      <c r="A305" t="str">
        <f>Benchmarking!A305</f>
        <v>DTE Energy Co</v>
      </c>
      <c r="B305" t="str">
        <f>Benchmarking!B305</f>
        <v>dte</v>
      </c>
      <c r="C305" t="str">
        <f>Benchmarking!C305</f>
        <v>Utilities</v>
      </c>
      <c r="D305" s="17">
        <f>Benchmarking!D305</f>
        <v>592</v>
      </c>
      <c r="E305" s="17">
        <f>Benchmarking!E305</f>
        <v>313</v>
      </c>
      <c r="F305" s="17">
        <f>Benchmarking!F305</f>
        <v>210</v>
      </c>
      <c r="G305" s="17">
        <f>Benchmarking!G305</f>
        <v>1115</v>
      </c>
      <c r="H305" t="str">
        <f t="shared" si="48"/>
        <v>Environmental</v>
      </c>
      <c r="I305" t="str">
        <f t="shared" si="49"/>
        <v>Governance</v>
      </c>
      <c r="J305" s="19">
        <f t="shared" si="50"/>
        <v>279</v>
      </c>
      <c r="K305" s="19">
        <f t="shared" si="51"/>
        <v>103</v>
      </c>
      <c r="L305" s="19">
        <f t="shared" si="52"/>
        <v>382</v>
      </c>
      <c r="M305" s="17">
        <f t="shared" si="53"/>
        <v>382</v>
      </c>
      <c r="N305" s="22">
        <f t="shared" si="54"/>
        <v>0.64958448753462605</v>
      </c>
      <c r="O305" s="22">
        <f t="shared" si="55"/>
        <v>0.12049861495844875</v>
      </c>
      <c r="P305" s="22">
        <f t="shared" si="56"/>
        <v>0.52908587257617734</v>
      </c>
      <c r="Q305" t="str">
        <f t="shared" si="57"/>
        <v/>
      </c>
      <c r="S305">
        <f t="shared" si="58"/>
        <v>382.0009695</v>
      </c>
      <c r="T305" s="23">
        <f t="shared" si="59"/>
        <v>0.5300553725761773</v>
      </c>
    </row>
    <row r="306" spans="1:20" ht="15" customHeight="1" x14ac:dyDescent="0.35">
      <c r="A306" t="str">
        <f>Benchmarking!A306</f>
        <v>Edison International</v>
      </c>
      <c r="B306" t="str">
        <f>Benchmarking!B306</f>
        <v>eix</v>
      </c>
      <c r="C306" t="str">
        <f>Benchmarking!C306</f>
        <v>Utilities</v>
      </c>
      <c r="D306" s="17">
        <f>Benchmarking!D306</f>
        <v>700</v>
      </c>
      <c r="E306" s="17">
        <f>Benchmarking!E306</f>
        <v>513</v>
      </c>
      <c r="F306" s="17">
        <f>Benchmarking!F306</f>
        <v>315</v>
      </c>
      <c r="G306" s="17">
        <f>Benchmarking!G306</f>
        <v>1528</v>
      </c>
      <c r="H306" t="str">
        <f t="shared" si="48"/>
        <v>Environmental</v>
      </c>
      <c r="I306" t="str">
        <f t="shared" si="49"/>
        <v>Governance</v>
      </c>
      <c r="J306" s="19">
        <f t="shared" si="50"/>
        <v>187</v>
      </c>
      <c r="K306" s="19">
        <f t="shared" si="51"/>
        <v>198</v>
      </c>
      <c r="L306" s="19">
        <f t="shared" si="52"/>
        <v>385</v>
      </c>
      <c r="M306" s="17">
        <f t="shared" si="53"/>
        <v>385</v>
      </c>
      <c r="N306" s="22">
        <f t="shared" si="54"/>
        <v>0.99722991689750695</v>
      </c>
      <c r="O306" s="22">
        <f t="shared" si="55"/>
        <v>0.82548476454293629</v>
      </c>
      <c r="P306" s="22">
        <f t="shared" si="56"/>
        <v>0.17174515235457066</v>
      </c>
      <c r="Q306" t="str">
        <f t="shared" si="57"/>
        <v/>
      </c>
      <c r="S306">
        <f t="shared" si="58"/>
        <v>385.00096939999997</v>
      </c>
      <c r="T306" s="23">
        <f t="shared" si="59"/>
        <v>0.17271455235457067</v>
      </c>
    </row>
    <row r="307" spans="1:20" ht="15" customHeight="1" x14ac:dyDescent="0.35">
      <c r="A307" t="str">
        <f>Benchmarking!A307</f>
        <v>Corning Inc</v>
      </c>
      <c r="B307" t="str">
        <f>Benchmarking!B307</f>
        <v>glw</v>
      </c>
      <c r="C307" t="str">
        <f>Benchmarking!C307</f>
        <v>Electrical Equipment</v>
      </c>
      <c r="D307" s="17">
        <f>Benchmarking!D307</f>
        <v>200</v>
      </c>
      <c r="E307" s="17">
        <f>Benchmarking!E307</f>
        <v>200</v>
      </c>
      <c r="F307" s="17">
        <f>Benchmarking!F307</f>
        <v>200</v>
      </c>
      <c r="G307" s="17">
        <f>Benchmarking!G307</f>
        <v>600</v>
      </c>
      <c r="H307" t="str">
        <f t="shared" si="48"/>
        <v>Environmental</v>
      </c>
      <c r="I307" t="str">
        <f t="shared" si="49"/>
        <v>Environmental</v>
      </c>
      <c r="J307" s="19">
        <f t="shared" si="50"/>
        <v>0</v>
      </c>
      <c r="K307" s="19">
        <f t="shared" si="51"/>
        <v>0</v>
      </c>
      <c r="L307" s="19">
        <f t="shared" si="52"/>
        <v>0</v>
      </c>
      <c r="M307" s="17">
        <f t="shared" si="53"/>
        <v>0</v>
      </c>
      <c r="N307" s="22">
        <f t="shared" si="54"/>
        <v>1.3850415512465374E-3</v>
      </c>
      <c r="O307" s="22">
        <f t="shared" si="55"/>
        <v>1.3850415512465374E-3</v>
      </c>
      <c r="P307" s="22">
        <f t="shared" si="56"/>
        <v>0</v>
      </c>
      <c r="Q307" t="str">
        <f t="shared" si="57"/>
        <v/>
      </c>
      <c r="S307">
        <f t="shared" si="58"/>
        <v>9.6929999999999998E-4</v>
      </c>
      <c r="T307" s="23">
        <f t="shared" si="59"/>
        <v>9.6929999999999998E-4</v>
      </c>
    </row>
    <row r="308" spans="1:20" ht="15" customHeight="1" x14ac:dyDescent="0.35">
      <c r="A308" t="str">
        <f>Benchmarking!A308</f>
        <v>DaVita Inc</v>
      </c>
      <c r="B308" t="str">
        <f>Benchmarking!B308</f>
        <v>dva</v>
      </c>
      <c r="C308" t="str">
        <f>Benchmarking!C308</f>
        <v>Health Care</v>
      </c>
      <c r="D308" s="17">
        <f>Benchmarking!D308</f>
        <v>260</v>
      </c>
      <c r="E308" s="17">
        <f>Benchmarking!E308</f>
        <v>332</v>
      </c>
      <c r="F308" s="17">
        <f>Benchmarking!F308</f>
        <v>300</v>
      </c>
      <c r="G308" s="17">
        <f>Benchmarking!G308</f>
        <v>892</v>
      </c>
      <c r="H308" t="str">
        <f t="shared" si="48"/>
        <v>Social</v>
      </c>
      <c r="I308" t="str">
        <f t="shared" si="49"/>
        <v>Environmental</v>
      </c>
      <c r="J308" s="19">
        <f t="shared" si="50"/>
        <v>-72</v>
      </c>
      <c r="K308" s="19">
        <f t="shared" si="51"/>
        <v>32</v>
      </c>
      <c r="L308" s="19">
        <f t="shared" si="52"/>
        <v>-40</v>
      </c>
      <c r="M308" s="17">
        <f t="shared" si="53"/>
        <v>72</v>
      </c>
      <c r="N308" s="22">
        <f t="shared" si="54"/>
        <v>0.36565096952908588</v>
      </c>
      <c r="O308" s="22">
        <f t="shared" si="55"/>
        <v>0.29085872576177285</v>
      </c>
      <c r="P308" s="22">
        <f t="shared" si="56"/>
        <v>7.4792243767313027E-2</v>
      </c>
      <c r="Q308" t="str">
        <f t="shared" si="57"/>
        <v/>
      </c>
      <c r="S308">
        <f t="shared" si="58"/>
        <v>72.0009692</v>
      </c>
      <c r="T308" s="23">
        <f t="shared" si="59"/>
        <v>7.576144376731303E-2</v>
      </c>
    </row>
    <row r="309" spans="1:20" ht="15" customHeight="1" x14ac:dyDescent="0.35">
      <c r="A309" t="str">
        <f>Benchmarking!A309</f>
        <v>Western Digital Corp</v>
      </c>
      <c r="B309" t="str">
        <f>Benchmarking!B309</f>
        <v>wdc</v>
      </c>
      <c r="C309" t="str">
        <f>Benchmarking!C309</f>
        <v>Technology</v>
      </c>
      <c r="D309" s="17">
        <f>Benchmarking!D309</f>
        <v>545</v>
      </c>
      <c r="E309" s="17">
        <f>Benchmarking!E309</f>
        <v>339</v>
      </c>
      <c r="F309" s="17">
        <f>Benchmarking!F309</f>
        <v>260</v>
      </c>
      <c r="G309" s="17">
        <f>Benchmarking!G309</f>
        <v>1144</v>
      </c>
      <c r="H309" t="str">
        <f t="shared" si="48"/>
        <v>Environmental</v>
      </c>
      <c r="I309" t="str">
        <f t="shared" si="49"/>
        <v>Governance</v>
      </c>
      <c r="J309" s="19">
        <f t="shared" si="50"/>
        <v>206</v>
      </c>
      <c r="K309" s="19">
        <f t="shared" si="51"/>
        <v>79</v>
      </c>
      <c r="L309" s="19">
        <f t="shared" si="52"/>
        <v>285</v>
      </c>
      <c r="M309" s="17">
        <f t="shared" si="53"/>
        <v>285</v>
      </c>
      <c r="N309" s="22">
        <f t="shared" si="54"/>
        <v>0.74930747922437668</v>
      </c>
      <c r="O309" s="22">
        <f t="shared" si="55"/>
        <v>0.32409972299168976</v>
      </c>
      <c r="P309" s="22">
        <f t="shared" si="56"/>
        <v>0.42520775623268692</v>
      </c>
      <c r="Q309" t="str">
        <f t="shared" si="57"/>
        <v>High ESG / weak pillar (analytical flag - not an ESG rating) - warrants investigation</v>
      </c>
      <c r="S309">
        <f t="shared" si="58"/>
        <v>285.00096910000002</v>
      </c>
      <c r="T309" s="23">
        <f t="shared" si="59"/>
        <v>0.42617685623268692</v>
      </c>
    </row>
    <row r="310" spans="1:20" ht="15" customHeight="1" x14ac:dyDescent="0.35">
      <c r="A310" t="str">
        <f>Benchmarking!A310</f>
        <v>Goldman Sachs Group Inc</v>
      </c>
      <c r="B310" t="str">
        <f>Benchmarking!B310</f>
        <v>gs</v>
      </c>
      <c r="C310" t="str">
        <f>Benchmarking!C310</f>
        <v>Financial Services</v>
      </c>
      <c r="D310" s="17">
        <f>Benchmarking!D310</f>
        <v>525</v>
      </c>
      <c r="E310" s="17">
        <f>Benchmarking!E310</f>
        <v>305</v>
      </c>
      <c r="F310" s="17">
        <f>Benchmarking!F310</f>
        <v>305</v>
      </c>
      <c r="G310" s="17">
        <f>Benchmarking!G310</f>
        <v>1135</v>
      </c>
      <c r="H310" t="str">
        <f t="shared" si="48"/>
        <v>Environmental</v>
      </c>
      <c r="I310" t="str">
        <f t="shared" si="49"/>
        <v>Social</v>
      </c>
      <c r="J310" s="19">
        <f t="shared" si="50"/>
        <v>220</v>
      </c>
      <c r="K310" s="19">
        <f t="shared" si="51"/>
        <v>0</v>
      </c>
      <c r="L310" s="19">
        <f t="shared" si="52"/>
        <v>220</v>
      </c>
      <c r="M310" s="17">
        <f t="shared" si="53"/>
        <v>220</v>
      </c>
      <c r="N310" s="22">
        <f t="shared" si="54"/>
        <v>0.71468144044321325</v>
      </c>
      <c r="O310" s="22">
        <f t="shared" si="55"/>
        <v>0.56371191135734067</v>
      </c>
      <c r="P310" s="22">
        <f t="shared" si="56"/>
        <v>0.15096952908587258</v>
      </c>
      <c r="Q310" t="str">
        <f t="shared" si="57"/>
        <v/>
      </c>
      <c r="S310">
        <f t="shared" si="58"/>
        <v>220.000969</v>
      </c>
      <c r="T310" s="23">
        <f t="shared" si="59"/>
        <v>0.15193852908587258</v>
      </c>
    </row>
    <row r="311" spans="1:20" ht="15" customHeight="1" x14ac:dyDescent="0.35">
      <c r="A311" t="str">
        <f>Benchmarking!A311</f>
        <v>DXC Technology Co</v>
      </c>
      <c r="B311" t="str">
        <f>Benchmarking!B311</f>
        <v>dxc</v>
      </c>
      <c r="C311" t="str">
        <f>Benchmarking!C311</f>
        <v>Technology</v>
      </c>
      <c r="D311" s="17">
        <f>Benchmarking!D311</f>
        <v>505</v>
      </c>
      <c r="E311" s="17">
        <f>Benchmarking!E311</f>
        <v>326</v>
      </c>
      <c r="F311" s="17">
        <f>Benchmarking!F311</f>
        <v>305</v>
      </c>
      <c r="G311" s="17">
        <f>Benchmarking!G311</f>
        <v>1136</v>
      </c>
      <c r="H311" t="str">
        <f t="shared" si="48"/>
        <v>Environmental</v>
      </c>
      <c r="I311" t="str">
        <f t="shared" si="49"/>
        <v>Governance</v>
      </c>
      <c r="J311" s="19">
        <f t="shared" si="50"/>
        <v>179</v>
      </c>
      <c r="K311" s="19">
        <f t="shared" si="51"/>
        <v>21</v>
      </c>
      <c r="L311" s="19">
        <f t="shared" si="52"/>
        <v>200</v>
      </c>
      <c r="M311" s="17">
        <f t="shared" si="53"/>
        <v>200</v>
      </c>
      <c r="N311" s="22">
        <f t="shared" si="54"/>
        <v>0.7174515235457064</v>
      </c>
      <c r="O311" s="22">
        <f t="shared" si="55"/>
        <v>0.62326869806094187</v>
      </c>
      <c r="P311" s="22">
        <f t="shared" si="56"/>
        <v>9.4182825484764532E-2</v>
      </c>
      <c r="Q311" t="str">
        <f t="shared" si="57"/>
        <v/>
      </c>
      <c r="S311">
        <f t="shared" si="58"/>
        <v>200.0009689</v>
      </c>
      <c r="T311" s="23">
        <f t="shared" si="59"/>
        <v>9.5151725484764527E-2</v>
      </c>
    </row>
    <row r="312" spans="1:20" ht="15" customHeight="1" x14ac:dyDescent="0.35">
      <c r="A312" t="str">
        <f>Benchmarking!A312</f>
        <v>Eaton Corporation PLC</v>
      </c>
      <c r="B312" t="str">
        <f>Benchmarking!B312</f>
        <v>etn</v>
      </c>
      <c r="C312" t="str">
        <f>Benchmarking!C312</f>
        <v>Electrical Equipment</v>
      </c>
      <c r="D312" s="17">
        <f>Benchmarking!D312</f>
        <v>520</v>
      </c>
      <c r="E312" s="17">
        <f>Benchmarking!E312</f>
        <v>328</v>
      </c>
      <c r="F312" s="17">
        <f>Benchmarking!F312</f>
        <v>320</v>
      </c>
      <c r="G312" s="17">
        <f>Benchmarking!G312</f>
        <v>1168</v>
      </c>
      <c r="H312" t="str">
        <f t="shared" si="48"/>
        <v>Environmental</v>
      </c>
      <c r="I312" t="str">
        <f t="shared" si="49"/>
        <v>Governance</v>
      </c>
      <c r="J312" s="19">
        <f t="shared" si="50"/>
        <v>192</v>
      </c>
      <c r="K312" s="19">
        <f t="shared" si="51"/>
        <v>8</v>
      </c>
      <c r="L312" s="19">
        <f t="shared" si="52"/>
        <v>200</v>
      </c>
      <c r="M312" s="17">
        <f t="shared" si="53"/>
        <v>200</v>
      </c>
      <c r="N312" s="22">
        <f t="shared" si="54"/>
        <v>0.81855955678670356</v>
      </c>
      <c r="O312" s="22">
        <f t="shared" si="55"/>
        <v>0.75207756232686984</v>
      </c>
      <c r="P312" s="22">
        <f t="shared" si="56"/>
        <v>6.6481994459833715E-2</v>
      </c>
      <c r="Q312" t="str">
        <f t="shared" si="57"/>
        <v/>
      </c>
      <c r="S312">
        <f t="shared" si="58"/>
        <v>200.00096880000001</v>
      </c>
      <c r="T312" s="23">
        <f t="shared" si="59"/>
        <v>6.7450794459833721E-2</v>
      </c>
    </row>
    <row r="313" spans="1:20" ht="15" customHeight="1" x14ac:dyDescent="0.35">
      <c r="A313" t="str">
        <f>Benchmarking!A313</f>
        <v>Consolidated Edison Inc</v>
      </c>
      <c r="B313" t="str">
        <f>Benchmarking!B313</f>
        <v>ed</v>
      </c>
      <c r="C313" t="str">
        <f>Benchmarking!C313</f>
        <v>Utilities</v>
      </c>
      <c r="D313" s="17">
        <f>Benchmarking!D313</f>
        <v>700</v>
      </c>
      <c r="E313" s="17">
        <f>Benchmarking!E313</f>
        <v>358</v>
      </c>
      <c r="F313" s="17">
        <f>Benchmarking!F313</f>
        <v>300</v>
      </c>
      <c r="G313" s="17">
        <f>Benchmarking!G313</f>
        <v>1358</v>
      </c>
      <c r="H313" t="str">
        <f t="shared" si="48"/>
        <v>Environmental</v>
      </c>
      <c r="I313" t="str">
        <f t="shared" si="49"/>
        <v>Governance</v>
      </c>
      <c r="J313" s="19">
        <f t="shared" si="50"/>
        <v>342</v>
      </c>
      <c r="K313" s="19">
        <f t="shared" si="51"/>
        <v>58</v>
      </c>
      <c r="L313" s="19">
        <f t="shared" si="52"/>
        <v>400</v>
      </c>
      <c r="M313" s="17">
        <f t="shared" si="53"/>
        <v>400</v>
      </c>
      <c r="N313" s="22">
        <f t="shared" si="54"/>
        <v>0.97783933518005539</v>
      </c>
      <c r="O313" s="22">
        <f t="shared" si="55"/>
        <v>0.39335180055401664</v>
      </c>
      <c r="P313" s="22">
        <f t="shared" si="56"/>
        <v>0.58448753462603875</v>
      </c>
      <c r="Q313" t="str">
        <f t="shared" si="57"/>
        <v>High ESG / weak pillar (analytical flag - not an ESG rating) - warrants investigation</v>
      </c>
      <c r="S313">
        <f t="shared" si="58"/>
        <v>400.00096869999999</v>
      </c>
      <c r="T313" s="23">
        <f t="shared" si="59"/>
        <v>0.5854562346260388</v>
      </c>
    </row>
    <row r="314" spans="1:20" ht="15" customHeight="1" x14ac:dyDescent="0.35">
      <c r="A314" t="str">
        <f>Benchmarking!A314</f>
        <v>Hershey Co</v>
      </c>
      <c r="B314" t="str">
        <f>Benchmarking!B314</f>
        <v>hsy</v>
      </c>
      <c r="C314" t="str">
        <f>Benchmarking!C314</f>
        <v>Food Products</v>
      </c>
      <c r="D314" s="17">
        <f>Benchmarking!D314</f>
        <v>525</v>
      </c>
      <c r="E314" s="17">
        <f>Benchmarking!E314</f>
        <v>361</v>
      </c>
      <c r="F314" s="17">
        <f>Benchmarking!F314</f>
        <v>300</v>
      </c>
      <c r="G314" s="17">
        <f>Benchmarking!G314</f>
        <v>1186</v>
      </c>
      <c r="H314" t="str">
        <f t="shared" si="48"/>
        <v>Environmental</v>
      </c>
      <c r="I314" t="str">
        <f t="shared" si="49"/>
        <v>Governance</v>
      </c>
      <c r="J314" s="19">
        <f t="shared" si="50"/>
        <v>164</v>
      </c>
      <c r="K314" s="19">
        <f t="shared" si="51"/>
        <v>61</v>
      </c>
      <c r="L314" s="19">
        <f t="shared" si="52"/>
        <v>225</v>
      </c>
      <c r="M314" s="17">
        <f t="shared" si="53"/>
        <v>225</v>
      </c>
      <c r="N314" s="22">
        <f t="shared" si="54"/>
        <v>0.86565096952908582</v>
      </c>
      <c r="O314" s="22">
        <f t="shared" si="55"/>
        <v>0.39335180055401664</v>
      </c>
      <c r="P314" s="22">
        <f t="shared" si="56"/>
        <v>0.47229916897506918</v>
      </c>
      <c r="Q314" t="str">
        <f t="shared" si="57"/>
        <v>High ESG / weak pillar (analytical flag - not an ESG rating) - warrants investigation</v>
      </c>
      <c r="S314">
        <f t="shared" si="58"/>
        <v>225.00096859999999</v>
      </c>
      <c r="T314" s="23">
        <f t="shared" si="59"/>
        <v>0.47326776897506917</v>
      </c>
    </row>
    <row r="315" spans="1:20" ht="15" customHeight="1" x14ac:dyDescent="0.35">
      <c r="A315" t="str">
        <f>Benchmarking!A315</f>
        <v>Johnson &amp; Johnson</v>
      </c>
      <c r="B315" t="str">
        <f>Benchmarking!B315</f>
        <v>jnj</v>
      </c>
      <c r="C315" t="str">
        <f>Benchmarking!C315</f>
        <v>Pharmaceuticals</v>
      </c>
      <c r="D315" s="17">
        <f>Benchmarking!D315</f>
        <v>565</v>
      </c>
      <c r="E315" s="17">
        <f>Benchmarking!E315</f>
        <v>308</v>
      </c>
      <c r="F315" s="17">
        <f>Benchmarking!F315</f>
        <v>300</v>
      </c>
      <c r="G315" s="17">
        <f>Benchmarking!G315</f>
        <v>1173</v>
      </c>
      <c r="H315" t="str">
        <f t="shared" si="48"/>
        <v>Environmental</v>
      </c>
      <c r="I315" t="str">
        <f t="shared" si="49"/>
        <v>Governance</v>
      </c>
      <c r="J315" s="19">
        <f t="shared" si="50"/>
        <v>257</v>
      </c>
      <c r="K315" s="19">
        <f t="shared" si="51"/>
        <v>8</v>
      </c>
      <c r="L315" s="19">
        <f t="shared" si="52"/>
        <v>265</v>
      </c>
      <c r="M315" s="17">
        <f t="shared" si="53"/>
        <v>265</v>
      </c>
      <c r="N315" s="22">
        <f t="shared" si="54"/>
        <v>0.83240997229916902</v>
      </c>
      <c r="O315" s="22">
        <f t="shared" si="55"/>
        <v>0.39335180055401664</v>
      </c>
      <c r="P315" s="22">
        <f t="shared" si="56"/>
        <v>0.43905817174515238</v>
      </c>
      <c r="Q315" t="str">
        <f t="shared" si="57"/>
        <v>High ESG / weak pillar (analytical flag - not an ESG rating) - warrants investigation</v>
      </c>
      <c r="S315">
        <f t="shared" si="58"/>
        <v>265.0009685</v>
      </c>
      <c r="T315" s="23">
        <f t="shared" si="59"/>
        <v>0.44002667174515236</v>
      </c>
    </row>
    <row r="316" spans="1:20" ht="15" customHeight="1" x14ac:dyDescent="0.35">
      <c r="A316" t="str">
        <f>Benchmarking!A316</f>
        <v>JPMorgan Chase &amp; Co</v>
      </c>
      <c r="B316" t="str">
        <f>Benchmarking!B316</f>
        <v>jpm</v>
      </c>
      <c r="C316" t="str">
        <f>Benchmarking!C316</f>
        <v>Banking</v>
      </c>
      <c r="D316" s="17">
        <f>Benchmarking!D316</f>
        <v>505</v>
      </c>
      <c r="E316" s="17">
        <f>Benchmarking!E316</f>
        <v>319</v>
      </c>
      <c r="F316" s="17">
        <f>Benchmarking!F316</f>
        <v>338</v>
      </c>
      <c r="G316" s="17">
        <f>Benchmarking!G316</f>
        <v>1162</v>
      </c>
      <c r="H316" t="str">
        <f t="shared" si="48"/>
        <v>Environmental</v>
      </c>
      <c r="I316" t="str">
        <f t="shared" si="49"/>
        <v>Social</v>
      </c>
      <c r="J316" s="19">
        <f t="shared" si="50"/>
        <v>186</v>
      </c>
      <c r="K316" s="19">
        <f t="shared" si="51"/>
        <v>-19</v>
      </c>
      <c r="L316" s="19">
        <f t="shared" si="52"/>
        <v>167</v>
      </c>
      <c r="M316" s="17">
        <f t="shared" si="53"/>
        <v>186</v>
      </c>
      <c r="N316" s="22">
        <f t="shared" si="54"/>
        <v>0.80609418282548473</v>
      </c>
      <c r="O316" s="22">
        <f t="shared" si="55"/>
        <v>0.62326869806094187</v>
      </c>
      <c r="P316" s="22">
        <f t="shared" si="56"/>
        <v>0.18282548476454286</v>
      </c>
      <c r="Q316" t="str">
        <f t="shared" si="57"/>
        <v/>
      </c>
      <c r="S316">
        <f t="shared" si="58"/>
        <v>186.0009684</v>
      </c>
      <c r="T316" s="23">
        <f t="shared" si="59"/>
        <v>0.18379388476454286</v>
      </c>
    </row>
    <row r="317" spans="1:20" ht="15" customHeight="1" x14ac:dyDescent="0.35">
      <c r="A317" t="str">
        <f>Benchmarking!A317</f>
        <v>Coca-Cola Co</v>
      </c>
      <c r="B317" t="str">
        <f>Benchmarking!B317</f>
        <v>ko</v>
      </c>
      <c r="C317" t="str">
        <f>Benchmarking!C317</f>
        <v>Beverages</v>
      </c>
      <c r="D317" s="17">
        <f>Benchmarking!D317</f>
        <v>200</v>
      </c>
      <c r="E317" s="17">
        <f>Benchmarking!E317</f>
        <v>201</v>
      </c>
      <c r="F317" s="17">
        <f>Benchmarking!F317</f>
        <v>200</v>
      </c>
      <c r="G317" s="17">
        <f>Benchmarking!G317</f>
        <v>601</v>
      </c>
      <c r="H317" t="str">
        <f t="shared" si="48"/>
        <v>Social</v>
      </c>
      <c r="I317" t="str">
        <f t="shared" si="49"/>
        <v>Environmental</v>
      </c>
      <c r="J317" s="19">
        <f t="shared" si="50"/>
        <v>-1</v>
      </c>
      <c r="K317" s="19">
        <f t="shared" si="51"/>
        <v>1</v>
      </c>
      <c r="L317" s="19">
        <f t="shared" si="52"/>
        <v>0</v>
      </c>
      <c r="M317" s="17">
        <f t="shared" si="53"/>
        <v>1</v>
      </c>
      <c r="N317" s="22">
        <f t="shared" si="54"/>
        <v>1.3850415512465374E-2</v>
      </c>
      <c r="O317" s="22">
        <f t="shared" si="55"/>
        <v>1.3850415512465374E-3</v>
      </c>
      <c r="P317" s="22">
        <f t="shared" si="56"/>
        <v>1.2465373961218836E-2</v>
      </c>
      <c r="Q317" t="str">
        <f t="shared" si="57"/>
        <v/>
      </c>
      <c r="S317">
        <f t="shared" si="58"/>
        <v>1.0009683</v>
      </c>
      <c r="T317" s="23">
        <f t="shared" si="59"/>
        <v>1.3433673961218836E-2</v>
      </c>
    </row>
    <row r="318" spans="1:20" ht="15" customHeight="1" x14ac:dyDescent="0.35">
      <c r="A318" t="str">
        <f>Benchmarking!A318</f>
        <v>Carmax Inc</v>
      </c>
      <c r="B318" t="str">
        <f>Benchmarking!B318</f>
        <v>kmx</v>
      </c>
      <c r="C318" t="str">
        <f>Benchmarking!C318</f>
        <v>Retail</v>
      </c>
      <c r="D318" s="17">
        <f>Benchmarking!D318</f>
        <v>251</v>
      </c>
      <c r="E318" s="17">
        <f>Benchmarking!E318</f>
        <v>237</v>
      </c>
      <c r="F318" s="17">
        <f>Benchmarking!F318</f>
        <v>300</v>
      </c>
      <c r="G318" s="17">
        <f>Benchmarking!G318</f>
        <v>788</v>
      </c>
      <c r="H318" t="str">
        <f t="shared" si="48"/>
        <v>Governance</v>
      </c>
      <c r="I318" t="str">
        <f t="shared" si="49"/>
        <v>Social</v>
      </c>
      <c r="J318" s="19">
        <f t="shared" si="50"/>
        <v>14</v>
      </c>
      <c r="K318" s="19">
        <f t="shared" si="51"/>
        <v>-63</v>
      </c>
      <c r="L318" s="19">
        <f t="shared" si="52"/>
        <v>-49</v>
      </c>
      <c r="M318" s="17">
        <f t="shared" si="53"/>
        <v>63</v>
      </c>
      <c r="N318" s="22">
        <f t="shared" si="54"/>
        <v>0.27977839335180055</v>
      </c>
      <c r="O318" s="22">
        <f t="shared" si="55"/>
        <v>0.22299168975069253</v>
      </c>
      <c r="P318" s="22">
        <f t="shared" si="56"/>
        <v>5.6786703601108018E-2</v>
      </c>
      <c r="Q318" t="str">
        <f t="shared" si="57"/>
        <v/>
      </c>
      <c r="S318">
        <f t="shared" si="58"/>
        <v>63.000968200000003</v>
      </c>
      <c r="T318" s="23">
        <f t="shared" si="59"/>
        <v>5.7754903601108021E-2</v>
      </c>
    </row>
    <row r="319" spans="1:20" ht="15" customHeight="1" x14ac:dyDescent="0.35">
      <c r="A319" t="str">
        <f>Benchmarking!A319</f>
        <v>Leidos Holdings Inc</v>
      </c>
      <c r="B319" t="str">
        <f>Benchmarking!B319</f>
        <v>ldos</v>
      </c>
      <c r="C319" t="str">
        <f>Benchmarking!C319</f>
        <v>Professional Services</v>
      </c>
      <c r="D319" s="17">
        <f>Benchmarking!D319</f>
        <v>500</v>
      </c>
      <c r="E319" s="17">
        <f>Benchmarking!E319</f>
        <v>300</v>
      </c>
      <c r="F319" s="17">
        <f>Benchmarking!F319</f>
        <v>300</v>
      </c>
      <c r="G319" s="17">
        <f>Benchmarking!G319</f>
        <v>1100</v>
      </c>
      <c r="H319" t="str">
        <f t="shared" si="48"/>
        <v>Environmental</v>
      </c>
      <c r="I319" t="str">
        <f t="shared" si="49"/>
        <v>Social</v>
      </c>
      <c r="J319" s="19">
        <f t="shared" si="50"/>
        <v>200</v>
      </c>
      <c r="K319" s="19">
        <f t="shared" si="51"/>
        <v>0</v>
      </c>
      <c r="L319" s="19">
        <f t="shared" si="52"/>
        <v>200</v>
      </c>
      <c r="M319" s="17">
        <f t="shared" si="53"/>
        <v>200</v>
      </c>
      <c r="N319" s="22">
        <f t="shared" si="54"/>
        <v>0.56925207756232687</v>
      </c>
      <c r="O319" s="22">
        <f t="shared" si="55"/>
        <v>0.36565096952908588</v>
      </c>
      <c r="P319" s="22">
        <f t="shared" si="56"/>
        <v>0.203601108033241</v>
      </c>
      <c r="Q319" t="str">
        <f t="shared" si="57"/>
        <v/>
      </c>
      <c r="S319">
        <f t="shared" si="58"/>
        <v>200.00096809999999</v>
      </c>
      <c r="T319" s="23">
        <f t="shared" si="59"/>
        <v>0.204569208033241</v>
      </c>
    </row>
    <row r="320" spans="1:20" ht="15" customHeight="1" x14ac:dyDescent="0.35">
      <c r="A320" t="str">
        <f>Benchmarking!A320</f>
        <v>Leggett &amp; Platt Inc</v>
      </c>
      <c r="B320" t="str">
        <f>Benchmarking!B320</f>
        <v>leg</v>
      </c>
      <c r="C320" t="str">
        <f>Benchmarking!C320</f>
        <v>Consumer products</v>
      </c>
      <c r="D320" s="17">
        <f>Benchmarking!D320</f>
        <v>500</v>
      </c>
      <c r="E320" s="17">
        <f>Benchmarking!E320</f>
        <v>300</v>
      </c>
      <c r="F320" s="17">
        <f>Benchmarking!F320</f>
        <v>300</v>
      </c>
      <c r="G320" s="17">
        <f>Benchmarking!G320</f>
        <v>1100</v>
      </c>
      <c r="H320" t="str">
        <f t="shared" si="48"/>
        <v>Environmental</v>
      </c>
      <c r="I320" t="str">
        <f t="shared" si="49"/>
        <v>Social</v>
      </c>
      <c r="J320" s="19">
        <f t="shared" si="50"/>
        <v>200</v>
      </c>
      <c r="K320" s="19">
        <f t="shared" si="51"/>
        <v>0</v>
      </c>
      <c r="L320" s="19">
        <f t="shared" si="52"/>
        <v>200</v>
      </c>
      <c r="M320" s="17">
        <f t="shared" si="53"/>
        <v>200</v>
      </c>
      <c r="N320" s="22">
        <f t="shared" si="54"/>
        <v>0.56925207756232687</v>
      </c>
      <c r="O320" s="22">
        <f t="shared" si="55"/>
        <v>0.36565096952908588</v>
      </c>
      <c r="P320" s="22">
        <f t="shared" si="56"/>
        <v>0.203601108033241</v>
      </c>
      <c r="Q320" t="str">
        <f t="shared" si="57"/>
        <v/>
      </c>
      <c r="S320">
        <f t="shared" si="58"/>
        <v>200.000968</v>
      </c>
      <c r="T320" s="23">
        <f t="shared" si="59"/>
        <v>0.20456910803324099</v>
      </c>
    </row>
    <row r="321" spans="1:20" ht="15" customHeight="1" x14ac:dyDescent="0.35">
      <c r="A321" t="str">
        <f>Benchmarking!A321</f>
        <v>McDonald's Corp</v>
      </c>
      <c r="B321" t="str">
        <f>Benchmarking!B321</f>
        <v>mcd</v>
      </c>
      <c r="C321" t="str">
        <f>Benchmarking!C321</f>
        <v>Hotels Restaurants &amp; Leisure</v>
      </c>
      <c r="D321" s="17">
        <f>Benchmarking!D321</f>
        <v>505</v>
      </c>
      <c r="E321" s="17">
        <f>Benchmarking!E321</f>
        <v>326</v>
      </c>
      <c r="F321" s="17">
        <f>Benchmarking!F321</f>
        <v>305</v>
      </c>
      <c r="G321" s="17">
        <f>Benchmarking!G321</f>
        <v>1136</v>
      </c>
      <c r="H321" t="str">
        <f t="shared" si="48"/>
        <v>Environmental</v>
      </c>
      <c r="I321" t="str">
        <f t="shared" si="49"/>
        <v>Governance</v>
      </c>
      <c r="J321" s="19">
        <f t="shared" si="50"/>
        <v>179</v>
      </c>
      <c r="K321" s="19">
        <f t="shared" si="51"/>
        <v>21</v>
      </c>
      <c r="L321" s="19">
        <f t="shared" si="52"/>
        <v>200</v>
      </c>
      <c r="M321" s="17">
        <f t="shared" si="53"/>
        <v>200</v>
      </c>
      <c r="N321" s="22">
        <f t="shared" si="54"/>
        <v>0.7174515235457064</v>
      </c>
      <c r="O321" s="22">
        <f t="shared" si="55"/>
        <v>0.62326869806094187</v>
      </c>
      <c r="P321" s="22">
        <f t="shared" si="56"/>
        <v>9.4182825484764532E-2</v>
      </c>
      <c r="Q321" t="str">
        <f t="shared" si="57"/>
        <v/>
      </c>
      <c r="S321">
        <f t="shared" si="58"/>
        <v>200.00096790000001</v>
      </c>
      <c r="T321" s="23">
        <f t="shared" si="59"/>
        <v>9.5150725484764526E-2</v>
      </c>
    </row>
    <row r="322" spans="1:20" ht="15" customHeight="1" x14ac:dyDescent="0.35">
      <c r="A322" t="str">
        <f>Benchmarking!A322</f>
        <v>Linde PLC</v>
      </c>
      <c r="B322" t="str">
        <f>Benchmarking!B322</f>
        <v>lin</v>
      </c>
      <c r="C322" t="str">
        <f>Benchmarking!C322</f>
        <v>Chemicals</v>
      </c>
      <c r="D322" s="17">
        <f>Benchmarking!D322</f>
        <v>210</v>
      </c>
      <c r="E322" s="17">
        <f>Benchmarking!E322</f>
        <v>240</v>
      </c>
      <c r="F322" s="17">
        <f>Benchmarking!F322</f>
        <v>275</v>
      </c>
      <c r="G322" s="17">
        <f>Benchmarking!G322</f>
        <v>725</v>
      </c>
      <c r="H322" t="str">
        <f t="shared" si="48"/>
        <v>Governance</v>
      </c>
      <c r="I322" t="str">
        <f t="shared" si="49"/>
        <v>Environmental</v>
      </c>
      <c r="J322" s="19">
        <f t="shared" si="50"/>
        <v>-30</v>
      </c>
      <c r="K322" s="19">
        <f t="shared" si="51"/>
        <v>-35</v>
      </c>
      <c r="L322" s="19">
        <f t="shared" si="52"/>
        <v>-65</v>
      </c>
      <c r="M322" s="17">
        <f t="shared" si="53"/>
        <v>65</v>
      </c>
      <c r="N322" s="22">
        <f t="shared" si="54"/>
        <v>0.19252077562326869</v>
      </c>
      <c r="O322" s="22">
        <f t="shared" si="55"/>
        <v>9.141274238227147E-2</v>
      </c>
      <c r="P322" s="22">
        <f t="shared" si="56"/>
        <v>0.10110803324099722</v>
      </c>
      <c r="Q322" t="str">
        <f t="shared" si="57"/>
        <v/>
      </c>
      <c r="S322">
        <f t="shared" si="58"/>
        <v>65.000967799999998</v>
      </c>
      <c r="T322" s="23">
        <f t="shared" si="59"/>
        <v>0.10207583324099723</v>
      </c>
    </row>
    <row r="323" spans="1:20" ht="15" customHeight="1" x14ac:dyDescent="0.35">
      <c r="A323" t="str">
        <f>Benchmarking!A323</f>
        <v>Lumen Technologies Inc</v>
      </c>
      <c r="B323" t="str">
        <f>Benchmarking!B323</f>
        <v>lumn</v>
      </c>
      <c r="C323" t="str">
        <f>Benchmarking!C323</f>
        <v>Telecommunication</v>
      </c>
      <c r="D323" s="17">
        <f>Benchmarking!D323</f>
        <v>535</v>
      </c>
      <c r="E323" s="17">
        <f>Benchmarking!E323</f>
        <v>327</v>
      </c>
      <c r="F323" s="17">
        <f>Benchmarking!F323</f>
        <v>305</v>
      </c>
      <c r="G323" s="17">
        <f>Benchmarking!G323</f>
        <v>1167</v>
      </c>
      <c r="H323" t="str">
        <f t="shared" si="48"/>
        <v>Environmental</v>
      </c>
      <c r="I323" t="str">
        <f t="shared" si="49"/>
        <v>Governance</v>
      </c>
      <c r="J323" s="19">
        <f t="shared" si="50"/>
        <v>208</v>
      </c>
      <c r="K323" s="19">
        <f t="shared" si="51"/>
        <v>22</v>
      </c>
      <c r="L323" s="19">
        <f t="shared" si="52"/>
        <v>230</v>
      </c>
      <c r="M323" s="17">
        <f t="shared" si="53"/>
        <v>230</v>
      </c>
      <c r="N323" s="22">
        <f t="shared" si="54"/>
        <v>0.81717451523545703</v>
      </c>
      <c r="O323" s="22">
        <f t="shared" si="55"/>
        <v>0.63296398891966754</v>
      </c>
      <c r="P323" s="22">
        <f t="shared" si="56"/>
        <v>0.18421052631578949</v>
      </c>
      <c r="Q323" t="str">
        <f t="shared" si="57"/>
        <v/>
      </c>
      <c r="S323">
        <f t="shared" si="58"/>
        <v>230.00096769999999</v>
      </c>
      <c r="T323" s="23">
        <f t="shared" si="59"/>
        <v>0.18517822631578948</v>
      </c>
    </row>
    <row r="324" spans="1:20" ht="15" customHeight="1" x14ac:dyDescent="0.35">
      <c r="A324" t="str">
        <f>Benchmarking!A324</f>
        <v>LyondellBasell Industries NV</v>
      </c>
      <c r="B324" t="str">
        <f>Benchmarking!B324</f>
        <v>lyb</v>
      </c>
      <c r="C324" t="str">
        <f>Benchmarking!C324</f>
        <v>Chemicals</v>
      </c>
      <c r="D324" s="17">
        <f>Benchmarking!D324</f>
        <v>587</v>
      </c>
      <c r="E324" s="17">
        <f>Benchmarking!E324</f>
        <v>352</v>
      </c>
      <c r="F324" s="17">
        <f>Benchmarking!F324</f>
        <v>330</v>
      </c>
      <c r="G324" s="17">
        <f>Benchmarking!G324</f>
        <v>1269</v>
      </c>
      <c r="H324" t="str">
        <f t="shared" ref="H324:H387" si="60">IF(AND(D324&gt;=E324,D324&gt;=F324),"Environmental",IF(AND(E324&gt;=D324,E324&gt;=F324),"Social","Governance"))</f>
        <v>Environmental</v>
      </c>
      <c r="I324" t="str">
        <f t="shared" ref="I324:I387" si="61">IF(AND(D324&lt;=E324,D324&lt;=F324),"Environmental",IF(AND(E324&lt;=D324,E324&lt;=F324),"Social","Governance"))</f>
        <v>Governance</v>
      </c>
      <c r="J324" s="19">
        <f t="shared" ref="J324:J387" si="62">D324-E324</f>
        <v>235</v>
      </c>
      <c r="K324" s="19">
        <f t="shared" ref="K324:K387" si="63">E324-F324</f>
        <v>22</v>
      </c>
      <c r="L324" s="19">
        <f t="shared" ref="L324:L387" si="64">D324-F324</f>
        <v>257</v>
      </c>
      <c r="M324" s="17">
        <f t="shared" ref="M324:M387" si="65">MAX(D324:F324)-MIN(D324:F324)</f>
        <v>257</v>
      </c>
      <c r="N324" s="22">
        <f t="shared" ref="N324:N387" si="66">RANK(G324,$G$4:$G$725,1)/COUNT($G$4:$G$725)</f>
        <v>0.95152354570637121</v>
      </c>
      <c r="O324" s="22">
        <f t="shared" ref="O324:O387" si="67">MIN(RANK(D324,$D$4:$D$725,1)/COUNT($D$4:$D$725),RANK(E324,$E$4:$E$725,1)/COUNT($E$4:$E$725),RANK(F324,$F$4:$F$725,1)/COUNT($F$4:$F$725))</f>
        <v>0.91135734072022156</v>
      </c>
      <c r="P324" s="22">
        <f t="shared" ref="P324:P387" si="68">N324-O324</f>
        <v>4.0166204986149645E-2</v>
      </c>
      <c r="Q324" t="str">
        <f t="shared" ref="Q324:Q387" si="69">IF(AND(N324&gt;=0.7,P324&gt;=0.4),"High ESG / weak pillar (analytical flag - not an ESG rating) - warrants investigation","")</f>
        <v/>
      </c>
      <c r="S324">
        <f t="shared" ref="S324:S387" si="70">M324+(10000-ROW())/10000000</f>
        <v>257.00096760000002</v>
      </c>
      <c r="T324" s="23">
        <f t="shared" ref="T324:T387" si="71">P324+(10000-ROW())/10000000</f>
        <v>4.1133804986149644E-2</v>
      </c>
    </row>
    <row r="325" spans="1:20" ht="15" customHeight="1" x14ac:dyDescent="0.35">
      <c r="A325" t="str">
        <f>Benchmarking!A325</f>
        <v>Moody's Corp</v>
      </c>
      <c r="B325" t="str">
        <f>Benchmarking!B325</f>
        <v>mco</v>
      </c>
      <c r="C325" t="str">
        <f>Benchmarking!C325</f>
        <v>Financial Services</v>
      </c>
      <c r="D325" s="17">
        <f>Benchmarking!D325</f>
        <v>515</v>
      </c>
      <c r="E325" s="17">
        <f>Benchmarking!E325</f>
        <v>308</v>
      </c>
      <c r="F325" s="17">
        <f>Benchmarking!F325</f>
        <v>235</v>
      </c>
      <c r="G325" s="17">
        <f>Benchmarking!G325</f>
        <v>1058</v>
      </c>
      <c r="H325" t="str">
        <f t="shared" si="60"/>
        <v>Environmental</v>
      </c>
      <c r="I325" t="str">
        <f t="shared" si="61"/>
        <v>Governance</v>
      </c>
      <c r="J325" s="19">
        <f t="shared" si="62"/>
        <v>207</v>
      </c>
      <c r="K325" s="19">
        <f t="shared" si="63"/>
        <v>73</v>
      </c>
      <c r="L325" s="19">
        <f t="shared" si="64"/>
        <v>280</v>
      </c>
      <c r="M325" s="17">
        <f t="shared" si="65"/>
        <v>280</v>
      </c>
      <c r="N325" s="22">
        <f t="shared" si="66"/>
        <v>0.51385041551246535</v>
      </c>
      <c r="O325" s="22">
        <f t="shared" si="67"/>
        <v>0.24653739612188366</v>
      </c>
      <c r="P325" s="22">
        <f t="shared" si="68"/>
        <v>0.26731301939058172</v>
      </c>
      <c r="Q325" t="str">
        <f t="shared" si="69"/>
        <v/>
      </c>
      <c r="S325">
        <f t="shared" si="70"/>
        <v>280.0009675</v>
      </c>
      <c r="T325" s="23">
        <f t="shared" si="71"/>
        <v>0.26828051939058173</v>
      </c>
    </row>
    <row r="326" spans="1:20" ht="15" customHeight="1" x14ac:dyDescent="0.35">
      <c r="A326" t="str">
        <f>Benchmarking!A326</f>
        <v>Mckesson Corp</v>
      </c>
      <c r="B326" t="str">
        <f>Benchmarking!B326</f>
        <v>mck</v>
      </c>
      <c r="C326" t="str">
        <f>Benchmarking!C326</f>
        <v>Health Care</v>
      </c>
      <c r="D326" s="17">
        <f>Benchmarking!D326</f>
        <v>500</v>
      </c>
      <c r="E326" s="17">
        <f>Benchmarking!E326</f>
        <v>303</v>
      </c>
      <c r="F326" s="17">
        <f>Benchmarking!F326</f>
        <v>310</v>
      </c>
      <c r="G326" s="17">
        <f>Benchmarking!G326</f>
        <v>1113</v>
      </c>
      <c r="H326" t="str">
        <f t="shared" si="60"/>
        <v>Environmental</v>
      </c>
      <c r="I326" t="str">
        <f t="shared" si="61"/>
        <v>Social</v>
      </c>
      <c r="J326" s="19">
        <f t="shared" si="62"/>
        <v>197</v>
      </c>
      <c r="K326" s="19">
        <f t="shared" si="63"/>
        <v>-7</v>
      </c>
      <c r="L326" s="19">
        <f t="shared" si="64"/>
        <v>190</v>
      </c>
      <c r="M326" s="17">
        <f t="shared" si="65"/>
        <v>197</v>
      </c>
      <c r="N326" s="22">
        <f t="shared" si="66"/>
        <v>0.64681440443213301</v>
      </c>
      <c r="O326" s="22">
        <f t="shared" si="67"/>
        <v>0.51246537396121883</v>
      </c>
      <c r="P326" s="22">
        <f t="shared" si="68"/>
        <v>0.13434903047091418</v>
      </c>
      <c r="Q326" t="str">
        <f t="shared" si="69"/>
        <v/>
      </c>
      <c r="S326">
        <f t="shared" si="70"/>
        <v>197.00096740000001</v>
      </c>
      <c r="T326" s="23">
        <f t="shared" si="71"/>
        <v>0.13531643047091418</v>
      </c>
    </row>
    <row r="327" spans="1:20" ht="15" customHeight="1" x14ac:dyDescent="0.35">
      <c r="A327" t="str">
        <f>Benchmarking!A327</f>
        <v>Masco Corp</v>
      </c>
      <c r="B327" t="str">
        <f>Benchmarking!B327</f>
        <v>mas</v>
      </c>
      <c r="C327" t="str">
        <f>Benchmarking!C327</f>
        <v>Building</v>
      </c>
      <c r="D327" s="17">
        <f>Benchmarking!D327</f>
        <v>522</v>
      </c>
      <c r="E327" s="17">
        <f>Benchmarking!E327</f>
        <v>323</v>
      </c>
      <c r="F327" s="17">
        <f>Benchmarking!F327</f>
        <v>305</v>
      </c>
      <c r="G327" s="17">
        <f>Benchmarking!G327</f>
        <v>1150</v>
      </c>
      <c r="H327" t="str">
        <f t="shared" si="60"/>
        <v>Environmental</v>
      </c>
      <c r="I327" t="str">
        <f t="shared" si="61"/>
        <v>Governance</v>
      </c>
      <c r="J327" s="19">
        <f t="shared" si="62"/>
        <v>199</v>
      </c>
      <c r="K327" s="19">
        <f t="shared" si="63"/>
        <v>18</v>
      </c>
      <c r="L327" s="19">
        <f t="shared" si="64"/>
        <v>217</v>
      </c>
      <c r="M327" s="17">
        <f t="shared" si="65"/>
        <v>217</v>
      </c>
      <c r="N327" s="22">
        <f t="shared" si="66"/>
        <v>0.76454293628808867</v>
      </c>
      <c r="O327" s="22">
        <f t="shared" si="67"/>
        <v>0.63296398891966754</v>
      </c>
      <c r="P327" s="22">
        <f t="shared" si="68"/>
        <v>0.13157894736842113</v>
      </c>
      <c r="Q327" t="str">
        <f t="shared" si="69"/>
        <v/>
      </c>
      <c r="S327">
        <f t="shared" si="70"/>
        <v>217.00096730000001</v>
      </c>
      <c r="T327" s="23">
        <f t="shared" si="71"/>
        <v>0.13254624736842113</v>
      </c>
    </row>
    <row r="328" spans="1:20" ht="15" customHeight="1" x14ac:dyDescent="0.35">
      <c r="A328" t="str">
        <f>Benchmarking!A328</f>
        <v>Lowe's Companies Inc</v>
      </c>
      <c r="B328" t="str">
        <f>Benchmarking!B328</f>
        <v>low</v>
      </c>
      <c r="C328" t="str">
        <f>Benchmarking!C328</f>
        <v>Retail</v>
      </c>
      <c r="D328" s="17">
        <f>Benchmarking!D328</f>
        <v>218</v>
      </c>
      <c r="E328" s="17">
        <f>Benchmarking!E328</f>
        <v>200</v>
      </c>
      <c r="F328" s="17">
        <f>Benchmarking!F328</f>
        <v>200</v>
      </c>
      <c r="G328" s="17">
        <f>Benchmarking!G328</f>
        <v>618</v>
      </c>
      <c r="H328" t="str">
        <f t="shared" si="60"/>
        <v>Environmental</v>
      </c>
      <c r="I328" t="str">
        <f t="shared" si="61"/>
        <v>Social</v>
      </c>
      <c r="J328" s="19">
        <f t="shared" si="62"/>
        <v>18</v>
      </c>
      <c r="K328" s="19">
        <f t="shared" si="63"/>
        <v>0</v>
      </c>
      <c r="L328" s="19">
        <f t="shared" si="64"/>
        <v>18</v>
      </c>
      <c r="M328" s="17">
        <f t="shared" si="65"/>
        <v>18</v>
      </c>
      <c r="N328" s="22">
        <f t="shared" si="66"/>
        <v>3.7396121883656507E-2</v>
      </c>
      <c r="O328" s="22">
        <f t="shared" si="67"/>
        <v>2.7700831024930748E-3</v>
      </c>
      <c r="P328" s="22">
        <f t="shared" si="68"/>
        <v>3.462603878116343E-2</v>
      </c>
      <c r="Q328" t="str">
        <f t="shared" si="69"/>
        <v/>
      </c>
      <c r="S328">
        <f t="shared" si="70"/>
        <v>18.000967200000002</v>
      </c>
      <c r="T328" s="23">
        <f t="shared" si="71"/>
        <v>3.5593238781163432E-2</v>
      </c>
    </row>
    <row r="329" spans="1:20" ht="15" customHeight="1" x14ac:dyDescent="0.35">
      <c r="A329" t="str">
        <f>Benchmarking!A329</f>
        <v>Medtronic PLC</v>
      </c>
      <c r="B329" t="str">
        <f>Benchmarking!B329</f>
        <v>mdt</v>
      </c>
      <c r="C329" t="str">
        <f>Benchmarking!C329</f>
        <v>Health Care</v>
      </c>
      <c r="D329" s="17">
        <f>Benchmarking!D329</f>
        <v>515</v>
      </c>
      <c r="E329" s="17">
        <f>Benchmarking!E329</f>
        <v>308</v>
      </c>
      <c r="F329" s="17">
        <f>Benchmarking!F329</f>
        <v>315</v>
      </c>
      <c r="G329" s="17">
        <f>Benchmarking!G329</f>
        <v>1138</v>
      </c>
      <c r="H329" t="str">
        <f t="shared" si="60"/>
        <v>Environmental</v>
      </c>
      <c r="I329" t="str">
        <f t="shared" si="61"/>
        <v>Social</v>
      </c>
      <c r="J329" s="19">
        <f t="shared" si="62"/>
        <v>207</v>
      </c>
      <c r="K329" s="19">
        <f t="shared" si="63"/>
        <v>-7</v>
      </c>
      <c r="L329" s="19">
        <f t="shared" si="64"/>
        <v>200</v>
      </c>
      <c r="M329" s="17">
        <f t="shared" si="65"/>
        <v>207</v>
      </c>
      <c r="N329" s="22">
        <f t="shared" si="66"/>
        <v>0.72437673130193903</v>
      </c>
      <c r="O329" s="22">
        <f t="shared" si="67"/>
        <v>0.61080332409972304</v>
      </c>
      <c r="P329" s="22">
        <f t="shared" si="68"/>
        <v>0.11357340720221598</v>
      </c>
      <c r="Q329" t="str">
        <f t="shared" si="69"/>
        <v/>
      </c>
      <c r="S329">
        <f t="shared" si="70"/>
        <v>207.0009671</v>
      </c>
      <c r="T329" s="23">
        <f t="shared" si="71"/>
        <v>0.11454050720221598</v>
      </c>
    </row>
    <row r="330" spans="1:20" ht="15" customHeight="1" x14ac:dyDescent="0.35">
      <c r="A330" t="str">
        <f>Benchmarking!A330</f>
        <v>McCormick &amp; Company Inc</v>
      </c>
      <c r="B330" t="str">
        <f>Benchmarking!B330</f>
        <v>mkc</v>
      </c>
      <c r="C330" t="str">
        <f>Benchmarking!C330</f>
        <v>Food Products</v>
      </c>
      <c r="D330" s="17">
        <f>Benchmarking!D330</f>
        <v>500</v>
      </c>
      <c r="E330" s="17">
        <f>Benchmarking!E330</f>
        <v>300</v>
      </c>
      <c r="F330" s="17">
        <f>Benchmarking!F330</f>
        <v>300</v>
      </c>
      <c r="G330" s="17">
        <f>Benchmarking!G330</f>
        <v>1100</v>
      </c>
      <c r="H330" t="str">
        <f t="shared" si="60"/>
        <v>Environmental</v>
      </c>
      <c r="I330" t="str">
        <f t="shared" si="61"/>
        <v>Social</v>
      </c>
      <c r="J330" s="19">
        <f t="shared" si="62"/>
        <v>200</v>
      </c>
      <c r="K330" s="19">
        <f t="shared" si="63"/>
        <v>0</v>
      </c>
      <c r="L330" s="19">
        <f t="shared" si="64"/>
        <v>200</v>
      </c>
      <c r="M330" s="17">
        <f t="shared" si="65"/>
        <v>200</v>
      </c>
      <c r="N330" s="22">
        <f t="shared" si="66"/>
        <v>0.56925207756232687</v>
      </c>
      <c r="O330" s="22">
        <f t="shared" si="67"/>
        <v>0.36565096952908588</v>
      </c>
      <c r="P330" s="22">
        <f t="shared" si="68"/>
        <v>0.203601108033241</v>
      </c>
      <c r="Q330" t="str">
        <f t="shared" si="69"/>
        <v/>
      </c>
      <c r="S330">
        <f t="shared" si="70"/>
        <v>200.000967</v>
      </c>
      <c r="T330" s="23">
        <f t="shared" si="71"/>
        <v>0.20456810803324099</v>
      </c>
    </row>
    <row r="331" spans="1:20" ht="15" customHeight="1" x14ac:dyDescent="0.35">
      <c r="A331" t="str">
        <f>Benchmarking!A331</f>
        <v>MetLife Inc</v>
      </c>
      <c r="B331" t="str">
        <f>Benchmarking!B331</f>
        <v>met</v>
      </c>
      <c r="C331" t="str">
        <f>Benchmarking!C331</f>
        <v>Insurance</v>
      </c>
      <c r="D331" s="17">
        <f>Benchmarking!D331</f>
        <v>517</v>
      </c>
      <c r="E331" s="17">
        <f>Benchmarking!E331</f>
        <v>305</v>
      </c>
      <c r="F331" s="17">
        <f>Benchmarking!F331</f>
        <v>305</v>
      </c>
      <c r="G331" s="17">
        <f>Benchmarking!G331</f>
        <v>1127</v>
      </c>
      <c r="H331" t="str">
        <f t="shared" si="60"/>
        <v>Environmental</v>
      </c>
      <c r="I331" t="str">
        <f t="shared" si="61"/>
        <v>Social</v>
      </c>
      <c r="J331" s="19">
        <f t="shared" si="62"/>
        <v>212</v>
      </c>
      <c r="K331" s="19">
        <f t="shared" si="63"/>
        <v>0</v>
      </c>
      <c r="L331" s="19">
        <f t="shared" si="64"/>
        <v>212</v>
      </c>
      <c r="M331" s="17">
        <f t="shared" si="65"/>
        <v>212</v>
      </c>
      <c r="N331" s="22">
        <f t="shared" si="66"/>
        <v>0.68144044321329644</v>
      </c>
      <c r="O331" s="22">
        <f t="shared" si="67"/>
        <v>0.56371191135734067</v>
      </c>
      <c r="P331" s="22">
        <f t="shared" si="68"/>
        <v>0.11772853185595578</v>
      </c>
      <c r="Q331" t="str">
        <f t="shared" si="69"/>
        <v/>
      </c>
      <c r="S331">
        <f t="shared" si="70"/>
        <v>212.00096690000001</v>
      </c>
      <c r="T331" s="23">
        <f t="shared" si="71"/>
        <v>0.11869543185595578</v>
      </c>
    </row>
    <row r="332" spans="1:20" ht="15" customHeight="1" x14ac:dyDescent="0.35">
      <c r="A332" t="str">
        <f>Benchmarking!A332</f>
        <v>MGM Resorts International</v>
      </c>
      <c r="B332" t="str">
        <f>Benchmarking!B332</f>
        <v>mgm</v>
      </c>
      <c r="C332" t="str">
        <f>Benchmarking!C332</f>
        <v>Hotels Restaurants &amp; Leisure</v>
      </c>
      <c r="D332" s="17">
        <f>Benchmarking!D332</f>
        <v>500</v>
      </c>
      <c r="E332" s="17">
        <f>Benchmarking!E332</f>
        <v>300</v>
      </c>
      <c r="F332" s="17">
        <f>Benchmarking!F332</f>
        <v>200</v>
      </c>
      <c r="G332" s="17">
        <f>Benchmarking!G332</f>
        <v>1000</v>
      </c>
      <c r="H332" t="str">
        <f t="shared" si="60"/>
        <v>Environmental</v>
      </c>
      <c r="I332" t="str">
        <f t="shared" si="61"/>
        <v>Governance</v>
      </c>
      <c r="J332" s="19">
        <f t="shared" si="62"/>
        <v>200</v>
      </c>
      <c r="K332" s="19">
        <f t="shared" si="63"/>
        <v>100</v>
      </c>
      <c r="L332" s="19">
        <f t="shared" si="64"/>
        <v>300</v>
      </c>
      <c r="M332" s="17">
        <f t="shared" si="65"/>
        <v>300</v>
      </c>
      <c r="N332" s="22">
        <f t="shared" si="66"/>
        <v>0.45567867036011078</v>
      </c>
      <c r="O332" s="22">
        <f t="shared" si="67"/>
        <v>2.7700831024930748E-3</v>
      </c>
      <c r="P332" s="22">
        <f t="shared" si="68"/>
        <v>0.45290858725761773</v>
      </c>
      <c r="Q332" t="str">
        <f t="shared" si="69"/>
        <v/>
      </c>
      <c r="S332">
        <f t="shared" si="70"/>
        <v>300.00096680000001</v>
      </c>
      <c r="T332" s="23">
        <f t="shared" si="71"/>
        <v>0.45387538725761772</v>
      </c>
    </row>
    <row r="333" spans="1:20" ht="15" customHeight="1" x14ac:dyDescent="0.35">
      <c r="A333" t="str">
        <f>Benchmarking!A333</f>
        <v>Marsh &amp; McLennan Companies Inc</v>
      </c>
      <c r="B333" t="str">
        <f>Benchmarking!B333</f>
        <v>mmc</v>
      </c>
      <c r="C333" t="str">
        <f>Benchmarking!C333</f>
        <v>Insurance</v>
      </c>
      <c r="D333" s="17">
        <f>Benchmarking!D333</f>
        <v>500</v>
      </c>
      <c r="E333" s="17">
        <f>Benchmarking!E333</f>
        <v>300</v>
      </c>
      <c r="F333" s="17">
        <f>Benchmarking!F333</f>
        <v>300</v>
      </c>
      <c r="G333" s="17">
        <f>Benchmarking!G333</f>
        <v>1100</v>
      </c>
      <c r="H333" t="str">
        <f t="shared" si="60"/>
        <v>Environmental</v>
      </c>
      <c r="I333" t="str">
        <f t="shared" si="61"/>
        <v>Social</v>
      </c>
      <c r="J333" s="19">
        <f t="shared" si="62"/>
        <v>200</v>
      </c>
      <c r="K333" s="19">
        <f t="shared" si="63"/>
        <v>0</v>
      </c>
      <c r="L333" s="19">
        <f t="shared" si="64"/>
        <v>200</v>
      </c>
      <c r="M333" s="17">
        <f t="shared" si="65"/>
        <v>200</v>
      </c>
      <c r="N333" s="22">
        <f t="shared" si="66"/>
        <v>0.56925207756232687</v>
      </c>
      <c r="O333" s="22">
        <f t="shared" si="67"/>
        <v>0.36565096952908588</v>
      </c>
      <c r="P333" s="22">
        <f t="shared" si="68"/>
        <v>0.203601108033241</v>
      </c>
      <c r="Q333" t="str">
        <f t="shared" si="69"/>
        <v/>
      </c>
      <c r="S333">
        <f t="shared" si="70"/>
        <v>200.00096669999999</v>
      </c>
      <c r="T333" s="23">
        <f t="shared" si="71"/>
        <v>0.20456780803324098</v>
      </c>
    </row>
    <row r="334" spans="1:20" ht="15" customHeight="1" x14ac:dyDescent="0.35">
      <c r="A334" t="str">
        <f>Benchmarking!A334</f>
        <v>Altria Group Inc</v>
      </c>
      <c r="B334" t="str">
        <f>Benchmarking!B334</f>
        <v>mo</v>
      </c>
      <c r="C334" t="str">
        <f>Benchmarking!C334</f>
        <v>Tobacco</v>
      </c>
      <c r="D334" s="17">
        <f>Benchmarking!D334</f>
        <v>500</v>
      </c>
      <c r="E334" s="17">
        <f>Benchmarking!E334</f>
        <v>327</v>
      </c>
      <c r="F334" s="17">
        <f>Benchmarking!F334</f>
        <v>341</v>
      </c>
      <c r="G334" s="17">
        <f>Benchmarking!G334</f>
        <v>1168</v>
      </c>
      <c r="H334" t="str">
        <f t="shared" si="60"/>
        <v>Environmental</v>
      </c>
      <c r="I334" t="str">
        <f t="shared" si="61"/>
        <v>Social</v>
      </c>
      <c r="J334" s="19">
        <f t="shared" si="62"/>
        <v>173</v>
      </c>
      <c r="K334" s="19">
        <f t="shared" si="63"/>
        <v>-14</v>
      </c>
      <c r="L334" s="19">
        <f t="shared" si="64"/>
        <v>159</v>
      </c>
      <c r="M334" s="17">
        <f t="shared" si="65"/>
        <v>173</v>
      </c>
      <c r="N334" s="22">
        <f t="shared" si="66"/>
        <v>0.81855955678670356</v>
      </c>
      <c r="O334" s="22">
        <f t="shared" si="67"/>
        <v>0.51246537396121883</v>
      </c>
      <c r="P334" s="22">
        <f t="shared" si="68"/>
        <v>0.30609418282548473</v>
      </c>
      <c r="Q334" t="str">
        <f t="shared" si="69"/>
        <v/>
      </c>
      <c r="S334">
        <f t="shared" si="70"/>
        <v>173.0009666</v>
      </c>
      <c r="T334" s="23">
        <f t="shared" si="71"/>
        <v>0.30706078282548471</v>
      </c>
    </row>
    <row r="335" spans="1:20" ht="15" customHeight="1" x14ac:dyDescent="0.35">
      <c r="A335" t="str">
        <f>Benchmarking!A335</f>
        <v>Borgwarner Inc</v>
      </c>
      <c r="B335" t="str">
        <f>Benchmarking!B335</f>
        <v>bwa</v>
      </c>
      <c r="C335" t="str">
        <f>Benchmarking!C335</f>
        <v>Auto Components</v>
      </c>
      <c r="D335" s="17">
        <f>Benchmarking!D335</f>
        <v>260</v>
      </c>
      <c r="E335" s="17">
        <f>Benchmarking!E335</f>
        <v>206</v>
      </c>
      <c r="F335" s="17">
        <f>Benchmarking!F335</f>
        <v>230</v>
      </c>
      <c r="G335" s="17">
        <f>Benchmarking!G335</f>
        <v>696</v>
      </c>
      <c r="H335" t="str">
        <f t="shared" si="60"/>
        <v>Environmental</v>
      </c>
      <c r="I335" t="str">
        <f t="shared" si="61"/>
        <v>Social</v>
      </c>
      <c r="J335" s="19">
        <f t="shared" si="62"/>
        <v>54</v>
      </c>
      <c r="K335" s="19">
        <f t="shared" si="63"/>
        <v>-24</v>
      </c>
      <c r="L335" s="19">
        <f t="shared" si="64"/>
        <v>30</v>
      </c>
      <c r="M335" s="17">
        <f t="shared" si="65"/>
        <v>54</v>
      </c>
      <c r="N335" s="22">
        <f t="shared" si="66"/>
        <v>0.15927977839335181</v>
      </c>
      <c r="O335" s="22">
        <f t="shared" si="67"/>
        <v>8.4487534626038779E-2</v>
      </c>
      <c r="P335" s="22">
        <f t="shared" si="68"/>
        <v>7.4792243767313027E-2</v>
      </c>
      <c r="Q335" t="str">
        <f t="shared" si="69"/>
        <v/>
      </c>
      <c r="S335">
        <f t="shared" si="70"/>
        <v>54.000966499999997</v>
      </c>
      <c r="T335" s="23">
        <f t="shared" si="71"/>
        <v>7.5758743767313022E-2</v>
      </c>
    </row>
    <row r="336" spans="1:20" ht="15" customHeight="1" x14ac:dyDescent="0.35">
      <c r="A336" t="str">
        <f>Benchmarking!A336</f>
        <v>Merck &amp; Co Inc</v>
      </c>
      <c r="B336" t="str">
        <f>Benchmarking!B336</f>
        <v>mrk</v>
      </c>
      <c r="C336" t="str">
        <f>Benchmarking!C336</f>
        <v>Pharmaceuticals</v>
      </c>
      <c r="D336" s="17">
        <f>Benchmarking!D336</f>
        <v>500</v>
      </c>
      <c r="E336" s="17">
        <f>Benchmarking!E336</f>
        <v>305</v>
      </c>
      <c r="F336" s="17">
        <f>Benchmarking!F336</f>
        <v>315</v>
      </c>
      <c r="G336" s="17">
        <f>Benchmarking!G336</f>
        <v>1120</v>
      </c>
      <c r="H336" t="str">
        <f t="shared" si="60"/>
        <v>Environmental</v>
      </c>
      <c r="I336" t="str">
        <f t="shared" si="61"/>
        <v>Social</v>
      </c>
      <c r="J336" s="19">
        <f t="shared" si="62"/>
        <v>195</v>
      </c>
      <c r="K336" s="19">
        <f t="shared" si="63"/>
        <v>-10</v>
      </c>
      <c r="L336" s="19">
        <f t="shared" si="64"/>
        <v>185</v>
      </c>
      <c r="M336" s="17">
        <f t="shared" si="65"/>
        <v>195</v>
      </c>
      <c r="N336" s="22">
        <f t="shared" si="66"/>
        <v>0.66204986149584488</v>
      </c>
      <c r="O336" s="22">
        <f t="shared" si="67"/>
        <v>0.51246537396121883</v>
      </c>
      <c r="P336" s="22">
        <f t="shared" si="68"/>
        <v>0.14958448753462605</v>
      </c>
      <c r="Q336" t="str">
        <f t="shared" si="69"/>
        <v/>
      </c>
      <c r="S336">
        <f t="shared" si="70"/>
        <v>195.00096640000001</v>
      </c>
      <c r="T336" s="23">
        <f t="shared" si="71"/>
        <v>0.15055088753462606</v>
      </c>
    </row>
    <row r="337" spans="1:20" ht="15" customHeight="1" x14ac:dyDescent="0.35">
      <c r="A337" t="str">
        <f>Benchmarking!A337</f>
        <v>Marathon Oil Corp</v>
      </c>
      <c r="B337" t="str">
        <f>Benchmarking!B337</f>
        <v>mro</v>
      </c>
      <c r="C337" t="str">
        <f>Benchmarking!C337</f>
        <v>Energy</v>
      </c>
      <c r="D337" s="17">
        <f>Benchmarking!D337</f>
        <v>530</v>
      </c>
      <c r="E337" s="17">
        <f>Benchmarking!E337</f>
        <v>313</v>
      </c>
      <c r="F337" s="17">
        <f>Benchmarking!F337</f>
        <v>305</v>
      </c>
      <c r="G337" s="17">
        <f>Benchmarking!G337</f>
        <v>1148</v>
      </c>
      <c r="H337" t="str">
        <f t="shared" si="60"/>
        <v>Environmental</v>
      </c>
      <c r="I337" t="str">
        <f t="shared" si="61"/>
        <v>Governance</v>
      </c>
      <c r="J337" s="19">
        <f t="shared" si="62"/>
        <v>217</v>
      </c>
      <c r="K337" s="19">
        <f t="shared" si="63"/>
        <v>8</v>
      </c>
      <c r="L337" s="19">
        <f t="shared" si="64"/>
        <v>225</v>
      </c>
      <c r="M337" s="17">
        <f t="shared" si="65"/>
        <v>225</v>
      </c>
      <c r="N337" s="22">
        <f t="shared" si="66"/>
        <v>0.76177285318559562</v>
      </c>
      <c r="O337" s="22">
        <f t="shared" si="67"/>
        <v>0.63296398891966754</v>
      </c>
      <c r="P337" s="22">
        <f t="shared" si="68"/>
        <v>0.12880886426592808</v>
      </c>
      <c r="Q337" t="str">
        <f t="shared" si="69"/>
        <v/>
      </c>
      <c r="S337">
        <f t="shared" si="70"/>
        <v>225.00096629999999</v>
      </c>
      <c r="T337" s="23">
        <f t="shared" si="71"/>
        <v>0.12977516426592808</v>
      </c>
    </row>
    <row r="338" spans="1:20" ht="15" customHeight="1" x14ac:dyDescent="0.35">
      <c r="A338" t="str">
        <f>Benchmarking!A338</f>
        <v>Marathon Petroleum Corp</v>
      </c>
      <c r="B338" t="str">
        <f>Benchmarking!B338</f>
        <v>mpc</v>
      </c>
      <c r="C338" t="str">
        <f>Benchmarking!C338</f>
        <v>Energy</v>
      </c>
      <c r="D338" s="17">
        <f>Benchmarking!D338</f>
        <v>700</v>
      </c>
      <c r="E338" s="17">
        <f>Benchmarking!E338</f>
        <v>366</v>
      </c>
      <c r="F338" s="17">
        <f>Benchmarking!F338</f>
        <v>315</v>
      </c>
      <c r="G338" s="17">
        <f>Benchmarking!G338</f>
        <v>1381</v>
      </c>
      <c r="H338" t="str">
        <f t="shared" si="60"/>
        <v>Environmental</v>
      </c>
      <c r="I338" t="str">
        <f t="shared" si="61"/>
        <v>Governance</v>
      </c>
      <c r="J338" s="19">
        <f t="shared" si="62"/>
        <v>334</v>
      </c>
      <c r="K338" s="19">
        <f t="shared" si="63"/>
        <v>51</v>
      </c>
      <c r="L338" s="19">
        <f t="shared" si="64"/>
        <v>385</v>
      </c>
      <c r="M338" s="17">
        <f t="shared" si="65"/>
        <v>385</v>
      </c>
      <c r="N338" s="22">
        <f t="shared" si="66"/>
        <v>0.98199445983379496</v>
      </c>
      <c r="O338" s="22">
        <f t="shared" si="67"/>
        <v>0.82548476454293629</v>
      </c>
      <c r="P338" s="22">
        <f t="shared" si="68"/>
        <v>0.15650969529085867</v>
      </c>
      <c r="Q338" t="str">
        <f t="shared" si="69"/>
        <v/>
      </c>
      <c r="S338">
        <f t="shared" si="70"/>
        <v>385.00096619999999</v>
      </c>
      <c r="T338" s="23">
        <f t="shared" si="71"/>
        <v>0.15747589529085868</v>
      </c>
    </row>
    <row r="339" spans="1:20" ht="15" customHeight="1" x14ac:dyDescent="0.35">
      <c r="A339" t="str">
        <f>Benchmarking!A339</f>
        <v>Morgan Stanley</v>
      </c>
      <c r="B339" t="str">
        <f>Benchmarking!B339</f>
        <v>ms</v>
      </c>
      <c r="C339" t="str">
        <f>Benchmarking!C339</f>
        <v>Financial Services</v>
      </c>
      <c r="D339" s="17">
        <f>Benchmarking!D339</f>
        <v>555</v>
      </c>
      <c r="E339" s="17">
        <f>Benchmarking!E339</f>
        <v>303</v>
      </c>
      <c r="F339" s="17">
        <f>Benchmarking!F339</f>
        <v>320</v>
      </c>
      <c r="G339" s="17">
        <f>Benchmarking!G339</f>
        <v>1178</v>
      </c>
      <c r="H339" t="str">
        <f t="shared" si="60"/>
        <v>Environmental</v>
      </c>
      <c r="I339" t="str">
        <f t="shared" si="61"/>
        <v>Social</v>
      </c>
      <c r="J339" s="19">
        <f t="shared" si="62"/>
        <v>252</v>
      </c>
      <c r="K339" s="19">
        <f t="shared" si="63"/>
        <v>-17</v>
      </c>
      <c r="L339" s="19">
        <f t="shared" si="64"/>
        <v>235</v>
      </c>
      <c r="M339" s="17">
        <f t="shared" si="65"/>
        <v>252</v>
      </c>
      <c r="N339" s="22">
        <f t="shared" si="66"/>
        <v>0.84487534626038785</v>
      </c>
      <c r="O339" s="22">
        <f t="shared" si="67"/>
        <v>0.52493074792243766</v>
      </c>
      <c r="P339" s="22">
        <f t="shared" si="68"/>
        <v>0.31994459833795019</v>
      </c>
      <c r="Q339" t="str">
        <f t="shared" si="69"/>
        <v/>
      </c>
      <c r="S339">
        <f t="shared" si="70"/>
        <v>252.0009661</v>
      </c>
      <c r="T339" s="23">
        <f t="shared" si="71"/>
        <v>0.32091069833795022</v>
      </c>
    </row>
    <row r="340" spans="1:20" ht="15" customHeight="1" x14ac:dyDescent="0.35">
      <c r="A340" t="str">
        <f>Benchmarking!A340</f>
        <v>M&amp;T Bank Corp</v>
      </c>
      <c r="B340" t="str">
        <f>Benchmarking!B340</f>
        <v>mtb</v>
      </c>
      <c r="C340" t="str">
        <f>Benchmarking!C340</f>
        <v>Banking</v>
      </c>
      <c r="D340" s="17">
        <f>Benchmarking!D340</f>
        <v>500</v>
      </c>
      <c r="E340" s="17">
        <f>Benchmarking!E340</f>
        <v>303</v>
      </c>
      <c r="F340" s="17">
        <f>Benchmarking!F340</f>
        <v>260</v>
      </c>
      <c r="G340" s="17">
        <f>Benchmarking!G340</f>
        <v>1063</v>
      </c>
      <c r="H340" t="str">
        <f t="shared" si="60"/>
        <v>Environmental</v>
      </c>
      <c r="I340" t="str">
        <f t="shared" si="61"/>
        <v>Governance</v>
      </c>
      <c r="J340" s="19">
        <f t="shared" si="62"/>
        <v>197</v>
      </c>
      <c r="K340" s="19">
        <f t="shared" si="63"/>
        <v>43</v>
      </c>
      <c r="L340" s="19">
        <f t="shared" si="64"/>
        <v>240</v>
      </c>
      <c r="M340" s="17">
        <f t="shared" si="65"/>
        <v>240</v>
      </c>
      <c r="N340" s="22">
        <f t="shared" si="66"/>
        <v>0.51939058171745156</v>
      </c>
      <c r="O340" s="22">
        <f t="shared" si="67"/>
        <v>0.32409972299168976</v>
      </c>
      <c r="P340" s="22">
        <f t="shared" si="68"/>
        <v>0.1952908587257618</v>
      </c>
      <c r="Q340" t="str">
        <f t="shared" si="69"/>
        <v/>
      </c>
      <c r="S340">
        <f t="shared" si="70"/>
        <v>240.00096600000001</v>
      </c>
      <c r="T340" s="23">
        <f t="shared" si="71"/>
        <v>0.19625685872576179</v>
      </c>
    </row>
    <row r="341" spans="1:20" ht="15" customHeight="1" x14ac:dyDescent="0.35">
      <c r="A341" t="str">
        <f>Benchmarking!A341</f>
        <v>Mettler-Toledo International Inc</v>
      </c>
      <c r="B341" t="str">
        <f>Benchmarking!B341</f>
        <v>mtd</v>
      </c>
      <c r="C341" t="str">
        <f>Benchmarking!C341</f>
        <v>Life Sciences Tools &amp; Services</v>
      </c>
      <c r="D341" s="17">
        <f>Benchmarking!D341</f>
        <v>505</v>
      </c>
      <c r="E341" s="17">
        <f>Benchmarking!E341</f>
        <v>300</v>
      </c>
      <c r="F341" s="17">
        <f>Benchmarking!F341</f>
        <v>240</v>
      </c>
      <c r="G341" s="17">
        <f>Benchmarking!G341</f>
        <v>1045</v>
      </c>
      <c r="H341" t="str">
        <f t="shared" si="60"/>
        <v>Environmental</v>
      </c>
      <c r="I341" t="str">
        <f t="shared" si="61"/>
        <v>Governance</v>
      </c>
      <c r="J341" s="19">
        <f t="shared" si="62"/>
        <v>205</v>
      </c>
      <c r="K341" s="19">
        <f t="shared" si="63"/>
        <v>60</v>
      </c>
      <c r="L341" s="19">
        <f t="shared" si="64"/>
        <v>265</v>
      </c>
      <c r="M341" s="17">
        <f t="shared" si="65"/>
        <v>265</v>
      </c>
      <c r="N341" s="22">
        <f t="shared" si="66"/>
        <v>0.5</v>
      </c>
      <c r="O341" s="22">
        <f t="shared" si="67"/>
        <v>0.2742382271468144</v>
      </c>
      <c r="P341" s="22">
        <f t="shared" si="68"/>
        <v>0.2257617728531856</v>
      </c>
      <c r="Q341" t="str">
        <f t="shared" si="69"/>
        <v/>
      </c>
      <c r="S341">
        <f t="shared" si="70"/>
        <v>265.00096589999998</v>
      </c>
      <c r="T341" s="23">
        <f t="shared" si="71"/>
        <v>0.2267276728531856</v>
      </c>
    </row>
    <row r="342" spans="1:20" ht="15" customHeight="1" x14ac:dyDescent="0.35">
      <c r="A342" t="str">
        <f>Benchmarking!A342</f>
        <v>Motorola Solutions Inc</v>
      </c>
      <c r="B342" t="str">
        <f>Benchmarking!B342</f>
        <v>msi</v>
      </c>
      <c r="C342" t="str">
        <f>Benchmarking!C342</f>
        <v>Communications</v>
      </c>
      <c r="D342" s="17">
        <f>Benchmarking!D342</f>
        <v>505</v>
      </c>
      <c r="E342" s="17">
        <f>Benchmarking!E342</f>
        <v>305</v>
      </c>
      <c r="F342" s="17">
        <f>Benchmarking!F342</f>
        <v>347</v>
      </c>
      <c r="G342" s="17">
        <f>Benchmarking!G342</f>
        <v>1157</v>
      </c>
      <c r="H342" t="str">
        <f t="shared" si="60"/>
        <v>Environmental</v>
      </c>
      <c r="I342" t="str">
        <f t="shared" si="61"/>
        <v>Social</v>
      </c>
      <c r="J342" s="19">
        <f t="shared" si="62"/>
        <v>200</v>
      </c>
      <c r="K342" s="19">
        <f t="shared" si="63"/>
        <v>-42</v>
      </c>
      <c r="L342" s="19">
        <f t="shared" si="64"/>
        <v>158</v>
      </c>
      <c r="M342" s="17">
        <f t="shared" si="65"/>
        <v>200</v>
      </c>
      <c r="N342" s="22">
        <f t="shared" si="66"/>
        <v>0.78947368421052633</v>
      </c>
      <c r="O342" s="22">
        <f t="shared" si="67"/>
        <v>0.56371191135734067</v>
      </c>
      <c r="P342" s="22">
        <f t="shared" si="68"/>
        <v>0.22576177285318566</v>
      </c>
      <c r="Q342" t="str">
        <f t="shared" si="69"/>
        <v/>
      </c>
      <c r="S342">
        <f t="shared" si="70"/>
        <v>200.00096579999999</v>
      </c>
      <c r="T342" s="23">
        <f t="shared" si="71"/>
        <v>0.22672757285318565</v>
      </c>
    </row>
    <row r="343" spans="1:20" ht="15" customHeight="1" x14ac:dyDescent="0.35">
      <c r="A343" t="str">
        <f>Benchmarking!A343</f>
        <v>Nextera Energy Inc</v>
      </c>
      <c r="B343" t="str">
        <f>Benchmarking!B343</f>
        <v>nee</v>
      </c>
      <c r="C343" t="str">
        <f>Benchmarking!C343</f>
        <v>Utilities</v>
      </c>
      <c r="D343" s="17">
        <f>Benchmarking!D343</f>
        <v>668</v>
      </c>
      <c r="E343" s="17">
        <f>Benchmarking!E343</f>
        <v>306</v>
      </c>
      <c r="F343" s="17">
        <f>Benchmarking!F343</f>
        <v>313</v>
      </c>
      <c r="G343" s="17">
        <f>Benchmarking!G343</f>
        <v>1287</v>
      </c>
      <c r="H343" t="str">
        <f t="shared" si="60"/>
        <v>Environmental</v>
      </c>
      <c r="I343" t="str">
        <f t="shared" si="61"/>
        <v>Social</v>
      </c>
      <c r="J343" s="19">
        <f t="shared" si="62"/>
        <v>362</v>
      </c>
      <c r="K343" s="19">
        <f t="shared" si="63"/>
        <v>-7</v>
      </c>
      <c r="L343" s="19">
        <f t="shared" si="64"/>
        <v>355</v>
      </c>
      <c r="M343" s="17">
        <f t="shared" si="65"/>
        <v>362</v>
      </c>
      <c r="N343" s="22">
        <f t="shared" si="66"/>
        <v>0.96121883656509699</v>
      </c>
      <c r="O343" s="22">
        <f t="shared" si="67"/>
        <v>0.58033240997229918</v>
      </c>
      <c r="P343" s="22">
        <f t="shared" si="68"/>
        <v>0.38088642659279781</v>
      </c>
      <c r="Q343" t="str">
        <f t="shared" si="69"/>
        <v/>
      </c>
      <c r="S343">
        <f t="shared" si="70"/>
        <v>362.00096569999999</v>
      </c>
      <c r="T343" s="23">
        <f t="shared" si="71"/>
        <v>0.38185212659279782</v>
      </c>
    </row>
    <row r="344" spans="1:20" ht="15" customHeight="1" x14ac:dyDescent="0.35">
      <c r="A344" t="str">
        <f>Benchmarking!A344</f>
        <v>MSCI Inc</v>
      </c>
      <c r="B344" t="str">
        <f>Benchmarking!B344</f>
        <v>msci</v>
      </c>
      <c r="C344" t="str">
        <f>Benchmarking!C344</f>
        <v>Financial Services</v>
      </c>
      <c r="D344" s="17">
        <f>Benchmarking!D344</f>
        <v>580</v>
      </c>
      <c r="E344" s="17">
        <f>Benchmarking!E344</f>
        <v>347</v>
      </c>
      <c r="F344" s="17">
        <f>Benchmarking!F344</f>
        <v>335</v>
      </c>
      <c r="G344" s="17">
        <f>Benchmarking!G344</f>
        <v>1262</v>
      </c>
      <c r="H344" t="str">
        <f t="shared" si="60"/>
        <v>Environmental</v>
      </c>
      <c r="I344" t="str">
        <f t="shared" si="61"/>
        <v>Governance</v>
      </c>
      <c r="J344" s="19">
        <f t="shared" si="62"/>
        <v>233</v>
      </c>
      <c r="K344" s="19">
        <f t="shared" si="63"/>
        <v>12</v>
      </c>
      <c r="L344" s="19">
        <f t="shared" si="64"/>
        <v>245</v>
      </c>
      <c r="M344" s="17">
        <f t="shared" si="65"/>
        <v>245</v>
      </c>
      <c r="N344" s="22">
        <f t="shared" si="66"/>
        <v>0.945983379501385</v>
      </c>
      <c r="O344" s="22">
        <f t="shared" si="67"/>
        <v>0.89058171745152359</v>
      </c>
      <c r="P344" s="22">
        <f t="shared" si="68"/>
        <v>5.5401662049861411E-2</v>
      </c>
      <c r="Q344" t="str">
        <f t="shared" si="69"/>
        <v/>
      </c>
      <c r="S344">
        <f t="shared" si="70"/>
        <v>245.0009656</v>
      </c>
      <c r="T344" s="23">
        <f t="shared" si="71"/>
        <v>5.6367262049861408E-2</v>
      </c>
    </row>
    <row r="345" spans="1:20" ht="15" customHeight="1" x14ac:dyDescent="0.35">
      <c r="A345" t="str">
        <f>Benchmarking!A345</f>
        <v>Norwegian Cruise Line Holdings Ltd</v>
      </c>
      <c r="B345" t="str">
        <f>Benchmarking!B345</f>
        <v>nclh</v>
      </c>
      <c r="C345" t="str">
        <f>Benchmarking!C345</f>
        <v>Hotels Restaurants &amp; Leisure</v>
      </c>
      <c r="D345" s="17">
        <f>Benchmarking!D345</f>
        <v>495</v>
      </c>
      <c r="E345" s="17">
        <f>Benchmarking!E345</f>
        <v>306</v>
      </c>
      <c r="F345" s="17">
        <f>Benchmarking!F345</f>
        <v>300</v>
      </c>
      <c r="G345" s="17">
        <f>Benchmarking!G345</f>
        <v>1101</v>
      </c>
      <c r="H345" t="str">
        <f t="shared" si="60"/>
        <v>Environmental</v>
      </c>
      <c r="I345" t="str">
        <f t="shared" si="61"/>
        <v>Governance</v>
      </c>
      <c r="J345" s="19">
        <f t="shared" si="62"/>
        <v>189</v>
      </c>
      <c r="K345" s="19">
        <f t="shared" si="63"/>
        <v>6</v>
      </c>
      <c r="L345" s="19">
        <f t="shared" si="64"/>
        <v>195</v>
      </c>
      <c r="M345" s="17">
        <f t="shared" si="65"/>
        <v>195</v>
      </c>
      <c r="N345" s="22">
        <f t="shared" si="66"/>
        <v>0.61080332409972304</v>
      </c>
      <c r="O345" s="22">
        <f t="shared" si="67"/>
        <v>0.39335180055401664</v>
      </c>
      <c r="P345" s="22">
        <f t="shared" si="68"/>
        <v>0.2174515235457064</v>
      </c>
      <c r="Q345" t="str">
        <f t="shared" si="69"/>
        <v/>
      </c>
      <c r="S345">
        <f t="shared" si="70"/>
        <v>195.00096550000001</v>
      </c>
      <c r="T345" s="23">
        <f t="shared" si="71"/>
        <v>0.21841702354570641</v>
      </c>
    </row>
    <row r="346" spans="1:20" ht="15" customHeight="1" x14ac:dyDescent="0.35">
      <c r="A346" t="str">
        <f>Benchmarking!A346</f>
        <v>NiSource Inc</v>
      </c>
      <c r="B346" t="str">
        <f>Benchmarking!B346</f>
        <v>ni</v>
      </c>
      <c r="C346" t="str">
        <f>Benchmarking!C346</f>
        <v>Utilities</v>
      </c>
      <c r="D346" s="17">
        <f>Benchmarking!D346</f>
        <v>361</v>
      </c>
      <c r="E346" s="17">
        <f>Benchmarking!E346</f>
        <v>322</v>
      </c>
      <c r="F346" s="17">
        <f>Benchmarking!F346</f>
        <v>223</v>
      </c>
      <c r="G346" s="17">
        <f>Benchmarking!G346</f>
        <v>906</v>
      </c>
      <c r="H346" t="str">
        <f t="shared" si="60"/>
        <v>Environmental</v>
      </c>
      <c r="I346" t="str">
        <f t="shared" si="61"/>
        <v>Governance</v>
      </c>
      <c r="J346" s="19">
        <f t="shared" si="62"/>
        <v>39</v>
      </c>
      <c r="K346" s="19">
        <f t="shared" si="63"/>
        <v>99</v>
      </c>
      <c r="L346" s="19">
        <f t="shared" si="64"/>
        <v>138</v>
      </c>
      <c r="M346" s="17">
        <f t="shared" si="65"/>
        <v>138</v>
      </c>
      <c r="N346" s="22">
        <f t="shared" si="66"/>
        <v>0.38088642659279781</v>
      </c>
      <c r="O346" s="22">
        <f t="shared" si="67"/>
        <v>0.21329639889196675</v>
      </c>
      <c r="P346" s="22">
        <f t="shared" si="68"/>
        <v>0.16759002770083106</v>
      </c>
      <c r="Q346" t="str">
        <f t="shared" si="69"/>
        <v/>
      </c>
      <c r="S346">
        <f t="shared" si="70"/>
        <v>138.00096540000001</v>
      </c>
      <c r="T346" s="23">
        <f t="shared" si="71"/>
        <v>0.16855542770083107</v>
      </c>
    </row>
    <row r="347" spans="1:20" ht="15" customHeight="1" x14ac:dyDescent="0.35">
      <c r="A347" t="str">
        <f>Benchmarking!A347</f>
        <v>Northrop Grumman Corp</v>
      </c>
      <c r="B347" t="str">
        <f>Benchmarking!B347</f>
        <v>noc</v>
      </c>
      <c r="C347" t="str">
        <f>Benchmarking!C347</f>
        <v>Aerospace &amp; Defense</v>
      </c>
      <c r="D347" s="17">
        <f>Benchmarking!D347</f>
        <v>505</v>
      </c>
      <c r="E347" s="17">
        <f>Benchmarking!E347</f>
        <v>302</v>
      </c>
      <c r="F347" s="17">
        <f>Benchmarking!F347</f>
        <v>300</v>
      </c>
      <c r="G347" s="17">
        <f>Benchmarking!G347</f>
        <v>1107</v>
      </c>
      <c r="H347" t="str">
        <f t="shared" si="60"/>
        <v>Environmental</v>
      </c>
      <c r="I347" t="str">
        <f t="shared" si="61"/>
        <v>Governance</v>
      </c>
      <c r="J347" s="19">
        <f t="shared" si="62"/>
        <v>203</v>
      </c>
      <c r="K347" s="19">
        <f t="shared" si="63"/>
        <v>2</v>
      </c>
      <c r="L347" s="19">
        <f t="shared" si="64"/>
        <v>205</v>
      </c>
      <c r="M347" s="17">
        <f t="shared" si="65"/>
        <v>205</v>
      </c>
      <c r="N347" s="22">
        <f t="shared" si="66"/>
        <v>0.62880886426592797</v>
      </c>
      <c r="O347" s="22">
        <f t="shared" si="67"/>
        <v>0.39335180055401664</v>
      </c>
      <c r="P347" s="22">
        <f t="shared" si="68"/>
        <v>0.23545706371191133</v>
      </c>
      <c r="Q347" t="str">
        <f t="shared" si="69"/>
        <v/>
      </c>
      <c r="S347">
        <f t="shared" si="70"/>
        <v>205.00096529999999</v>
      </c>
      <c r="T347" s="23">
        <f t="shared" si="71"/>
        <v>0.23642236371191133</v>
      </c>
    </row>
    <row r="348" spans="1:20" ht="15" customHeight="1" x14ac:dyDescent="0.35">
      <c r="A348" t="str">
        <f>Benchmarking!A348</f>
        <v>ServiceNow Inc</v>
      </c>
      <c r="B348" t="str">
        <f>Benchmarking!B348</f>
        <v>now</v>
      </c>
      <c r="C348" t="str">
        <f>Benchmarking!C348</f>
        <v>Technology</v>
      </c>
      <c r="D348" s="17">
        <f>Benchmarking!D348</f>
        <v>550</v>
      </c>
      <c r="E348" s="17">
        <f>Benchmarking!E348</f>
        <v>374</v>
      </c>
      <c r="F348" s="17">
        <f>Benchmarking!F348</f>
        <v>350</v>
      </c>
      <c r="G348" s="17">
        <f>Benchmarking!G348</f>
        <v>1274</v>
      </c>
      <c r="H348" t="str">
        <f t="shared" si="60"/>
        <v>Environmental</v>
      </c>
      <c r="I348" t="str">
        <f t="shared" si="61"/>
        <v>Governance</v>
      </c>
      <c r="J348" s="19">
        <f t="shared" si="62"/>
        <v>176</v>
      </c>
      <c r="K348" s="19">
        <f t="shared" si="63"/>
        <v>24</v>
      </c>
      <c r="L348" s="19">
        <f t="shared" si="64"/>
        <v>200</v>
      </c>
      <c r="M348" s="17">
        <f t="shared" si="65"/>
        <v>200</v>
      </c>
      <c r="N348" s="22">
        <f t="shared" si="66"/>
        <v>0.95429362880886426</v>
      </c>
      <c r="O348" s="22">
        <f t="shared" si="67"/>
        <v>0.87673130193905813</v>
      </c>
      <c r="P348" s="22">
        <f t="shared" si="68"/>
        <v>7.7562326869806131E-2</v>
      </c>
      <c r="Q348" t="str">
        <f t="shared" si="69"/>
        <v/>
      </c>
      <c r="S348">
        <f t="shared" si="70"/>
        <v>200.0009652</v>
      </c>
      <c r="T348" s="23">
        <f t="shared" si="71"/>
        <v>7.852752686980613E-2</v>
      </c>
    </row>
    <row r="349" spans="1:20" ht="15" customHeight="1" x14ac:dyDescent="0.35">
      <c r="A349" t="str">
        <f>Benchmarking!A349</f>
        <v>Nucor Corp</v>
      </c>
      <c r="B349" t="str">
        <f>Benchmarking!B349</f>
        <v>nue</v>
      </c>
      <c r="C349" t="str">
        <f>Benchmarking!C349</f>
        <v>Metals &amp; Mining</v>
      </c>
      <c r="D349" s="17">
        <f>Benchmarking!D349</f>
        <v>374</v>
      </c>
      <c r="E349" s="17">
        <f>Benchmarking!E349</f>
        <v>340</v>
      </c>
      <c r="F349" s="17">
        <f>Benchmarking!F349</f>
        <v>225</v>
      </c>
      <c r="G349" s="17">
        <f>Benchmarking!G349</f>
        <v>939</v>
      </c>
      <c r="H349" t="str">
        <f t="shared" si="60"/>
        <v>Environmental</v>
      </c>
      <c r="I349" t="str">
        <f t="shared" si="61"/>
        <v>Governance</v>
      </c>
      <c r="J349" s="19">
        <f t="shared" si="62"/>
        <v>34</v>
      </c>
      <c r="K349" s="19">
        <f t="shared" si="63"/>
        <v>115</v>
      </c>
      <c r="L349" s="19">
        <f t="shared" si="64"/>
        <v>149</v>
      </c>
      <c r="M349" s="17">
        <f t="shared" si="65"/>
        <v>149</v>
      </c>
      <c r="N349" s="22">
        <f t="shared" si="66"/>
        <v>0.40720221606648199</v>
      </c>
      <c r="O349" s="22">
        <f t="shared" si="67"/>
        <v>0.21606648199445982</v>
      </c>
      <c r="P349" s="22">
        <f t="shared" si="68"/>
        <v>0.19113573407202217</v>
      </c>
      <c r="Q349" t="str">
        <f t="shared" si="69"/>
        <v/>
      </c>
      <c r="S349">
        <f t="shared" si="70"/>
        <v>149.0009651</v>
      </c>
      <c r="T349" s="23">
        <f t="shared" si="71"/>
        <v>0.19210083407202216</v>
      </c>
    </row>
    <row r="350" spans="1:20" ht="15" customHeight="1" x14ac:dyDescent="0.35">
      <c r="A350" t="str">
        <f>Benchmarking!A350</f>
        <v>Nielsen Holdings PLC</v>
      </c>
      <c r="B350" t="str">
        <f>Benchmarking!B350</f>
        <v>nlsn</v>
      </c>
      <c r="C350" t="str">
        <f>Benchmarking!C350</f>
        <v>Professional Services</v>
      </c>
      <c r="D350" s="17">
        <f>Benchmarking!D350</f>
        <v>500</v>
      </c>
      <c r="E350" s="17">
        <f>Benchmarking!E350</f>
        <v>310</v>
      </c>
      <c r="F350" s="17">
        <f>Benchmarking!F350</f>
        <v>300</v>
      </c>
      <c r="G350" s="17">
        <f>Benchmarking!G350</f>
        <v>1110</v>
      </c>
      <c r="H350" t="str">
        <f t="shared" si="60"/>
        <v>Environmental</v>
      </c>
      <c r="I350" t="str">
        <f t="shared" si="61"/>
        <v>Governance</v>
      </c>
      <c r="J350" s="19">
        <f t="shared" si="62"/>
        <v>190</v>
      </c>
      <c r="K350" s="19">
        <f t="shared" si="63"/>
        <v>10</v>
      </c>
      <c r="L350" s="19">
        <f t="shared" si="64"/>
        <v>200</v>
      </c>
      <c r="M350" s="17">
        <f t="shared" si="65"/>
        <v>200</v>
      </c>
      <c r="N350" s="22">
        <f t="shared" si="66"/>
        <v>0.6357340720221607</v>
      </c>
      <c r="O350" s="22">
        <f t="shared" si="67"/>
        <v>0.39335180055401664</v>
      </c>
      <c r="P350" s="22">
        <f t="shared" si="68"/>
        <v>0.24238227146814406</v>
      </c>
      <c r="Q350" t="str">
        <f t="shared" si="69"/>
        <v/>
      </c>
      <c r="S350">
        <f t="shared" si="70"/>
        <v>200.00096500000001</v>
      </c>
      <c r="T350" s="23">
        <f t="shared" si="71"/>
        <v>0.24334727146814406</v>
      </c>
    </row>
    <row r="351" spans="1:20" ht="15" customHeight="1" x14ac:dyDescent="0.35">
      <c r="A351" t="str">
        <f>Benchmarking!A351</f>
        <v>Norfolk Southern Corp</v>
      </c>
      <c r="B351" t="str">
        <f>Benchmarking!B351</f>
        <v>nsc</v>
      </c>
      <c r="C351" t="str">
        <f>Benchmarking!C351</f>
        <v>Road &amp; Rail</v>
      </c>
      <c r="D351" s="17">
        <f>Benchmarking!D351</f>
        <v>358</v>
      </c>
      <c r="E351" s="17">
        <f>Benchmarking!E351</f>
        <v>339</v>
      </c>
      <c r="F351" s="17">
        <f>Benchmarking!F351</f>
        <v>330</v>
      </c>
      <c r="G351" s="17">
        <f>Benchmarking!G351</f>
        <v>1027</v>
      </c>
      <c r="H351" t="str">
        <f t="shared" si="60"/>
        <v>Environmental</v>
      </c>
      <c r="I351" t="str">
        <f t="shared" si="61"/>
        <v>Governance</v>
      </c>
      <c r="J351" s="19">
        <f t="shared" si="62"/>
        <v>19</v>
      </c>
      <c r="K351" s="19">
        <f t="shared" si="63"/>
        <v>9</v>
      </c>
      <c r="L351" s="19">
        <f t="shared" si="64"/>
        <v>28</v>
      </c>
      <c r="M351" s="17">
        <f t="shared" si="65"/>
        <v>28</v>
      </c>
      <c r="N351" s="22">
        <f t="shared" si="66"/>
        <v>0.49030470914127422</v>
      </c>
      <c r="O351" s="22">
        <f t="shared" si="67"/>
        <v>0.41274238227146814</v>
      </c>
      <c r="P351" s="22">
        <f t="shared" si="68"/>
        <v>7.7562326869806075E-2</v>
      </c>
      <c r="Q351" t="str">
        <f t="shared" si="69"/>
        <v/>
      </c>
      <c r="S351">
        <f t="shared" si="70"/>
        <v>28.0009649</v>
      </c>
      <c r="T351" s="23">
        <f t="shared" si="71"/>
        <v>7.852722686980608E-2</v>
      </c>
    </row>
    <row r="352" spans="1:20" ht="15" customHeight="1" x14ac:dyDescent="0.35">
      <c r="A352" t="str">
        <f>Benchmarking!A352</f>
        <v>NVR Inc</v>
      </c>
      <c r="B352" t="str">
        <f>Benchmarking!B352</f>
        <v>nvr</v>
      </c>
      <c r="C352" t="str">
        <f>Benchmarking!C352</f>
        <v>Consumer products</v>
      </c>
      <c r="D352" s="17">
        <f>Benchmarking!D352</f>
        <v>265</v>
      </c>
      <c r="E352" s="17">
        <f>Benchmarking!E352</f>
        <v>206</v>
      </c>
      <c r="F352" s="17">
        <f>Benchmarking!F352</f>
        <v>205</v>
      </c>
      <c r="G352" s="17">
        <f>Benchmarking!G352</f>
        <v>676</v>
      </c>
      <c r="H352" t="str">
        <f t="shared" si="60"/>
        <v>Environmental</v>
      </c>
      <c r="I352" t="str">
        <f t="shared" si="61"/>
        <v>Governance</v>
      </c>
      <c r="J352" s="19">
        <f t="shared" si="62"/>
        <v>59</v>
      </c>
      <c r="K352" s="19">
        <f t="shared" si="63"/>
        <v>1</v>
      </c>
      <c r="L352" s="19">
        <f t="shared" si="64"/>
        <v>60</v>
      </c>
      <c r="M352" s="17">
        <f t="shared" si="65"/>
        <v>60</v>
      </c>
      <c r="N352" s="22">
        <f t="shared" si="66"/>
        <v>0.1371191135734072</v>
      </c>
      <c r="O352" s="22">
        <f t="shared" si="67"/>
        <v>8.3102493074792241E-2</v>
      </c>
      <c r="P352" s="22">
        <f t="shared" si="68"/>
        <v>5.4016620498614956E-2</v>
      </c>
      <c r="Q352" t="str">
        <f t="shared" si="69"/>
        <v/>
      </c>
      <c r="S352">
        <f t="shared" si="70"/>
        <v>60.000964799999998</v>
      </c>
      <c r="T352" s="23">
        <f t="shared" si="71"/>
        <v>5.4981420498614958E-2</v>
      </c>
    </row>
    <row r="353" spans="1:20" ht="15" customHeight="1" x14ac:dyDescent="0.35">
      <c r="A353" t="str">
        <f>Benchmarking!A353</f>
        <v>Progressive Corp</v>
      </c>
      <c r="B353" t="str">
        <f>Benchmarking!B353</f>
        <v>pgr</v>
      </c>
      <c r="C353" t="str">
        <f>Benchmarking!C353</f>
        <v>Insurance</v>
      </c>
      <c r="D353" s="17">
        <f>Benchmarking!D353</f>
        <v>350</v>
      </c>
      <c r="E353" s="17">
        <f>Benchmarking!E353</f>
        <v>355</v>
      </c>
      <c r="F353" s="17">
        <f>Benchmarking!F353</f>
        <v>270</v>
      </c>
      <c r="G353" s="17">
        <f>Benchmarking!G353</f>
        <v>975</v>
      </c>
      <c r="H353" t="str">
        <f t="shared" si="60"/>
        <v>Social</v>
      </c>
      <c r="I353" t="str">
        <f t="shared" si="61"/>
        <v>Governance</v>
      </c>
      <c r="J353" s="19">
        <f t="shared" si="62"/>
        <v>-5</v>
      </c>
      <c r="K353" s="19">
        <f t="shared" si="63"/>
        <v>85</v>
      </c>
      <c r="L353" s="19">
        <f t="shared" si="64"/>
        <v>80</v>
      </c>
      <c r="M353" s="17">
        <f t="shared" si="65"/>
        <v>85</v>
      </c>
      <c r="N353" s="22">
        <f t="shared" si="66"/>
        <v>0.44182825484764543</v>
      </c>
      <c r="O353" s="22">
        <f t="shared" si="67"/>
        <v>0.34626038781163437</v>
      </c>
      <c r="P353" s="22">
        <f t="shared" si="68"/>
        <v>9.5567867036011056E-2</v>
      </c>
      <c r="Q353" t="str">
        <f t="shared" si="69"/>
        <v/>
      </c>
      <c r="S353">
        <f t="shared" si="70"/>
        <v>85.000964699999997</v>
      </c>
      <c r="T353" s="23">
        <f t="shared" si="71"/>
        <v>9.6532567036011055E-2</v>
      </c>
    </row>
    <row r="354" spans="1:20" ht="15" customHeight="1" x14ac:dyDescent="0.35">
      <c r="A354" t="str">
        <f>Benchmarking!A354</f>
        <v>Pfizer Inc</v>
      </c>
      <c r="B354" t="str">
        <f>Benchmarking!B354</f>
        <v>pfe</v>
      </c>
      <c r="C354" t="str">
        <f>Benchmarking!C354</f>
        <v>Pharmaceuticals</v>
      </c>
      <c r="D354" s="17">
        <f>Benchmarking!D354</f>
        <v>500</v>
      </c>
      <c r="E354" s="17">
        <f>Benchmarking!E354</f>
        <v>300</v>
      </c>
      <c r="F354" s="17">
        <f>Benchmarking!F354</f>
        <v>300</v>
      </c>
      <c r="G354" s="17">
        <f>Benchmarking!G354</f>
        <v>1100</v>
      </c>
      <c r="H354" t="str">
        <f t="shared" si="60"/>
        <v>Environmental</v>
      </c>
      <c r="I354" t="str">
        <f t="shared" si="61"/>
        <v>Social</v>
      </c>
      <c r="J354" s="19">
        <f t="shared" si="62"/>
        <v>200</v>
      </c>
      <c r="K354" s="19">
        <f t="shared" si="63"/>
        <v>0</v>
      </c>
      <c r="L354" s="19">
        <f t="shared" si="64"/>
        <v>200</v>
      </c>
      <c r="M354" s="17">
        <f t="shared" si="65"/>
        <v>200</v>
      </c>
      <c r="N354" s="22">
        <f t="shared" si="66"/>
        <v>0.56925207756232687</v>
      </c>
      <c r="O354" s="22">
        <f t="shared" si="67"/>
        <v>0.36565096952908588</v>
      </c>
      <c r="P354" s="22">
        <f t="shared" si="68"/>
        <v>0.203601108033241</v>
      </c>
      <c r="Q354" t="str">
        <f t="shared" si="69"/>
        <v/>
      </c>
      <c r="S354">
        <f t="shared" si="70"/>
        <v>200.0009646</v>
      </c>
      <c r="T354" s="23">
        <f t="shared" si="71"/>
        <v>0.20456570803324101</v>
      </c>
    </row>
    <row r="355" spans="1:20" ht="15" customHeight="1" x14ac:dyDescent="0.35">
      <c r="A355" t="str">
        <f>Benchmarking!A355</f>
        <v>Pultegroup Inc</v>
      </c>
      <c r="B355" t="str">
        <f>Benchmarking!B355</f>
        <v>phm</v>
      </c>
      <c r="C355" t="str">
        <f>Benchmarking!C355</f>
        <v>Consumer products</v>
      </c>
      <c r="D355" s="17">
        <f>Benchmarking!D355</f>
        <v>215</v>
      </c>
      <c r="E355" s="17">
        <f>Benchmarking!E355</f>
        <v>203</v>
      </c>
      <c r="F355" s="17">
        <f>Benchmarking!F355</f>
        <v>240</v>
      </c>
      <c r="G355" s="17">
        <f>Benchmarking!G355</f>
        <v>658</v>
      </c>
      <c r="H355" t="str">
        <f t="shared" si="60"/>
        <v>Governance</v>
      </c>
      <c r="I355" t="str">
        <f t="shared" si="61"/>
        <v>Social</v>
      </c>
      <c r="J355" s="19">
        <f t="shared" si="62"/>
        <v>12</v>
      </c>
      <c r="K355" s="19">
        <f t="shared" si="63"/>
        <v>-37</v>
      </c>
      <c r="L355" s="19">
        <f t="shared" si="64"/>
        <v>-25</v>
      </c>
      <c r="M355" s="17">
        <f t="shared" si="65"/>
        <v>37</v>
      </c>
      <c r="N355" s="22">
        <f t="shared" si="66"/>
        <v>0.11357340720221606</v>
      </c>
      <c r="O355" s="22">
        <f t="shared" si="67"/>
        <v>5.1246537396121887E-2</v>
      </c>
      <c r="P355" s="22">
        <f t="shared" si="68"/>
        <v>6.2326869806094178E-2</v>
      </c>
      <c r="Q355" t="str">
        <f t="shared" si="69"/>
        <v/>
      </c>
      <c r="S355">
        <f t="shared" si="70"/>
        <v>37.000964500000002</v>
      </c>
      <c r="T355" s="23">
        <f t="shared" si="71"/>
        <v>6.3291369806094178E-2</v>
      </c>
    </row>
    <row r="356" spans="1:20" ht="15" customHeight="1" x14ac:dyDescent="0.35">
      <c r="A356" t="str">
        <f>Benchmarking!A356</f>
        <v>Parker-Hannifin Corp</v>
      </c>
      <c r="B356" t="str">
        <f>Benchmarking!B356</f>
        <v>ph</v>
      </c>
      <c r="C356" t="str">
        <f>Benchmarking!C356</f>
        <v>Machinery</v>
      </c>
      <c r="D356" s="17">
        <f>Benchmarking!D356</f>
        <v>325</v>
      </c>
      <c r="E356" s="17">
        <f>Benchmarking!E356</f>
        <v>303</v>
      </c>
      <c r="F356" s="17">
        <f>Benchmarking!F356</f>
        <v>225</v>
      </c>
      <c r="G356" s="17">
        <f>Benchmarking!G356</f>
        <v>853</v>
      </c>
      <c r="H356" t="str">
        <f t="shared" si="60"/>
        <v>Environmental</v>
      </c>
      <c r="I356" t="str">
        <f t="shared" si="61"/>
        <v>Governance</v>
      </c>
      <c r="J356" s="19">
        <f t="shared" si="62"/>
        <v>22</v>
      </c>
      <c r="K356" s="19">
        <f t="shared" si="63"/>
        <v>78</v>
      </c>
      <c r="L356" s="19">
        <f t="shared" si="64"/>
        <v>100</v>
      </c>
      <c r="M356" s="17">
        <f t="shared" si="65"/>
        <v>100</v>
      </c>
      <c r="N356" s="22">
        <f t="shared" si="66"/>
        <v>0.34349030470914127</v>
      </c>
      <c r="O356" s="22">
        <f t="shared" si="67"/>
        <v>0.21606648199445982</v>
      </c>
      <c r="P356" s="22">
        <f t="shared" si="68"/>
        <v>0.12742382271468145</v>
      </c>
      <c r="Q356" t="str">
        <f t="shared" si="69"/>
        <v/>
      </c>
      <c r="S356">
        <f t="shared" si="70"/>
        <v>100.0009644</v>
      </c>
      <c r="T356" s="23">
        <f t="shared" si="71"/>
        <v>0.12838822271468145</v>
      </c>
    </row>
    <row r="357" spans="1:20" ht="15" customHeight="1" x14ac:dyDescent="0.35">
      <c r="A357" t="str">
        <f>Benchmarking!A357</f>
        <v>PerkinElmer Inc</v>
      </c>
      <c r="B357" t="str">
        <f>Benchmarking!B357</f>
        <v>pki</v>
      </c>
      <c r="C357" t="str">
        <f>Benchmarking!C357</f>
        <v>Life Sciences Tools &amp; Services</v>
      </c>
      <c r="D357" s="17">
        <f>Benchmarking!D357</f>
        <v>515</v>
      </c>
      <c r="E357" s="17">
        <f>Benchmarking!E357</f>
        <v>316</v>
      </c>
      <c r="F357" s="17">
        <f>Benchmarking!F357</f>
        <v>325</v>
      </c>
      <c r="G357" s="17">
        <f>Benchmarking!G357</f>
        <v>1156</v>
      </c>
      <c r="H357" t="str">
        <f t="shared" si="60"/>
        <v>Environmental</v>
      </c>
      <c r="I357" t="str">
        <f t="shared" si="61"/>
        <v>Social</v>
      </c>
      <c r="J357" s="19">
        <f t="shared" si="62"/>
        <v>199</v>
      </c>
      <c r="K357" s="19">
        <f t="shared" si="63"/>
        <v>-9</v>
      </c>
      <c r="L357" s="19">
        <f t="shared" si="64"/>
        <v>190</v>
      </c>
      <c r="M357" s="17">
        <f t="shared" si="65"/>
        <v>199</v>
      </c>
      <c r="N357" s="22">
        <f t="shared" si="66"/>
        <v>0.78670360110803328</v>
      </c>
      <c r="O357" s="22">
        <f t="shared" si="67"/>
        <v>0.67728531855955676</v>
      </c>
      <c r="P357" s="22">
        <f t="shared" si="68"/>
        <v>0.10941828254847652</v>
      </c>
      <c r="Q357" t="str">
        <f t="shared" si="69"/>
        <v/>
      </c>
      <c r="S357">
        <f t="shared" si="70"/>
        <v>199.00096429999999</v>
      </c>
      <c r="T357" s="23">
        <f t="shared" si="71"/>
        <v>0.11038258254847652</v>
      </c>
    </row>
    <row r="358" spans="1:20" ht="15" customHeight="1" x14ac:dyDescent="0.35">
      <c r="A358" t="str">
        <f>Benchmarking!A358</f>
        <v>Prologis Inc</v>
      </c>
      <c r="B358" t="str">
        <f>Benchmarking!B358</f>
        <v>pld</v>
      </c>
      <c r="C358" t="str">
        <f>Benchmarking!C358</f>
        <v>Real Estate</v>
      </c>
      <c r="D358" s="17">
        <f>Benchmarking!D358</f>
        <v>579</v>
      </c>
      <c r="E358" s="17">
        <f>Benchmarking!E358</f>
        <v>374</v>
      </c>
      <c r="F358" s="17">
        <f>Benchmarking!F358</f>
        <v>315</v>
      </c>
      <c r="G358" s="17">
        <f>Benchmarking!G358</f>
        <v>1268</v>
      </c>
      <c r="H358" t="str">
        <f t="shared" si="60"/>
        <v>Environmental</v>
      </c>
      <c r="I358" t="str">
        <f t="shared" si="61"/>
        <v>Governance</v>
      </c>
      <c r="J358" s="19">
        <f t="shared" si="62"/>
        <v>205</v>
      </c>
      <c r="K358" s="19">
        <f t="shared" si="63"/>
        <v>59</v>
      </c>
      <c r="L358" s="19">
        <f t="shared" si="64"/>
        <v>264</v>
      </c>
      <c r="M358" s="17">
        <f t="shared" si="65"/>
        <v>264</v>
      </c>
      <c r="N358" s="22">
        <f t="shared" si="66"/>
        <v>0.95013850415512469</v>
      </c>
      <c r="O358" s="22">
        <f t="shared" si="67"/>
        <v>0.82548476454293629</v>
      </c>
      <c r="P358" s="22">
        <f t="shared" si="68"/>
        <v>0.1246537396121884</v>
      </c>
      <c r="Q358" t="str">
        <f t="shared" si="69"/>
        <v/>
      </c>
      <c r="S358">
        <f t="shared" si="70"/>
        <v>264.0009642</v>
      </c>
      <c r="T358" s="23">
        <f t="shared" si="71"/>
        <v>0.1256179396121884</v>
      </c>
    </row>
    <row r="359" spans="1:20" ht="15" customHeight="1" x14ac:dyDescent="0.35">
      <c r="A359" t="str">
        <f>Benchmarking!A359</f>
        <v>PPG Industries Inc</v>
      </c>
      <c r="B359" t="str">
        <f>Benchmarking!B359</f>
        <v>ppg</v>
      </c>
      <c r="C359" t="str">
        <f>Benchmarking!C359</f>
        <v>Chemicals</v>
      </c>
      <c r="D359" s="17">
        <f>Benchmarking!D359</f>
        <v>293</v>
      </c>
      <c r="E359" s="17">
        <f>Benchmarking!E359</f>
        <v>236</v>
      </c>
      <c r="F359" s="17">
        <f>Benchmarking!F359</f>
        <v>220</v>
      </c>
      <c r="G359" s="17">
        <f>Benchmarking!G359</f>
        <v>749</v>
      </c>
      <c r="H359" t="str">
        <f t="shared" si="60"/>
        <v>Environmental</v>
      </c>
      <c r="I359" t="str">
        <f t="shared" si="61"/>
        <v>Governance</v>
      </c>
      <c r="J359" s="19">
        <f t="shared" si="62"/>
        <v>57</v>
      </c>
      <c r="K359" s="19">
        <f t="shared" si="63"/>
        <v>16</v>
      </c>
      <c r="L359" s="19">
        <f t="shared" si="64"/>
        <v>73</v>
      </c>
      <c r="M359" s="17">
        <f t="shared" si="65"/>
        <v>73</v>
      </c>
      <c r="N359" s="22">
        <f t="shared" si="66"/>
        <v>0.23130193905817176</v>
      </c>
      <c r="O359" s="22">
        <f t="shared" si="67"/>
        <v>0.19113573407202217</v>
      </c>
      <c r="P359" s="22">
        <f t="shared" si="68"/>
        <v>4.016620498614959E-2</v>
      </c>
      <c r="Q359" t="str">
        <f t="shared" si="69"/>
        <v/>
      </c>
      <c r="S359">
        <f t="shared" si="70"/>
        <v>73.000964100000004</v>
      </c>
      <c r="T359" s="23">
        <f t="shared" si="71"/>
        <v>4.1130304986149592E-2</v>
      </c>
    </row>
    <row r="360" spans="1:20" ht="15" customHeight="1" x14ac:dyDescent="0.35">
      <c r="A360" t="str">
        <f>Benchmarking!A360</f>
        <v>Public Storage</v>
      </c>
      <c r="B360" t="str">
        <f>Benchmarking!B360</f>
        <v>psa</v>
      </c>
      <c r="C360" t="str">
        <f>Benchmarking!C360</f>
        <v>Real Estate</v>
      </c>
      <c r="D360" s="17">
        <f>Benchmarking!D360</f>
        <v>235</v>
      </c>
      <c r="E360" s="17">
        <f>Benchmarking!E360</f>
        <v>245</v>
      </c>
      <c r="F360" s="17">
        <f>Benchmarking!F360</f>
        <v>205</v>
      </c>
      <c r="G360" s="17">
        <f>Benchmarking!G360</f>
        <v>685</v>
      </c>
      <c r="H360" t="str">
        <f t="shared" si="60"/>
        <v>Social</v>
      </c>
      <c r="I360" t="str">
        <f t="shared" si="61"/>
        <v>Governance</v>
      </c>
      <c r="J360" s="19">
        <f t="shared" si="62"/>
        <v>-10</v>
      </c>
      <c r="K360" s="19">
        <f t="shared" si="63"/>
        <v>40</v>
      </c>
      <c r="L360" s="19">
        <f t="shared" si="64"/>
        <v>30</v>
      </c>
      <c r="M360" s="17">
        <f t="shared" si="65"/>
        <v>40</v>
      </c>
      <c r="N360" s="22">
        <f t="shared" si="66"/>
        <v>0.14542936288088643</v>
      </c>
      <c r="O360" s="22">
        <f t="shared" si="67"/>
        <v>8.3102493074792241E-2</v>
      </c>
      <c r="P360" s="22">
        <f t="shared" si="68"/>
        <v>6.2326869806094184E-2</v>
      </c>
      <c r="Q360" t="str">
        <f t="shared" si="69"/>
        <v/>
      </c>
      <c r="S360">
        <f t="shared" si="70"/>
        <v>40.000964000000003</v>
      </c>
      <c r="T360" s="23">
        <f t="shared" si="71"/>
        <v>6.3290869806094191E-2</v>
      </c>
    </row>
    <row r="361" spans="1:20" ht="15" customHeight="1" x14ac:dyDescent="0.35">
      <c r="A361" t="str">
        <f>Benchmarking!A361</f>
        <v>PNC Financial Services Group Inc</v>
      </c>
      <c r="B361" t="str">
        <f>Benchmarking!B361</f>
        <v>pnc</v>
      </c>
      <c r="C361" t="str">
        <f>Benchmarking!C361</f>
        <v>Banking</v>
      </c>
      <c r="D361" s="17">
        <f>Benchmarking!D361</f>
        <v>455</v>
      </c>
      <c r="E361" s="17">
        <f>Benchmarking!E361</f>
        <v>323</v>
      </c>
      <c r="F361" s="17">
        <f>Benchmarking!F361</f>
        <v>300</v>
      </c>
      <c r="G361" s="17">
        <f>Benchmarking!G361</f>
        <v>1078</v>
      </c>
      <c r="H361" t="str">
        <f t="shared" si="60"/>
        <v>Environmental</v>
      </c>
      <c r="I361" t="str">
        <f t="shared" si="61"/>
        <v>Governance</v>
      </c>
      <c r="J361" s="19">
        <f t="shared" si="62"/>
        <v>132</v>
      </c>
      <c r="K361" s="19">
        <f t="shared" si="63"/>
        <v>23</v>
      </c>
      <c r="L361" s="19">
        <f t="shared" si="64"/>
        <v>155</v>
      </c>
      <c r="M361" s="17">
        <f t="shared" si="65"/>
        <v>155</v>
      </c>
      <c r="N361" s="22">
        <f t="shared" si="66"/>
        <v>0.53739612188365649</v>
      </c>
      <c r="O361" s="22">
        <f t="shared" si="67"/>
        <v>0.39335180055401664</v>
      </c>
      <c r="P361" s="22">
        <f t="shared" si="68"/>
        <v>0.14404432132963985</v>
      </c>
      <c r="Q361" t="str">
        <f t="shared" si="69"/>
        <v/>
      </c>
      <c r="S361">
        <f t="shared" si="70"/>
        <v>155.00096389999999</v>
      </c>
      <c r="T361" s="23">
        <f t="shared" si="71"/>
        <v>0.14500822132963984</v>
      </c>
    </row>
    <row r="362" spans="1:20" ht="15" customHeight="1" x14ac:dyDescent="0.35">
      <c r="A362" t="str">
        <f>Benchmarking!A362</f>
        <v>Philip Morris International Inc</v>
      </c>
      <c r="B362" t="str">
        <f>Benchmarking!B362</f>
        <v>pm</v>
      </c>
      <c r="C362" t="str">
        <f>Benchmarking!C362</f>
        <v>Tobacco</v>
      </c>
      <c r="D362" s="17">
        <f>Benchmarking!D362</f>
        <v>520</v>
      </c>
      <c r="E362" s="17">
        <f>Benchmarking!E362</f>
        <v>327</v>
      </c>
      <c r="F362" s="17">
        <f>Benchmarking!F362</f>
        <v>315</v>
      </c>
      <c r="G362" s="17">
        <f>Benchmarking!G362</f>
        <v>1162</v>
      </c>
      <c r="H362" t="str">
        <f t="shared" si="60"/>
        <v>Environmental</v>
      </c>
      <c r="I362" t="str">
        <f t="shared" si="61"/>
        <v>Governance</v>
      </c>
      <c r="J362" s="19">
        <f t="shared" si="62"/>
        <v>193</v>
      </c>
      <c r="K362" s="19">
        <f t="shared" si="63"/>
        <v>12</v>
      </c>
      <c r="L362" s="19">
        <f t="shared" si="64"/>
        <v>205</v>
      </c>
      <c r="M362" s="17">
        <f t="shared" si="65"/>
        <v>205</v>
      </c>
      <c r="N362" s="22">
        <f t="shared" si="66"/>
        <v>0.80609418282548473</v>
      </c>
      <c r="O362" s="22">
        <f t="shared" si="67"/>
        <v>0.75207756232686984</v>
      </c>
      <c r="P362" s="22">
        <f t="shared" si="68"/>
        <v>5.4016620498614887E-2</v>
      </c>
      <c r="Q362" t="str">
        <f t="shared" si="69"/>
        <v/>
      </c>
      <c r="S362">
        <f t="shared" si="70"/>
        <v>205.00096379999999</v>
      </c>
      <c r="T362" s="23">
        <f t="shared" si="71"/>
        <v>5.4980420498614888E-2</v>
      </c>
    </row>
    <row r="363" spans="1:20" ht="15" customHeight="1" x14ac:dyDescent="0.35">
      <c r="A363" t="str">
        <f>Benchmarking!A363</f>
        <v>Packaging Corp of America</v>
      </c>
      <c r="B363" t="str">
        <f>Benchmarking!B363</f>
        <v>pkg</v>
      </c>
      <c r="C363" t="str">
        <f>Benchmarking!C363</f>
        <v>Packaging</v>
      </c>
      <c r="D363" s="17">
        <f>Benchmarking!D363</f>
        <v>500</v>
      </c>
      <c r="E363" s="17">
        <f>Benchmarking!E363</f>
        <v>303</v>
      </c>
      <c r="F363" s="17">
        <f>Benchmarking!F363</f>
        <v>300</v>
      </c>
      <c r="G363" s="17">
        <f>Benchmarking!G363</f>
        <v>1103</v>
      </c>
      <c r="H363" t="str">
        <f t="shared" si="60"/>
        <v>Environmental</v>
      </c>
      <c r="I363" t="str">
        <f t="shared" si="61"/>
        <v>Governance</v>
      </c>
      <c r="J363" s="19">
        <f t="shared" si="62"/>
        <v>197</v>
      </c>
      <c r="K363" s="19">
        <f t="shared" si="63"/>
        <v>3</v>
      </c>
      <c r="L363" s="19">
        <f t="shared" si="64"/>
        <v>200</v>
      </c>
      <c r="M363" s="17">
        <f t="shared" si="65"/>
        <v>200</v>
      </c>
      <c r="N363" s="22">
        <f t="shared" si="66"/>
        <v>0.61634349030470914</v>
      </c>
      <c r="O363" s="22">
        <f t="shared" si="67"/>
        <v>0.39335180055401664</v>
      </c>
      <c r="P363" s="22">
        <f t="shared" si="68"/>
        <v>0.2229916897506925</v>
      </c>
      <c r="Q363" t="str">
        <f t="shared" si="69"/>
        <v/>
      </c>
      <c r="S363">
        <f t="shared" si="70"/>
        <v>200.0009637</v>
      </c>
      <c r="T363" s="23">
        <f t="shared" si="71"/>
        <v>0.22395538975069251</v>
      </c>
    </row>
    <row r="364" spans="1:20" ht="15" customHeight="1" x14ac:dyDescent="0.35">
      <c r="A364" t="str">
        <f>Benchmarking!A364</f>
        <v>Phillips 66</v>
      </c>
      <c r="B364" t="str">
        <f>Benchmarking!B364</f>
        <v>psx</v>
      </c>
      <c r="C364" t="str">
        <f>Benchmarking!C364</f>
        <v>Energy</v>
      </c>
      <c r="D364" s="17">
        <f>Benchmarking!D364</f>
        <v>569</v>
      </c>
      <c r="E364" s="17">
        <f>Benchmarking!E364</f>
        <v>363</v>
      </c>
      <c r="F364" s="17">
        <f>Benchmarking!F364</f>
        <v>310</v>
      </c>
      <c r="G364" s="17">
        <f>Benchmarking!G364</f>
        <v>1242</v>
      </c>
      <c r="H364" t="str">
        <f t="shared" si="60"/>
        <v>Environmental</v>
      </c>
      <c r="I364" t="str">
        <f t="shared" si="61"/>
        <v>Governance</v>
      </c>
      <c r="J364" s="19">
        <f t="shared" si="62"/>
        <v>206</v>
      </c>
      <c r="K364" s="19">
        <f t="shared" si="63"/>
        <v>53</v>
      </c>
      <c r="L364" s="19">
        <f t="shared" si="64"/>
        <v>259</v>
      </c>
      <c r="M364" s="17">
        <f t="shared" si="65"/>
        <v>259</v>
      </c>
      <c r="N364" s="22">
        <f t="shared" si="66"/>
        <v>0.92382271468144039</v>
      </c>
      <c r="O364" s="22">
        <f t="shared" si="67"/>
        <v>0.74653739612188363</v>
      </c>
      <c r="P364" s="22">
        <f t="shared" si="68"/>
        <v>0.17728531855955676</v>
      </c>
      <c r="Q364" t="str">
        <f t="shared" si="69"/>
        <v/>
      </c>
      <c r="S364">
        <f t="shared" si="70"/>
        <v>259.00096359999998</v>
      </c>
      <c r="T364" s="23">
        <f t="shared" si="71"/>
        <v>0.17824891855955677</v>
      </c>
    </row>
    <row r="365" spans="1:20" ht="15" customHeight="1" x14ac:dyDescent="0.35">
      <c r="A365" t="str">
        <f>Benchmarking!A365</f>
        <v>Prudential Financial Inc</v>
      </c>
      <c r="B365" t="str">
        <f>Benchmarking!B365</f>
        <v>pru</v>
      </c>
      <c r="C365" t="str">
        <f>Benchmarking!C365</f>
        <v>Insurance</v>
      </c>
      <c r="D365" s="17">
        <f>Benchmarking!D365</f>
        <v>285</v>
      </c>
      <c r="E365" s="17">
        <f>Benchmarking!E365</f>
        <v>300</v>
      </c>
      <c r="F365" s="17">
        <f>Benchmarking!F365</f>
        <v>288</v>
      </c>
      <c r="G365" s="17">
        <f>Benchmarking!G365</f>
        <v>873</v>
      </c>
      <c r="H365" t="str">
        <f t="shared" si="60"/>
        <v>Social</v>
      </c>
      <c r="I365" t="str">
        <f t="shared" si="61"/>
        <v>Environmental</v>
      </c>
      <c r="J365" s="19">
        <f t="shared" si="62"/>
        <v>-15</v>
      </c>
      <c r="K365" s="19">
        <f t="shared" si="63"/>
        <v>12</v>
      </c>
      <c r="L365" s="19">
        <f t="shared" si="64"/>
        <v>-3</v>
      </c>
      <c r="M365" s="17">
        <f t="shared" si="65"/>
        <v>15</v>
      </c>
      <c r="N365" s="22">
        <f t="shared" si="66"/>
        <v>0.35318559556786705</v>
      </c>
      <c r="O365" s="22">
        <f t="shared" si="67"/>
        <v>0.32409972299168976</v>
      </c>
      <c r="P365" s="22">
        <f t="shared" si="68"/>
        <v>2.9085872576177285E-2</v>
      </c>
      <c r="Q365" t="str">
        <f t="shared" si="69"/>
        <v/>
      </c>
      <c r="S365">
        <f t="shared" si="70"/>
        <v>15.000963499999999</v>
      </c>
      <c r="T365" s="23">
        <f t="shared" si="71"/>
        <v>3.0049372576177284E-2</v>
      </c>
    </row>
    <row r="366" spans="1:20" ht="15" customHeight="1" x14ac:dyDescent="0.35">
      <c r="A366" t="str">
        <f>Benchmarking!A366</f>
        <v>Pentair PLC</v>
      </c>
      <c r="B366" t="str">
        <f>Benchmarking!B366</f>
        <v>pnr</v>
      </c>
      <c r="C366" t="str">
        <f>Benchmarking!C366</f>
        <v>Machinery</v>
      </c>
      <c r="D366" s="17">
        <f>Benchmarking!D366</f>
        <v>433</v>
      </c>
      <c r="E366" s="17">
        <f>Benchmarking!E366</f>
        <v>330</v>
      </c>
      <c r="F366" s="17">
        <f>Benchmarking!F366</f>
        <v>315</v>
      </c>
      <c r="G366" s="17">
        <f>Benchmarking!G366</f>
        <v>1078</v>
      </c>
      <c r="H366" t="str">
        <f t="shared" si="60"/>
        <v>Environmental</v>
      </c>
      <c r="I366" t="str">
        <f t="shared" si="61"/>
        <v>Governance</v>
      </c>
      <c r="J366" s="19">
        <f t="shared" si="62"/>
        <v>103</v>
      </c>
      <c r="K366" s="19">
        <f t="shared" si="63"/>
        <v>15</v>
      </c>
      <c r="L366" s="19">
        <f t="shared" si="64"/>
        <v>118</v>
      </c>
      <c r="M366" s="17">
        <f t="shared" si="65"/>
        <v>118</v>
      </c>
      <c r="N366" s="22">
        <f t="shared" si="66"/>
        <v>0.53739612188365649</v>
      </c>
      <c r="O366" s="22">
        <f t="shared" si="67"/>
        <v>0.46814404432132967</v>
      </c>
      <c r="P366" s="22">
        <f t="shared" si="68"/>
        <v>6.9252077562326819E-2</v>
      </c>
      <c r="Q366" t="str">
        <f t="shared" si="69"/>
        <v/>
      </c>
      <c r="S366">
        <f t="shared" si="70"/>
        <v>118.0009634</v>
      </c>
      <c r="T366" s="23">
        <f t="shared" si="71"/>
        <v>7.0215477562326822E-2</v>
      </c>
    </row>
    <row r="367" spans="1:20" ht="15" customHeight="1" x14ac:dyDescent="0.35">
      <c r="A367" t="str">
        <f>Benchmarking!A367</f>
        <v>Pinnacle West Capital Corp</v>
      </c>
      <c r="B367" t="str">
        <f>Benchmarking!B367</f>
        <v>pnw</v>
      </c>
      <c r="C367" t="str">
        <f>Benchmarking!C367</f>
        <v>Utilities</v>
      </c>
      <c r="D367" s="17">
        <f>Benchmarking!D367</f>
        <v>629</v>
      </c>
      <c r="E367" s="17">
        <f>Benchmarking!E367</f>
        <v>479</v>
      </c>
      <c r="F367" s="17">
        <f>Benchmarking!F367</f>
        <v>300</v>
      </c>
      <c r="G367" s="17">
        <f>Benchmarking!G367</f>
        <v>1408</v>
      </c>
      <c r="H367" t="str">
        <f t="shared" si="60"/>
        <v>Environmental</v>
      </c>
      <c r="I367" t="str">
        <f t="shared" si="61"/>
        <v>Governance</v>
      </c>
      <c r="J367" s="19">
        <f t="shared" si="62"/>
        <v>150</v>
      </c>
      <c r="K367" s="19">
        <f t="shared" si="63"/>
        <v>179</v>
      </c>
      <c r="L367" s="19">
        <f t="shared" si="64"/>
        <v>329</v>
      </c>
      <c r="M367" s="17">
        <f t="shared" si="65"/>
        <v>329</v>
      </c>
      <c r="N367" s="22">
        <f t="shared" si="66"/>
        <v>0.98476454293628812</v>
      </c>
      <c r="O367" s="22">
        <f t="shared" si="67"/>
        <v>0.39335180055401664</v>
      </c>
      <c r="P367" s="22">
        <f t="shared" si="68"/>
        <v>0.59141274238227148</v>
      </c>
      <c r="Q367" t="str">
        <f t="shared" si="69"/>
        <v>High ESG / weak pillar (analytical flag - not an ESG rating) - warrants investigation</v>
      </c>
      <c r="S367">
        <f t="shared" si="70"/>
        <v>329.00096330000002</v>
      </c>
      <c r="T367" s="23">
        <f t="shared" si="71"/>
        <v>0.59237604238227148</v>
      </c>
    </row>
    <row r="368" spans="1:20" ht="15" customHeight="1" x14ac:dyDescent="0.35">
      <c r="A368" t="str">
        <f>Benchmarking!A368</f>
        <v>PPL Corp</v>
      </c>
      <c r="B368" t="str">
        <f>Benchmarking!B368</f>
        <v>ppl</v>
      </c>
      <c r="C368" t="str">
        <f>Benchmarking!C368</f>
        <v>Utilities</v>
      </c>
      <c r="D368" s="17">
        <f>Benchmarking!D368</f>
        <v>525</v>
      </c>
      <c r="E368" s="17">
        <f>Benchmarking!E368</f>
        <v>306</v>
      </c>
      <c r="F368" s="17">
        <f>Benchmarking!F368</f>
        <v>300</v>
      </c>
      <c r="G368" s="17">
        <f>Benchmarking!G368</f>
        <v>1131</v>
      </c>
      <c r="H368" t="str">
        <f t="shared" si="60"/>
        <v>Environmental</v>
      </c>
      <c r="I368" t="str">
        <f t="shared" si="61"/>
        <v>Governance</v>
      </c>
      <c r="J368" s="19">
        <f t="shared" si="62"/>
        <v>219</v>
      </c>
      <c r="K368" s="19">
        <f t="shared" si="63"/>
        <v>6</v>
      </c>
      <c r="L368" s="19">
        <f t="shared" si="64"/>
        <v>225</v>
      </c>
      <c r="M368" s="17">
        <f t="shared" si="65"/>
        <v>225</v>
      </c>
      <c r="N368" s="22">
        <f t="shared" si="66"/>
        <v>0.70360110803324105</v>
      </c>
      <c r="O368" s="22">
        <f t="shared" si="67"/>
        <v>0.39335180055401664</v>
      </c>
      <c r="P368" s="22">
        <f t="shared" si="68"/>
        <v>0.31024930747922441</v>
      </c>
      <c r="Q368" t="str">
        <f t="shared" si="69"/>
        <v/>
      </c>
      <c r="S368">
        <f t="shared" si="70"/>
        <v>225.0009632</v>
      </c>
      <c r="T368" s="23">
        <f t="shared" si="71"/>
        <v>0.31121250747922441</v>
      </c>
    </row>
    <row r="369" spans="1:20" ht="15" customHeight="1" x14ac:dyDescent="0.35">
      <c r="A369" t="str">
        <f>Benchmarking!A369</f>
        <v>Quanta Services Inc</v>
      </c>
      <c r="B369" t="str">
        <f>Benchmarking!B369</f>
        <v>pwr</v>
      </c>
      <c r="C369" t="str">
        <f>Benchmarking!C369</f>
        <v>Construction</v>
      </c>
      <c r="D369" s="17">
        <f>Benchmarking!D369</f>
        <v>540</v>
      </c>
      <c r="E369" s="17">
        <f>Benchmarking!E369</f>
        <v>382</v>
      </c>
      <c r="F369" s="17">
        <f>Benchmarking!F369</f>
        <v>310</v>
      </c>
      <c r="G369" s="17">
        <f>Benchmarking!G369</f>
        <v>1232</v>
      </c>
      <c r="H369" t="str">
        <f t="shared" si="60"/>
        <v>Environmental</v>
      </c>
      <c r="I369" t="str">
        <f t="shared" si="61"/>
        <v>Governance</v>
      </c>
      <c r="J369" s="19">
        <f t="shared" si="62"/>
        <v>158</v>
      </c>
      <c r="K369" s="19">
        <f t="shared" si="63"/>
        <v>72</v>
      </c>
      <c r="L369" s="19">
        <f t="shared" si="64"/>
        <v>230</v>
      </c>
      <c r="M369" s="17">
        <f t="shared" si="65"/>
        <v>230</v>
      </c>
      <c r="N369" s="22">
        <f t="shared" si="66"/>
        <v>0.91966759002770082</v>
      </c>
      <c r="O369" s="22">
        <f t="shared" si="67"/>
        <v>0.74653739612188363</v>
      </c>
      <c r="P369" s="22">
        <f t="shared" si="68"/>
        <v>0.17313019390581719</v>
      </c>
      <c r="Q369" t="str">
        <f t="shared" si="69"/>
        <v/>
      </c>
      <c r="S369">
        <f t="shared" si="70"/>
        <v>230.00096310000001</v>
      </c>
      <c r="T369" s="23">
        <f t="shared" si="71"/>
        <v>0.17409329390581718</v>
      </c>
    </row>
    <row r="370" spans="1:20" ht="15" customHeight="1" x14ac:dyDescent="0.35">
      <c r="A370" t="str">
        <f>Benchmarking!A370</f>
        <v>Raymond James Financial Inc</v>
      </c>
      <c r="B370" t="str">
        <f>Benchmarking!B370</f>
        <v>rjf</v>
      </c>
      <c r="C370" t="str">
        <f>Benchmarking!C370</f>
        <v>Financial Services</v>
      </c>
      <c r="D370" s="17">
        <f>Benchmarking!D370</f>
        <v>505</v>
      </c>
      <c r="E370" s="17">
        <f>Benchmarking!E370</f>
        <v>309</v>
      </c>
      <c r="F370" s="17">
        <f>Benchmarking!F370</f>
        <v>305</v>
      </c>
      <c r="G370" s="17">
        <f>Benchmarking!G370</f>
        <v>1119</v>
      </c>
      <c r="H370" t="str">
        <f t="shared" si="60"/>
        <v>Environmental</v>
      </c>
      <c r="I370" t="str">
        <f t="shared" si="61"/>
        <v>Governance</v>
      </c>
      <c r="J370" s="19">
        <f t="shared" si="62"/>
        <v>196</v>
      </c>
      <c r="K370" s="19">
        <f t="shared" si="63"/>
        <v>4</v>
      </c>
      <c r="L370" s="19">
        <f t="shared" si="64"/>
        <v>200</v>
      </c>
      <c r="M370" s="17">
        <f t="shared" si="65"/>
        <v>200</v>
      </c>
      <c r="N370" s="22">
        <f t="shared" si="66"/>
        <v>0.65927977839335183</v>
      </c>
      <c r="O370" s="22">
        <f t="shared" si="67"/>
        <v>0.62188365650969524</v>
      </c>
      <c r="P370" s="22">
        <f t="shared" si="68"/>
        <v>3.7396121883656597E-2</v>
      </c>
      <c r="Q370" t="str">
        <f t="shared" si="69"/>
        <v/>
      </c>
      <c r="S370">
        <f t="shared" si="70"/>
        <v>200.00096300000001</v>
      </c>
      <c r="T370" s="23">
        <f t="shared" si="71"/>
        <v>3.8359121883656595E-2</v>
      </c>
    </row>
    <row r="371" spans="1:20" ht="15" customHeight="1" x14ac:dyDescent="0.35">
      <c r="A371" t="str">
        <f>Benchmarking!A371</f>
        <v>Regions Financial Corp</v>
      </c>
      <c r="B371" t="str">
        <f>Benchmarking!B371</f>
        <v>rf</v>
      </c>
      <c r="C371" t="str">
        <f>Benchmarking!C371</f>
        <v>Banking</v>
      </c>
      <c r="D371" s="17">
        <f>Benchmarking!D371</f>
        <v>490</v>
      </c>
      <c r="E371" s="17">
        <f>Benchmarking!E371</f>
        <v>304</v>
      </c>
      <c r="F371" s="17">
        <f>Benchmarking!F371</f>
        <v>305</v>
      </c>
      <c r="G371" s="17">
        <f>Benchmarking!G371</f>
        <v>1099</v>
      </c>
      <c r="H371" t="str">
        <f t="shared" si="60"/>
        <v>Environmental</v>
      </c>
      <c r="I371" t="str">
        <f t="shared" si="61"/>
        <v>Social</v>
      </c>
      <c r="J371" s="19">
        <f t="shared" si="62"/>
        <v>186</v>
      </c>
      <c r="K371" s="19">
        <f t="shared" si="63"/>
        <v>-1</v>
      </c>
      <c r="L371" s="19">
        <f t="shared" si="64"/>
        <v>185</v>
      </c>
      <c r="M371" s="17">
        <f t="shared" si="65"/>
        <v>186</v>
      </c>
      <c r="N371" s="22">
        <f t="shared" si="66"/>
        <v>0.56786703601108035</v>
      </c>
      <c r="O371" s="22">
        <f t="shared" si="67"/>
        <v>0.50831024930747926</v>
      </c>
      <c r="P371" s="22">
        <f t="shared" si="68"/>
        <v>5.9556786703601095E-2</v>
      </c>
      <c r="Q371" t="str">
        <f t="shared" si="69"/>
        <v/>
      </c>
      <c r="S371">
        <f t="shared" si="70"/>
        <v>186.00096289999999</v>
      </c>
      <c r="T371" s="23">
        <f t="shared" si="71"/>
        <v>6.0519686703601097E-2</v>
      </c>
    </row>
    <row r="372" spans="1:20" ht="15" customHeight="1" x14ac:dyDescent="0.35">
      <c r="A372" t="str">
        <f>Benchmarking!A372</f>
        <v>Royal Caribbean Cruises Ltd</v>
      </c>
      <c r="B372" t="str">
        <f>Benchmarking!B372</f>
        <v>rcl</v>
      </c>
      <c r="C372" t="str">
        <f>Benchmarking!C372</f>
        <v>Hotels Restaurants &amp; Leisure</v>
      </c>
      <c r="D372" s="17">
        <f>Benchmarking!D372</f>
        <v>503</v>
      </c>
      <c r="E372" s="17">
        <f>Benchmarking!E372</f>
        <v>327</v>
      </c>
      <c r="F372" s="17">
        <f>Benchmarking!F372</f>
        <v>310</v>
      </c>
      <c r="G372" s="17">
        <f>Benchmarking!G372</f>
        <v>1140</v>
      </c>
      <c r="H372" t="str">
        <f t="shared" si="60"/>
        <v>Environmental</v>
      </c>
      <c r="I372" t="str">
        <f t="shared" si="61"/>
        <v>Governance</v>
      </c>
      <c r="J372" s="19">
        <f t="shared" si="62"/>
        <v>176</v>
      </c>
      <c r="K372" s="19">
        <f t="shared" si="63"/>
        <v>17</v>
      </c>
      <c r="L372" s="19">
        <f t="shared" si="64"/>
        <v>193</v>
      </c>
      <c r="M372" s="17">
        <f t="shared" si="65"/>
        <v>193</v>
      </c>
      <c r="N372" s="22">
        <f t="shared" si="66"/>
        <v>0.73268698060941828</v>
      </c>
      <c r="O372" s="22">
        <f t="shared" si="67"/>
        <v>0.61911357340720219</v>
      </c>
      <c r="P372" s="22">
        <f t="shared" si="68"/>
        <v>0.11357340720221609</v>
      </c>
      <c r="Q372" t="str">
        <f t="shared" si="69"/>
        <v/>
      </c>
      <c r="S372">
        <f t="shared" si="70"/>
        <v>193.0009628</v>
      </c>
      <c r="T372" s="23">
        <f t="shared" si="71"/>
        <v>0.11453620720221609</v>
      </c>
    </row>
    <row r="373" spans="1:20" ht="15" customHeight="1" x14ac:dyDescent="0.35">
      <c r="A373" t="str">
        <f>Benchmarking!A373</f>
        <v>Ralph Lauren Corp</v>
      </c>
      <c r="B373" t="str">
        <f>Benchmarking!B373</f>
        <v>rl</v>
      </c>
      <c r="C373" t="str">
        <f>Benchmarking!C373</f>
        <v>Textiles Apparel &amp; Luxury Goods</v>
      </c>
      <c r="D373" s="17">
        <f>Benchmarking!D373</f>
        <v>420</v>
      </c>
      <c r="E373" s="17">
        <f>Benchmarking!E373</f>
        <v>352</v>
      </c>
      <c r="F373" s="17">
        <f>Benchmarking!F373</f>
        <v>303</v>
      </c>
      <c r="G373" s="17">
        <f>Benchmarking!G373</f>
        <v>1075</v>
      </c>
      <c r="H373" t="str">
        <f t="shared" si="60"/>
        <v>Environmental</v>
      </c>
      <c r="I373" t="str">
        <f t="shared" si="61"/>
        <v>Governance</v>
      </c>
      <c r="J373" s="19">
        <f t="shared" si="62"/>
        <v>68</v>
      </c>
      <c r="K373" s="19">
        <f t="shared" si="63"/>
        <v>49</v>
      </c>
      <c r="L373" s="19">
        <f t="shared" si="64"/>
        <v>117</v>
      </c>
      <c r="M373" s="17">
        <f t="shared" si="65"/>
        <v>117</v>
      </c>
      <c r="N373" s="22">
        <f t="shared" si="66"/>
        <v>0.53185595567867039</v>
      </c>
      <c r="O373" s="22">
        <f t="shared" si="67"/>
        <v>0.46398891966759004</v>
      </c>
      <c r="P373" s="22">
        <f t="shared" si="68"/>
        <v>6.7867036011080351E-2</v>
      </c>
      <c r="Q373" t="str">
        <f t="shared" si="69"/>
        <v/>
      </c>
      <c r="S373">
        <f t="shared" si="70"/>
        <v>117.0009627</v>
      </c>
      <c r="T373" s="23">
        <f t="shared" si="71"/>
        <v>6.8829736011080347E-2</v>
      </c>
    </row>
    <row r="374" spans="1:20" ht="15" customHeight="1" x14ac:dyDescent="0.35">
      <c r="A374" t="str">
        <f>Benchmarking!A374</f>
        <v>PVH Corp</v>
      </c>
      <c r="B374" t="str">
        <f>Benchmarking!B374</f>
        <v>pvh</v>
      </c>
      <c r="C374" t="str">
        <f>Benchmarking!C374</f>
        <v>Textiles Apparel &amp; Luxury Goods</v>
      </c>
      <c r="D374" s="17">
        <f>Benchmarking!D374</f>
        <v>418</v>
      </c>
      <c r="E374" s="17">
        <f>Benchmarking!E374</f>
        <v>319</v>
      </c>
      <c r="F374" s="17">
        <f>Benchmarking!F374</f>
        <v>315</v>
      </c>
      <c r="G374" s="17">
        <f>Benchmarking!G374</f>
        <v>1052</v>
      </c>
      <c r="H374" t="str">
        <f t="shared" si="60"/>
        <v>Environmental</v>
      </c>
      <c r="I374" t="str">
        <f t="shared" si="61"/>
        <v>Governance</v>
      </c>
      <c r="J374" s="19">
        <f t="shared" si="62"/>
        <v>99</v>
      </c>
      <c r="K374" s="19">
        <f t="shared" si="63"/>
        <v>4</v>
      </c>
      <c r="L374" s="19">
        <f t="shared" si="64"/>
        <v>103</v>
      </c>
      <c r="M374" s="17">
        <f t="shared" si="65"/>
        <v>103</v>
      </c>
      <c r="N374" s="22">
        <f t="shared" si="66"/>
        <v>0.50692520775623273</v>
      </c>
      <c r="O374" s="22">
        <f t="shared" si="67"/>
        <v>0.46260387811634351</v>
      </c>
      <c r="P374" s="22">
        <f t="shared" si="68"/>
        <v>4.4321329639889218E-2</v>
      </c>
      <c r="Q374" t="str">
        <f t="shared" si="69"/>
        <v/>
      </c>
      <c r="S374">
        <f t="shared" si="70"/>
        <v>103.00096259999999</v>
      </c>
      <c r="T374" s="23">
        <f t="shared" si="71"/>
        <v>4.5283929639889219E-2</v>
      </c>
    </row>
    <row r="375" spans="1:20" ht="15" customHeight="1" x14ac:dyDescent="0.35">
      <c r="A375" t="str">
        <f>Benchmarking!A375</f>
        <v>Robert Half International Inc</v>
      </c>
      <c r="B375" t="str">
        <f>Benchmarking!B375</f>
        <v>rhi</v>
      </c>
      <c r="C375" t="str">
        <f>Benchmarking!C375</f>
        <v>Professional Services</v>
      </c>
      <c r="D375" s="17">
        <f>Benchmarking!D375</f>
        <v>255</v>
      </c>
      <c r="E375" s="17">
        <f>Benchmarking!E375</f>
        <v>334</v>
      </c>
      <c r="F375" s="17">
        <f>Benchmarking!F375</f>
        <v>310</v>
      </c>
      <c r="G375" s="17">
        <f>Benchmarking!G375</f>
        <v>899</v>
      </c>
      <c r="H375" t="str">
        <f t="shared" si="60"/>
        <v>Social</v>
      </c>
      <c r="I375" t="str">
        <f t="shared" si="61"/>
        <v>Environmental</v>
      </c>
      <c r="J375" s="19">
        <f t="shared" si="62"/>
        <v>-79</v>
      </c>
      <c r="K375" s="19">
        <f t="shared" si="63"/>
        <v>24</v>
      </c>
      <c r="L375" s="19">
        <f t="shared" si="64"/>
        <v>-55</v>
      </c>
      <c r="M375" s="17">
        <f t="shared" si="65"/>
        <v>79</v>
      </c>
      <c r="N375" s="22">
        <f t="shared" si="66"/>
        <v>0.37119113573407203</v>
      </c>
      <c r="O375" s="22">
        <f t="shared" si="67"/>
        <v>0.28116343490304707</v>
      </c>
      <c r="P375" s="22">
        <f t="shared" si="68"/>
        <v>9.0027700831024959E-2</v>
      </c>
      <c r="Q375" t="str">
        <f t="shared" si="69"/>
        <v/>
      </c>
      <c r="S375">
        <f t="shared" si="70"/>
        <v>79.0009625</v>
      </c>
      <c r="T375" s="23">
        <f t="shared" si="71"/>
        <v>9.0990200831024964E-2</v>
      </c>
    </row>
    <row r="376" spans="1:20" ht="15" customHeight="1" x14ac:dyDescent="0.35">
      <c r="A376" t="str">
        <f>Benchmarking!A376</f>
        <v>Pioneer Natural Resources Co</v>
      </c>
      <c r="B376" t="str">
        <f>Benchmarking!B376</f>
        <v>pxd</v>
      </c>
      <c r="C376" t="str">
        <f>Benchmarking!C376</f>
        <v>Energy</v>
      </c>
      <c r="D376" s="17">
        <f>Benchmarking!D376</f>
        <v>700</v>
      </c>
      <c r="E376" s="17">
        <f>Benchmarking!E376</f>
        <v>412</v>
      </c>
      <c r="F376" s="17">
        <f>Benchmarking!F376</f>
        <v>300</v>
      </c>
      <c r="G376" s="17">
        <f>Benchmarking!G376</f>
        <v>1412</v>
      </c>
      <c r="H376" t="str">
        <f t="shared" si="60"/>
        <v>Environmental</v>
      </c>
      <c r="I376" t="str">
        <f t="shared" si="61"/>
        <v>Governance</v>
      </c>
      <c r="J376" s="19">
        <f t="shared" si="62"/>
        <v>288</v>
      </c>
      <c r="K376" s="19">
        <f t="shared" si="63"/>
        <v>112</v>
      </c>
      <c r="L376" s="19">
        <f t="shared" si="64"/>
        <v>400</v>
      </c>
      <c r="M376" s="17">
        <f t="shared" si="65"/>
        <v>400</v>
      </c>
      <c r="N376" s="22">
        <f t="shared" si="66"/>
        <v>0.98753462603878117</v>
      </c>
      <c r="O376" s="22">
        <f t="shared" si="67"/>
        <v>0.39335180055401664</v>
      </c>
      <c r="P376" s="22">
        <f t="shared" si="68"/>
        <v>0.59418282548476453</v>
      </c>
      <c r="Q376" t="str">
        <f t="shared" si="69"/>
        <v>High ESG / weak pillar (analytical flag - not an ESG rating) - warrants investigation</v>
      </c>
      <c r="S376">
        <f t="shared" si="70"/>
        <v>400.00096239999999</v>
      </c>
      <c r="T376" s="23">
        <f t="shared" si="71"/>
        <v>0.59514522548476456</v>
      </c>
    </row>
    <row r="377" spans="1:20" ht="15" customHeight="1" x14ac:dyDescent="0.35">
      <c r="A377" t="str">
        <f>Benchmarking!A377</f>
        <v>Rollins Inc</v>
      </c>
      <c r="B377" t="str">
        <f>Benchmarking!B377</f>
        <v>rol</v>
      </c>
      <c r="C377" t="str">
        <f>Benchmarking!C377</f>
        <v>Commercial Services &amp; Supplies</v>
      </c>
      <c r="D377" s="17">
        <f>Benchmarking!D377</f>
        <v>500</v>
      </c>
      <c r="E377" s="17">
        <f>Benchmarking!E377</f>
        <v>300</v>
      </c>
      <c r="F377" s="17">
        <f>Benchmarking!F377</f>
        <v>305</v>
      </c>
      <c r="G377" s="17">
        <f>Benchmarking!G377</f>
        <v>1105</v>
      </c>
      <c r="H377" t="str">
        <f t="shared" si="60"/>
        <v>Environmental</v>
      </c>
      <c r="I377" t="str">
        <f t="shared" si="61"/>
        <v>Social</v>
      </c>
      <c r="J377" s="19">
        <f t="shared" si="62"/>
        <v>200</v>
      </c>
      <c r="K377" s="19">
        <f t="shared" si="63"/>
        <v>-5</v>
      </c>
      <c r="L377" s="19">
        <f t="shared" si="64"/>
        <v>195</v>
      </c>
      <c r="M377" s="17">
        <f t="shared" si="65"/>
        <v>200</v>
      </c>
      <c r="N377" s="22">
        <f t="shared" si="66"/>
        <v>0.62326869806094187</v>
      </c>
      <c r="O377" s="22">
        <f t="shared" si="67"/>
        <v>0.36565096952908588</v>
      </c>
      <c r="P377" s="22">
        <f t="shared" si="68"/>
        <v>0.25761772853185599</v>
      </c>
      <c r="Q377" t="str">
        <f t="shared" si="69"/>
        <v/>
      </c>
      <c r="S377">
        <f t="shared" si="70"/>
        <v>200.0009623</v>
      </c>
      <c r="T377" s="23">
        <f t="shared" si="71"/>
        <v>0.25858002853185602</v>
      </c>
    </row>
    <row r="378" spans="1:20" ht="15" customHeight="1" x14ac:dyDescent="0.35">
      <c r="A378" t="str">
        <f>Benchmarking!A378</f>
        <v>Resmed Inc</v>
      </c>
      <c r="B378" t="str">
        <f>Benchmarking!B378</f>
        <v>rmd</v>
      </c>
      <c r="C378" t="str">
        <f>Benchmarking!C378</f>
        <v>Health Care</v>
      </c>
      <c r="D378" s="17">
        <f>Benchmarking!D378</f>
        <v>330</v>
      </c>
      <c r="E378" s="17">
        <f>Benchmarking!E378</f>
        <v>312</v>
      </c>
      <c r="F378" s="17">
        <f>Benchmarking!F378</f>
        <v>300</v>
      </c>
      <c r="G378" s="17">
        <f>Benchmarking!G378</f>
        <v>942</v>
      </c>
      <c r="H378" t="str">
        <f t="shared" si="60"/>
        <v>Environmental</v>
      </c>
      <c r="I378" t="str">
        <f t="shared" si="61"/>
        <v>Governance</v>
      </c>
      <c r="J378" s="19">
        <f t="shared" si="62"/>
        <v>18</v>
      </c>
      <c r="K378" s="19">
        <f t="shared" si="63"/>
        <v>12</v>
      </c>
      <c r="L378" s="19">
        <f t="shared" si="64"/>
        <v>30</v>
      </c>
      <c r="M378" s="17">
        <f t="shared" si="65"/>
        <v>30</v>
      </c>
      <c r="N378" s="22">
        <f t="shared" si="66"/>
        <v>0.41274238227146814</v>
      </c>
      <c r="O378" s="22">
        <f t="shared" si="67"/>
        <v>0.38088642659279781</v>
      </c>
      <c r="P378" s="22">
        <f t="shared" si="68"/>
        <v>3.1855955678670334E-2</v>
      </c>
      <c r="Q378" t="str">
        <f t="shared" si="69"/>
        <v/>
      </c>
      <c r="S378">
        <f t="shared" si="70"/>
        <v>30.0009622</v>
      </c>
      <c r="T378" s="23">
        <f t="shared" si="71"/>
        <v>3.2818155678670337E-2</v>
      </c>
    </row>
    <row r="379" spans="1:20" ht="15" customHeight="1" x14ac:dyDescent="0.35">
      <c r="A379" t="str">
        <f>Benchmarking!A379</f>
        <v>Charles Schwab Corp</v>
      </c>
      <c r="B379" t="str">
        <f>Benchmarking!B379</f>
        <v>schw</v>
      </c>
      <c r="C379" t="str">
        <f>Benchmarking!C379</f>
        <v>Financial Services</v>
      </c>
      <c r="D379" s="17">
        <f>Benchmarking!D379</f>
        <v>515</v>
      </c>
      <c r="E379" s="17">
        <f>Benchmarking!E379</f>
        <v>300</v>
      </c>
      <c r="F379" s="17">
        <f>Benchmarking!F379</f>
        <v>300</v>
      </c>
      <c r="G379" s="17">
        <f>Benchmarking!G379</f>
        <v>1115</v>
      </c>
      <c r="H379" t="str">
        <f t="shared" si="60"/>
        <v>Environmental</v>
      </c>
      <c r="I379" t="str">
        <f t="shared" si="61"/>
        <v>Social</v>
      </c>
      <c r="J379" s="19">
        <f t="shared" si="62"/>
        <v>215</v>
      </c>
      <c r="K379" s="19">
        <f t="shared" si="63"/>
        <v>0</v>
      </c>
      <c r="L379" s="19">
        <f t="shared" si="64"/>
        <v>215</v>
      </c>
      <c r="M379" s="17">
        <f t="shared" si="65"/>
        <v>215</v>
      </c>
      <c r="N379" s="22">
        <f t="shared" si="66"/>
        <v>0.64958448753462605</v>
      </c>
      <c r="O379" s="22">
        <f t="shared" si="67"/>
        <v>0.36565096952908588</v>
      </c>
      <c r="P379" s="22">
        <f t="shared" si="68"/>
        <v>0.28393351800554018</v>
      </c>
      <c r="Q379" t="str">
        <f t="shared" si="69"/>
        <v/>
      </c>
      <c r="S379">
        <f t="shared" si="70"/>
        <v>215.00096210000001</v>
      </c>
      <c r="T379" s="23">
        <f t="shared" si="71"/>
        <v>0.2848956180055402</v>
      </c>
    </row>
    <row r="380" spans="1:20" ht="15" customHeight="1" x14ac:dyDescent="0.35">
      <c r="A380" t="str">
        <f>Benchmarking!A380</f>
        <v>Rockwell Automation Inc</v>
      </c>
      <c r="B380" t="str">
        <f>Benchmarking!B380</f>
        <v>rok</v>
      </c>
      <c r="C380" t="str">
        <f>Benchmarking!C380</f>
        <v>Electrical Equipment</v>
      </c>
      <c r="D380" s="17">
        <f>Benchmarking!D380</f>
        <v>308</v>
      </c>
      <c r="E380" s="17">
        <f>Benchmarking!E380</f>
        <v>243</v>
      </c>
      <c r="F380" s="17">
        <f>Benchmarking!F380</f>
        <v>210</v>
      </c>
      <c r="G380" s="17">
        <f>Benchmarking!G380</f>
        <v>761</v>
      </c>
      <c r="H380" t="str">
        <f t="shared" si="60"/>
        <v>Environmental</v>
      </c>
      <c r="I380" t="str">
        <f t="shared" si="61"/>
        <v>Governance</v>
      </c>
      <c r="J380" s="19">
        <f t="shared" si="62"/>
        <v>65</v>
      </c>
      <c r="K380" s="19">
        <f t="shared" si="63"/>
        <v>33</v>
      </c>
      <c r="L380" s="19">
        <f t="shared" si="64"/>
        <v>98</v>
      </c>
      <c r="M380" s="17">
        <f t="shared" si="65"/>
        <v>98</v>
      </c>
      <c r="N380" s="22">
        <f t="shared" si="66"/>
        <v>0.24653739612188366</v>
      </c>
      <c r="O380" s="22">
        <f t="shared" si="67"/>
        <v>0.12049861495844875</v>
      </c>
      <c r="P380" s="22">
        <f t="shared" si="68"/>
        <v>0.12603878116343492</v>
      </c>
      <c r="Q380" t="str">
        <f t="shared" si="69"/>
        <v/>
      </c>
      <c r="S380">
        <f t="shared" si="70"/>
        <v>98.000962000000001</v>
      </c>
      <c r="T380" s="23">
        <f t="shared" si="71"/>
        <v>0.12700078116343491</v>
      </c>
    </row>
    <row r="381" spans="1:20" ht="15" customHeight="1" x14ac:dyDescent="0.35">
      <c r="A381" t="str">
        <f>Benchmarking!A381</f>
        <v>TransDigm Group Inc</v>
      </c>
      <c r="B381" t="str">
        <f>Benchmarking!B381</f>
        <v>tdg</v>
      </c>
      <c r="C381" t="str">
        <f>Benchmarking!C381</f>
        <v>Aerospace &amp; Defense</v>
      </c>
      <c r="D381" s="17">
        <f>Benchmarking!D381</f>
        <v>500</v>
      </c>
      <c r="E381" s="17">
        <f>Benchmarking!E381</f>
        <v>300</v>
      </c>
      <c r="F381" s="17">
        <f>Benchmarking!F381</f>
        <v>300</v>
      </c>
      <c r="G381" s="17">
        <f>Benchmarking!G381</f>
        <v>1100</v>
      </c>
      <c r="H381" t="str">
        <f t="shared" si="60"/>
        <v>Environmental</v>
      </c>
      <c r="I381" t="str">
        <f t="shared" si="61"/>
        <v>Social</v>
      </c>
      <c r="J381" s="19">
        <f t="shared" si="62"/>
        <v>200</v>
      </c>
      <c r="K381" s="19">
        <f t="shared" si="63"/>
        <v>0</v>
      </c>
      <c r="L381" s="19">
        <f t="shared" si="64"/>
        <v>200</v>
      </c>
      <c r="M381" s="17">
        <f t="shared" si="65"/>
        <v>200</v>
      </c>
      <c r="N381" s="22">
        <f t="shared" si="66"/>
        <v>0.56925207756232687</v>
      </c>
      <c r="O381" s="22">
        <f t="shared" si="67"/>
        <v>0.36565096952908588</v>
      </c>
      <c r="P381" s="22">
        <f t="shared" si="68"/>
        <v>0.203601108033241</v>
      </c>
      <c r="Q381" t="str">
        <f t="shared" si="69"/>
        <v/>
      </c>
      <c r="S381">
        <f t="shared" si="70"/>
        <v>200.00096189999999</v>
      </c>
      <c r="T381" s="23">
        <f t="shared" si="71"/>
        <v>0.20456300803324098</v>
      </c>
    </row>
    <row r="382" spans="1:20" ht="15" customHeight="1" x14ac:dyDescent="0.35">
      <c r="A382" t="str">
        <f>Benchmarking!A382</f>
        <v>Sealed Air Corp</v>
      </c>
      <c r="B382" t="str">
        <f>Benchmarking!B382</f>
        <v>see</v>
      </c>
      <c r="C382" t="str">
        <f>Benchmarking!C382</f>
        <v>Packaging</v>
      </c>
      <c r="D382" s="17">
        <f>Benchmarking!D382</f>
        <v>555</v>
      </c>
      <c r="E382" s="17">
        <f>Benchmarking!E382</f>
        <v>318</v>
      </c>
      <c r="F382" s="17">
        <f>Benchmarking!F382</f>
        <v>257</v>
      </c>
      <c r="G382" s="17">
        <f>Benchmarking!G382</f>
        <v>1130</v>
      </c>
      <c r="H382" t="str">
        <f t="shared" si="60"/>
        <v>Environmental</v>
      </c>
      <c r="I382" t="str">
        <f t="shared" si="61"/>
        <v>Governance</v>
      </c>
      <c r="J382" s="19">
        <f t="shared" si="62"/>
        <v>237</v>
      </c>
      <c r="K382" s="19">
        <f t="shared" si="63"/>
        <v>61</v>
      </c>
      <c r="L382" s="19">
        <f t="shared" si="64"/>
        <v>298</v>
      </c>
      <c r="M382" s="17">
        <f t="shared" si="65"/>
        <v>298</v>
      </c>
      <c r="N382" s="22">
        <f t="shared" si="66"/>
        <v>0.69667590027700832</v>
      </c>
      <c r="O382" s="22">
        <f t="shared" si="67"/>
        <v>0.32132963988919666</v>
      </c>
      <c r="P382" s="22">
        <f t="shared" si="68"/>
        <v>0.37534626038781166</v>
      </c>
      <c r="Q382" t="str">
        <f t="shared" si="69"/>
        <v/>
      </c>
      <c r="S382">
        <f t="shared" si="70"/>
        <v>298.00096180000003</v>
      </c>
      <c r="T382" s="23">
        <f t="shared" si="71"/>
        <v>0.37630806038781167</v>
      </c>
    </row>
    <row r="383" spans="1:20" ht="15" customHeight="1" x14ac:dyDescent="0.35">
      <c r="A383" t="str">
        <f>Benchmarking!A383</f>
        <v>Roper Technologies Inc</v>
      </c>
      <c r="B383" t="str">
        <f>Benchmarking!B383</f>
        <v>rop</v>
      </c>
      <c r="C383" t="str">
        <f>Benchmarking!C383</f>
        <v>Technology</v>
      </c>
      <c r="D383" s="17">
        <f>Benchmarking!D383</f>
        <v>570</v>
      </c>
      <c r="E383" s="17">
        <f>Benchmarking!E383</f>
        <v>350</v>
      </c>
      <c r="F383" s="17">
        <f>Benchmarking!F383</f>
        <v>340</v>
      </c>
      <c r="G383" s="17">
        <f>Benchmarking!G383</f>
        <v>1260</v>
      </c>
      <c r="H383" t="str">
        <f t="shared" si="60"/>
        <v>Environmental</v>
      </c>
      <c r="I383" t="str">
        <f t="shared" si="61"/>
        <v>Governance</v>
      </c>
      <c r="J383" s="19">
        <f t="shared" si="62"/>
        <v>220</v>
      </c>
      <c r="K383" s="19">
        <f t="shared" si="63"/>
        <v>10</v>
      </c>
      <c r="L383" s="19">
        <f t="shared" si="64"/>
        <v>230</v>
      </c>
      <c r="M383" s="17">
        <f t="shared" si="65"/>
        <v>230</v>
      </c>
      <c r="N383" s="22">
        <f t="shared" si="66"/>
        <v>0.94459833795013848</v>
      </c>
      <c r="O383" s="22">
        <f t="shared" si="67"/>
        <v>0.90581717451523547</v>
      </c>
      <c r="P383" s="22">
        <f t="shared" si="68"/>
        <v>3.878116343490301E-2</v>
      </c>
      <c r="Q383" t="str">
        <f t="shared" si="69"/>
        <v/>
      </c>
      <c r="S383">
        <f t="shared" si="70"/>
        <v>230.0009617</v>
      </c>
      <c r="T383" s="23">
        <f t="shared" si="71"/>
        <v>3.9742863434903013E-2</v>
      </c>
    </row>
    <row r="384" spans="1:20" ht="15" customHeight="1" x14ac:dyDescent="0.35">
      <c r="A384" t="str">
        <f>Benchmarking!A384</f>
        <v>Stanley Black &amp; Decker Inc</v>
      </c>
      <c r="B384" t="str">
        <f>Benchmarking!B384</f>
        <v>swk</v>
      </c>
      <c r="C384" t="str">
        <f>Benchmarking!C384</f>
        <v>Machinery</v>
      </c>
      <c r="D384" s="17">
        <f>Benchmarking!D384</f>
        <v>555</v>
      </c>
      <c r="E384" s="17">
        <f>Benchmarking!E384</f>
        <v>315</v>
      </c>
      <c r="F384" s="17">
        <f>Benchmarking!F384</f>
        <v>300</v>
      </c>
      <c r="G384" s="17">
        <f>Benchmarking!G384</f>
        <v>1170</v>
      </c>
      <c r="H384" t="str">
        <f t="shared" si="60"/>
        <v>Environmental</v>
      </c>
      <c r="I384" t="str">
        <f t="shared" si="61"/>
        <v>Governance</v>
      </c>
      <c r="J384" s="19">
        <f t="shared" si="62"/>
        <v>240</v>
      </c>
      <c r="K384" s="19">
        <f t="shared" si="63"/>
        <v>15</v>
      </c>
      <c r="L384" s="19">
        <f t="shared" si="64"/>
        <v>255</v>
      </c>
      <c r="M384" s="17">
        <f t="shared" si="65"/>
        <v>255</v>
      </c>
      <c r="N384" s="22">
        <f t="shared" si="66"/>
        <v>0.82409972299168976</v>
      </c>
      <c r="O384" s="22">
        <f t="shared" si="67"/>
        <v>0.39335180055401664</v>
      </c>
      <c r="P384" s="22">
        <f t="shared" si="68"/>
        <v>0.43074792243767313</v>
      </c>
      <c r="Q384" t="str">
        <f t="shared" si="69"/>
        <v>High ESG / weak pillar (analytical flag - not an ESG rating) - warrants investigation</v>
      </c>
      <c r="S384">
        <f t="shared" si="70"/>
        <v>255.00096160000001</v>
      </c>
      <c r="T384" s="23">
        <f t="shared" si="71"/>
        <v>0.43170952243767313</v>
      </c>
    </row>
    <row r="385" spans="1:20" ht="15" customHeight="1" x14ac:dyDescent="0.35">
      <c r="A385" t="str">
        <f>Benchmarking!A385</f>
        <v>Constellation Brands Inc</v>
      </c>
      <c r="B385" t="str">
        <f>Benchmarking!B385</f>
        <v>stz</v>
      </c>
      <c r="C385" t="str">
        <f>Benchmarking!C385</f>
        <v>Beverages</v>
      </c>
      <c r="D385" s="17">
        <f>Benchmarking!D385</f>
        <v>459</v>
      </c>
      <c r="E385" s="17">
        <f>Benchmarking!E385</f>
        <v>313</v>
      </c>
      <c r="F385" s="17">
        <f>Benchmarking!F385</f>
        <v>295</v>
      </c>
      <c r="G385" s="17">
        <f>Benchmarking!G385</f>
        <v>1067</v>
      </c>
      <c r="H385" t="str">
        <f t="shared" si="60"/>
        <v>Environmental</v>
      </c>
      <c r="I385" t="str">
        <f t="shared" si="61"/>
        <v>Governance</v>
      </c>
      <c r="J385" s="19">
        <f t="shared" si="62"/>
        <v>146</v>
      </c>
      <c r="K385" s="19">
        <f t="shared" si="63"/>
        <v>18</v>
      </c>
      <c r="L385" s="19">
        <f t="shared" si="64"/>
        <v>164</v>
      </c>
      <c r="M385" s="17">
        <f t="shared" si="65"/>
        <v>164</v>
      </c>
      <c r="N385" s="22">
        <f t="shared" si="66"/>
        <v>0.52493074792243766</v>
      </c>
      <c r="O385" s="22">
        <f t="shared" si="67"/>
        <v>0.38227146814404434</v>
      </c>
      <c r="P385" s="22">
        <f t="shared" si="68"/>
        <v>0.14265927977839332</v>
      </c>
      <c r="Q385" t="str">
        <f t="shared" si="69"/>
        <v/>
      </c>
      <c r="S385">
        <f t="shared" si="70"/>
        <v>164.00096149999999</v>
      </c>
      <c r="T385" s="23">
        <f t="shared" si="71"/>
        <v>0.14362077977839333</v>
      </c>
    </row>
    <row r="386" spans="1:20" ht="15" customHeight="1" x14ac:dyDescent="0.35">
      <c r="A386" t="str">
        <f>Benchmarking!A386</f>
        <v>Stryker Corp</v>
      </c>
      <c r="B386" t="str">
        <f>Benchmarking!B386</f>
        <v>syk</v>
      </c>
      <c r="C386" t="str">
        <f>Benchmarking!C386</f>
        <v>Health Care</v>
      </c>
      <c r="D386" s="17">
        <f>Benchmarking!D386</f>
        <v>485</v>
      </c>
      <c r="E386" s="17">
        <f>Benchmarking!E386</f>
        <v>321</v>
      </c>
      <c r="F386" s="17">
        <f>Benchmarking!F386</f>
        <v>325</v>
      </c>
      <c r="G386" s="17">
        <f>Benchmarking!G386</f>
        <v>1131</v>
      </c>
      <c r="H386" t="str">
        <f t="shared" si="60"/>
        <v>Environmental</v>
      </c>
      <c r="I386" t="str">
        <f t="shared" si="61"/>
        <v>Social</v>
      </c>
      <c r="J386" s="19">
        <f t="shared" si="62"/>
        <v>164</v>
      </c>
      <c r="K386" s="19">
        <f t="shared" si="63"/>
        <v>-4</v>
      </c>
      <c r="L386" s="19">
        <f t="shared" si="64"/>
        <v>160</v>
      </c>
      <c r="M386" s="17">
        <f t="shared" si="65"/>
        <v>164</v>
      </c>
      <c r="N386" s="22">
        <f t="shared" si="66"/>
        <v>0.70360110803324105</v>
      </c>
      <c r="O386" s="22">
        <f t="shared" si="67"/>
        <v>0.50277008310249305</v>
      </c>
      <c r="P386" s="22">
        <f t="shared" si="68"/>
        <v>0.200831024930748</v>
      </c>
      <c r="Q386" t="str">
        <f t="shared" si="69"/>
        <v/>
      </c>
      <c r="S386">
        <f t="shared" si="70"/>
        <v>164.00096139999999</v>
      </c>
      <c r="T386" s="23">
        <f t="shared" si="71"/>
        <v>0.201792424930748</v>
      </c>
    </row>
    <row r="387" spans="1:20" ht="15" customHeight="1" x14ac:dyDescent="0.35">
      <c r="A387" t="str">
        <f>Benchmarking!A387</f>
        <v>Sysco Corp</v>
      </c>
      <c r="B387" t="str">
        <f>Benchmarking!B387</f>
        <v>syy</v>
      </c>
      <c r="C387" t="str">
        <f>Benchmarking!C387</f>
        <v>Retail</v>
      </c>
      <c r="D387" s="17">
        <f>Benchmarking!D387</f>
        <v>555</v>
      </c>
      <c r="E387" s="17">
        <f>Benchmarking!E387</f>
        <v>301</v>
      </c>
      <c r="F387" s="17">
        <f>Benchmarking!F387</f>
        <v>305</v>
      </c>
      <c r="G387" s="17">
        <f>Benchmarking!G387</f>
        <v>1161</v>
      </c>
      <c r="H387" t="str">
        <f t="shared" si="60"/>
        <v>Environmental</v>
      </c>
      <c r="I387" t="str">
        <f t="shared" si="61"/>
        <v>Social</v>
      </c>
      <c r="J387" s="19">
        <f t="shared" si="62"/>
        <v>254</v>
      </c>
      <c r="K387" s="19">
        <f t="shared" si="63"/>
        <v>-4</v>
      </c>
      <c r="L387" s="19">
        <f t="shared" si="64"/>
        <v>250</v>
      </c>
      <c r="M387" s="17">
        <f t="shared" si="65"/>
        <v>254</v>
      </c>
      <c r="N387" s="22">
        <f t="shared" si="66"/>
        <v>0.80193905817174516</v>
      </c>
      <c r="O387" s="22">
        <f t="shared" si="67"/>
        <v>0.47506925207756234</v>
      </c>
      <c r="P387" s="22">
        <f t="shared" si="68"/>
        <v>0.32686980609418281</v>
      </c>
      <c r="Q387" t="str">
        <f t="shared" si="69"/>
        <v/>
      </c>
      <c r="S387">
        <f t="shared" si="70"/>
        <v>254.0009613</v>
      </c>
      <c r="T387" s="23">
        <f t="shared" si="71"/>
        <v>0.32783110609418281</v>
      </c>
    </row>
    <row r="388" spans="1:20" ht="15" customHeight="1" x14ac:dyDescent="0.35">
      <c r="A388" t="str">
        <f>Benchmarking!A388</f>
        <v>Sherwin-Williams Co</v>
      </c>
      <c r="B388" t="str">
        <f>Benchmarking!B388</f>
        <v>shw</v>
      </c>
      <c r="C388" t="str">
        <f>Benchmarking!C388</f>
        <v>Chemicals</v>
      </c>
      <c r="D388" s="17">
        <f>Benchmarking!D388</f>
        <v>295</v>
      </c>
      <c r="E388" s="17">
        <f>Benchmarking!E388</f>
        <v>259</v>
      </c>
      <c r="F388" s="17">
        <f>Benchmarking!F388</f>
        <v>220</v>
      </c>
      <c r="G388" s="17">
        <f>Benchmarking!G388</f>
        <v>774</v>
      </c>
      <c r="H388" t="str">
        <f t="shared" ref="H388:H451" si="72">IF(AND(D388&gt;=E388,D388&gt;=F388),"Environmental",IF(AND(E388&gt;=D388,E388&gt;=F388),"Social","Governance"))</f>
        <v>Environmental</v>
      </c>
      <c r="I388" t="str">
        <f t="shared" ref="I388:I451" si="73">IF(AND(D388&lt;=E388,D388&lt;=F388),"Environmental",IF(AND(E388&lt;=D388,E388&lt;=F388),"Social","Governance"))</f>
        <v>Governance</v>
      </c>
      <c r="J388" s="19">
        <f t="shared" ref="J388:J451" si="74">D388-E388</f>
        <v>36</v>
      </c>
      <c r="K388" s="19">
        <f t="shared" ref="K388:K451" si="75">E388-F388</f>
        <v>39</v>
      </c>
      <c r="L388" s="19">
        <f t="shared" ref="L388:L451" si="76">D388-F388</f>
        <v>75</v>
      </c>
      <c r="M388" s="17">
        <f t="shared" ref="M388:M451" si="77">MAX(D388:F388)-MIN(D388:F388)</f>
        <v>75</v>
      </c>
      <c r="N388" s="22">
        <f t="shared" ref="N388:N451" si="78">RANK(G388,$G$4:$G$725,1)/COUNT($G$4:$G$725)</f>
        <v>0.27146814404432135</v>
      </c>
      <c r="O388" s="22">
        <f t="shared" ref="O388:O451" si="79">MIN(RANK(D388,$D$4:$D$725,1)/COUNT($D$4:$D$725),RANK(E388,$E$4:$E$725,1)/COUNT($E$4:$E$725),RANK(F388,$F$4:$F$725,1)/COUNT($F$4:$F$725))</f>
        <v>0.19113573407202217</v>
      </c>
      <c r="P388" s="22">
        <f t="shared" ref="P388:P451" si="80">N388-O388</f>
        <v>8.0332409972299179E-2</v>
      </c>
      <c r="Q388" t="str">
        <f t="shared" ref="Q388:Q451" si="81">IF(AND(N388&gt;=0.7,P388&gt;=0.4),"High ESG / weak pillar (analytical flag - not an ESG rating) - warrants investigation","")</f>
        <v/>
      </c>
      <c r="S388">
        <f t="shared" ref="S388:S451" si="82">M388+(10000-ROW())/10000000</f>
        <v>75.000961200000006</v>
      </c>
      <c r="T388" s="23">
        <f t="shared" ref="T388:T451" si="83">P388+(10000-ROW())/10000000</f>
        <v>8.1293609972299175E-2</v>
      </c>
    </row>
    <row r="389" spans="1:20" ht="15" customHeight="1" x14ac:dyDescent="0.35">
      <c r="A389" t="str">
        <f>Benchmarking!A389</f>
        <v>S&amp;P Global Inc</v>
      </c>
      <c r="B389" t="str">
        <f>Benchmarking!B389</f>
        <v>spgi</v>
      </c>
      <c r="C389" t="str">
        <f>Benchmarking!C389</f>
        <v>Financial Services</v>
      </c>
      <c r="D389" s="17">
        <f>Benchmarking!D389</f>
        <v>435</v>
      </c>
      <c r="E389" s="17">
        <f>Benchmarking!E389</f>
        <v>341</v>
      </c>
      <c r="F389" s="17">
        <f>Benchmarking!F389</f>
        <v>310</v>
      </c>
      <c r="G389" s="17">
        <f>Benchmarking!G389</f>
        <v>1086</v>
      </c>
      <c r="H389" t="str">
        <f t="shared" si="72"/>
        <v>Environmental</v>
      </c>
      <c r="I389" t="str">
        <f t="shared" si="73"/>
        <v>Governance</v>
      </c>
      <c r="J389" s="19">
        <f t="shared" si="74"/>
        <v>94</v>
      </c>
      <c r="K389" s="19">
        <f t="shared" si="75"/>
        <v>31</v>
      </c>
      <c r="L389" s="19">
        <f t="shared" si="76"/>
        <v>125</v>
      </c>
      <c r="M389" s="17">
        <f t="shared" si="77"/>
        <v>125</v>
      </c>
      <c r="N389" s="22">
        <f t="shared" si="78"/>
        <v>0.54709141274238227</v>
      </c>
      <c r="O389" s="22">
        <f t="shared" si="79"/>
        <v>0.46952908587257619</v>
      </c>
      <c r="P389" s="22">
        <f t="shared" si="80"/>
        <v>7.7562326869806075E-2</v>
      </c>
      <c r="Q389" t="str">
        <f t="shared" si="81"/>
        <v/>
      </c>
      <c r="S389">
        <f t="shared" si="82"/>
        <v>125.0009611</v>
      </c>
      <c r="T389" s="23">
        <f t="shared" si="83"/>
        <v>7.8523426869806082E-2</v>
      </c>
    </row>
    <row r="390" spans="1:20" ht="15" customHeight="1" x14ac:dyDescent="0.35">
      <c r="A390" t="str">
        <f>Benchmarking!A390</f>
        <v>STERIS plc</v>
      </c>
      <c r="B390" t="str">
        <f>Benchmarking!B390</f>
        <v>ste</v>
      </c>
      <c r="C390" t="str">
        <f>Benchmarking!C390</f>
        <v>Health Care</v>
      </c>
      <c r="D390" s="17">
        <f>Benchmarking!D390</f>
        <v>510</v>
      </c>
      <c r="E390" s="17">
        <f>Benchmarking!E390</f>
        <v>301</v>
      </c>
      <c r="F390" s="17">
        <f>Benchmarking!F390</f>
        <v>305</v>
      </c>
      <c r="G390" s="17">
        <f>Benchmarking!G390</f>
        <v>1116</v>
      </c>
      <c r="H390" t="str">
        <f t="shared" si="72"/>
        <v>Environmental</v>
      </c>
      <c r="I390" t="str">
        <f t="shared" si="73"/>
        <v>Social</v>
      </c>
      <c r="J390" s="19">
        <f t="shared" si="74"/>
        <v>209</v>
      </c>
      <c r="K390" s="19">
        <f t="shared" si="75"/>
        <v>-4</v>
      </c>
      <c r="L390" s="19">
        <f t="shared" si="76"/>
        <v>205</v>
      </c>
      <c r="M390" s="17">
        <f t="shared" si="77"/>
        <v>209</v>
      </c>
      <c r="N390" s="22">
        <f t="shared" si="78"/>
        <v>0.65373961218836563</v>
      </c>
      <c r="O390" s="22">
        <f t="shared" si="79"/>
        <v>0.47506925207756234</v>
      </c>
      <c r="P390" s="22">
        <f t="shared" si="80"/>
        <v>0.17867036011080328</v>
      </c>
      <c r="Q390" t="str">
        <f t="shared" si="81"/>
        <v/>
      </c>
      <c r="S390">
        <f t="shared" si="82"/>
        <v>209.00096099999999</v>
      </c>
      <c r="T390" s="23">
        <f t="shared" si="83"/>
        <v>0.17963136011080327</v>
      </c>
    </row>
    <row r="391" spans="1:20" ht="15" customHeight="1" x14ac:dyDescent="0.35">
      <c r="A391" t="str">
        <f>Benchmarking!A391</f>
        <v>Synchrony Financial</v>
      </c>
      <c r="B391" t="str">
        <f>Benchmarking!B391</f>
        <v>syf</v>
      </c>
      <c r="C391" t="str">
        <f>Benchmarking!C391</f>
        <v>Financial Services</v>
      </c>
      <c r="D391" s="17">
        <f>Benchmarking!D391</f>
        <v>325</v>
      </c>
      <c r="E391" s="17">
        <f>Benchmarking!E391</f>
        <v>312</v>
      </c>
      <c r="F391" s="17">
        <f>Benchmarking!F391</f>
        <v>310</v>
      </c>
      <c r="G391" s="17">
        <f>Benchmarking!G391</f>
        <v>947</v>
      </c>
      <c r="H391" t="str">
        <f t="shared" si="72"/>
        <v>Environmental</v>
      </c>
      <c r="I391" t="str">
        <f t="shared" si="73"/>
        <v>Governance</v>
      </c>
      <c r="J391" s="19">
        <f t="shared" si="74"/>
        <v>13</v>
      </c>
      <c r="K391" s="19">
        <f t="shared" si="75"/>
        <v>2</v>
      </c>
      <c r="L391" s="19">
        <f t="shared" si="76"/>
        <v>15</v>
      </c>
      <c r="M391" s="17">
        <f t="shared" si="77"/>
        <v>15</v>
      </c>
      <c r="N391" s="22">
        <f t="shared" si="78"/>
        <v>0.41689750692520777</v>
      </c>
      <c r="O391" s="22">
        <f t="shared" si="79"/>
        <v>0.37534626038781166</v>
      </c>
      <c r="P391" s="22">
        <f t="shared" si="80"/>
        <v>4.1551246537396114E-2</v>
      </c>
      <c r="Q391" t="str">
        <f t="shared" si="81"/>
        <v/>
      </c>
      <c r="S391">
        <f t="shared" si="82"/>
        <v>15.000960900000001</v>
      </c>
      <c r="T391" s="23">
        <f t="shared" si="83"/>
        <v>4.2512146537396114E-2</v>
      </c>
    </row>
    <row r="392" spans="1:20" ht="15" customHeight="1" x14ac:dyDescent="0.35">
      <c r="A392" t="str">
        <f>Benchmarking!A392</f>
        <v>Simon Property Group Inc</v>
      </c>
      <c r="B392" t="str">
        <f>Benchmarking!B392</f>
        <v>spg</v>
      </c>
      <c r="C392" t="str">
        <f>Benchmarking!C392</f>
        <v>Real Estate</v>
      </c>
      <c r="D392" s="17">
        <f>Benchmarking!D392</f>
        <v>225</v>
      </c>
      <c r="E392" s="17">
        <f>Benchmarking!E392</f>
        <v>247</v>
      </c>
      <c r="F392" s="17">
        <f>Benchmarking!F392</f>
        <v>205</v>
      </c>
      <c r="G392" s="17">
        <f>Benchmarking!G392</f>
        <v>677</v>
      </c>
      <c r="H392" t="str">
        <f t="shared" si="72"/>
        <v>Social</v>
      </c>
      <c r="I392" t="str">
        <f t="shared" si="73"/>
        <v>Governance</v>
      </c>
      <c r="J392" s="19">
        <f t="shared" si="74"/>
        <v>-22</v>
      </c>
      <c r="K392" s="19">
        <f t="shared" si="75"/>
        <v>42</v>
      </c>
      <c r="L392" s="19">
        <f t="shared" si="76"/>
        <v>20</v>
      </c>
      <c r="M392" s="17">
        <f t="shared" si="77"/>
        <v>42</v>
      </c>
      <c r="N392" s="22">
        <f t="shared" si="78"/>
        <v>0.13850415512465375</v>
      </c>
      <c r="O392" s="22">
        <f t="shared" si="79"/>
        <v>8.3102493074792241E-2</v>
      </c>
      <c r="P392" s="22">
        <f t="shared" si="80"/>
        <v>5.5401662049861508E-2</v>
      </c>
      <c r="Q392" t="str">
        <f t="shared" si="81"/>
        <v/>
      </c>
      <c r="S392">
        <f t="shared" si="82"/>
        <v>42.000960800000001</v>
      </c>
      <c r="T392" s="23">
        <f t="shared" si="83"/>
        <v>5.6362462049861506E-2</v>
      </c>
    </row>
    <row r="393" spans="1:20" ht="15" customHeight="1" x14ac:dyDescent="0.35">
      <c r="A393" t="str">
        <f>Benchmarking!A393</f>
        <v>Sempra Energy</v>
      </c>
      <c r="B393" t="str">
        <f>Benchmarking!B393</f>
        <v>sre</v>
      </c>
      <c r="C393" t="str">
        <f>Benchmarking!C393</f>
        <v>Utilities</v>
      </c>
      <c r="D393" s="17">
        <f>Benchmarking!D393</f>
        <v>700</v>
      </c>
      <c r="E393" s="17">
        <f>Benchmarking!E393</f>
        <v>386</v>
      </c>
      <c r="F393" s="17">
        <f>Benchmarking!F393</f>
        <v>310</v>
      </c>
      <c r="G393" s="17">
        <f>Benchmarking!G393</f>
        <v>1396</v>
      </c>
      <c r="H393" t="str">
        <f t="shared" si="72"/>
        <v>Environmental</v>
      </c>
      <c r="I393" t="str">
        <f t="shared" si="73"/>
        <v>Governance</v>
      </c>
      <c r="J393" s="19">
        <f t="shared" si="74"/>
        <v>314</v>
      </c>
      <c r="K393" s="19">
        <f t="shared" si="75"/>
        <v>76</v>
      </c>
      <c r="L393" s="19">
        <f t="shared" si="76"/>
        <v>390</v>
      </c>
      <c r="M393" s="17">
        <f t="shared" si="77"/>
        <v>390</v>
      </c>
      <c r="N393" s="22">
        <f t="shared" si="78"/>
        <v>0.9833795013850416</v>
      </c>
      <c r="O393" s="22">
        <f t="shared" si="79"/>
        <v>0.74653739612188363</v>
      </c>
      <c r="P393" s="22">
        <f t="shared" si="80"/>
        <v>0.23684210526315796</v>
      </c>
      <c r="Q393" t="str">
        <f t="shared" si="81"/>
        <v/>
      </c>
      <c r="S393">
        <f t="shared" si="82"/>
        <v>390.00096070000001</v>
      </c>
      <c r="T393" s="23">
        <f t="shared" si="83"/>
        <v>0.23780280526315797</v>
      </c>
    </row>
    <row r="394" spans="1:20" ht="15" customHeight="1" x14ac:dyDescent="0.35">
      <c r="A394" t="str">
        <f>Benchmarking!A394</f>
        <v>Southern Co</v>
      </c>
      <c r="B394" t="str">
        <f>Benchmarking!B394</f>
        <v>so</v>
      </c>
      <c r="C394" t="str">
        <f>Benchmarking!C394</f>
        <v>Utilities</v>
      </c>
      <c r="D394" s="17">
        <f>Benchmarking!D394</f>
        <v>515</v>
      </c>
      <c r="E394" s="17">
        <f>Benchmarking!E394</f>
        <v>307</v>
      </c>
      <c r="F394" s="17">
        <f>Benchmarking!F394</f>
        <v>330</v>
      </c>
      <c r="G394" s="17">
        <f>Benchmarking!G394</f>
        <v>1152</v>
      </c>
      <c r="H394" t="str">
        <f t="shared" si="72"/>
        <v>Environmental</v>
      </c>
      <c r="I394" t="str">
        <f t="shared" si="73"/>
        <v>Social</v>
      </c>
      <c r="J394" s="19">
        <f t="shared" si="74"/>
        <v>208</v>
      </c>
      <c r="K394" s="19">
        <f t="shared" si="75"/>
        <v>-23</v>
      </c>
      <c r="L394" s="19">
        <f t="shared" si="76"/>
        <v>185</v>
      </c>
      <c r="M394" s="17">
        <f t="shared" si="77"/>
        <v>208</v>
      </c>
      <c r="N394" s="22">
        <f t="shared" si="78"/>
        <v>0.77423822714681445</v>
      </c>
      <c r="O394" s="22">
        <f t="shared" si="79"/>
        <v>0.5983379501385041</v>
      </c>
      <c r="P394" s="22">
        <f t="shared" si="80"/>
        <v>0.17590027700831035</v>
      </c>
      <c r="Q394" t="str">
        <f t="shared" si="81"/>
        <v/>
      </c>
      <c r="S394">
        <f t="shared" si="82"/>
        <v>208.00096060000001</v>
      </c>
      <c r="T394" s="23">
        <f t="shared" si="83"/>
        <v>0.17686087700831035</v>
      </c>
    </row>
    <row r="395" spans="1:20" ht="15" customHeight="1" x14ac:dyDescent="0.35">
      <c r="A395" t="str">
        <f>Benchmarking!A395</f>
        <v>State Street Corp</v>
      </c>
      <c r="B395" t="str">
        <f>Benchmarking!B395</f>
        <v>stt</v>
      </c>
      <c r="C395" t="str">
        <f>Benchmarking!C395</f>
        <v>Financial Services</v>
      </c>
      <c r="D395" s="17">
        <f>Benchmarking!D395</f>
        <v>225</v>
      </c>
      <c r="E395" s="17">
        <f>Benchmarking!E395</f>
        <v>211</v>
      </c>
      <c r="F395" s="17">
        <f>Benchmarking!F395</f>
        <v>210</v>
      </c>
      <c r="G395" s="17">
        <f>Benchmarking!G395</f>
        <v>646</v>
      </c>
      <c r="H395" t="str">
        <f t="shared" si="72"/>
        <v>Environmental</v>
      </c>
      <c r="I395" t="str">
        <f t="shared" si="73"/>
        <v>Governance</v>
      </c>
      <c r="J395" s="19">
        <f t="shared" si="74"/>
        <v>14</v>
      </c>
      <c r="K395" s="19">
        <f t="shared" si="75"/>
        <v>1</v>
      </c>
      <c r="L395" s="19">
        <f t="shared" si="76"/>
        <v>15</v>
      </c>
      <c r="M395" s="17">
        <f t="shared" si="77"/>
        <v>15</v>
      </c>
      <c r="N395" s="22">
        <f t="shared" si="78"/>
        <v>8.5872576177285317E-2</v>
      </c>
      <c r="O395" s="22">
        <f t="shared" si="79"/>
        <v>0.11357340720221606</v>
      </c>
      <c r="P395" s="22">
        <f t="shared" si="80"/>
        <v>-2.7700831024930747E-2</v>
      </c>
      <c r="Q395" t="str">
        <f t="shared" si="81"/>
        <v/>
      </c>
      <c r="S395">
        <f t="shared" si="82"/>
        <v>15.0009605</v>
      </c>
      <c r="T395" s="23">
        <f t="shared" si="83"/>
        <v>-2.6740331024930748E-2</v>
      </c>
    </row>
    <row r="396" spans="1:20" ht="15" customHeight="1" x14ac:dyDescent="0.35">
      <c r="A396" t="str">
        <f>Benchmarking!A396</f>
        <v>Snap-On Inc</v>
      </c>
      <c r="B396" t="str">
        <f>Benchmarking!B396</f>
        <v>sna</v>
      </c>
      <c r="C396" t="str">
        <f>Benchmarking!C396</f>
        <v>Machinery</v>
      </c>
      <c r="D396" s="17">
        <f>Benchmarking!D396</f>
        <v>500</v>
      </c>
      <c r="E396" s="17">
        <f>Benchmarking!E396</f>
        <v>300</v>
      </c>
      <c r="F396" s="17">
        <f>Benchmarking!F396</f>
        <v>261</v>
      </c>
      <c r="G396" s="17">
        <f>Benchmarking!G396</f>
        <v>1061</v>
      </c>
      <c r="H396" t="str">
        <f t="shared" si="72"/>
        <v>Environmental</v>
      </c>
      <c r="I396" t="str">
        <f t="shared" si="73"/>
        <v>Governance</v>
      </c>
      <c r="J396" s="19">
        <f t="shared" si="74"/>
        <v>200</v>
      </c>
      <c r="K396" s="19">
        <f t="shared" si="75"/>
        <v>39</v>
      </c>
      <c r="L396" s="19">
        <f t="shared" si="76"/>
        <v>239</v>
      </c>
      <c r="M396" s="17">
        <f t="shared" si="77"/>
        <v>239</v>
      </c>
      <c r="N396" s="22">
        <f t="shared" si="78"/>
        <v>0.5166204986149584</v>
      </c>
      <c r="O396" s="22">
        <f t="shared" si="79"/>
        <v>0.33656509695290859</v>
      </c>
      <c r="P396" s="22">
        <f t="shared" si="80"/>
        <v>0.18005540166204981</v>
      </c>
      <c r="Q396" t="str">
        <f t="shared" si="81"/>
        <v/>
      </c>
      <c r="S396">
        <f t="shared" si="82"/>
        <v>239.0009604</v>
      </c>
      <c r="T396" s="23">
        <f t="shared" si="83"/>
        <v>0.18101580166204981</v>
      </c>
    </row>
    <row r="397" spans="1:20" ht="15" customHeight="1" x14ac:dyDescent="0.35">
      <c r="A397" t="str">
        <f>Benchmarking!A397</f>
        <v>Raytheon Technologies Corp</v>
      </c>
      <c r="B397" t="str">
        <f>Benchmarking!B397</f>
        <v>rtx</v>
      </c>
      <c r="C397" t="str">
        <f>Benchmarking!C397</f>
        <v>Aerospace &amp; Defense</v>
      </c>
      <c r="D397" s="17">
        <f>Benchmarking!D397</f>
        <v>520</v>
      </c>
      <c r="E397" s="17">
        <f>Benchmarking!E397</f>
        <v>330</v>
      </c>
      <c r="F397" s="17">
        <f>Benchmarking!F397</f>
        <v>400</v>
      </c>
      <c r="G397" s="17">
        <f>Benchmarking!G397</f>
        <v>1250</v>
      </c>
      <c r="H397" t="str">
        <f t="shared" si="72"/>
        <v>Environmental</v>
      </c>
      <c r="I397" t="str">
        <f t="shared" si="73"/>
        <v>Social</v>
      </c>
      <c r="J397" s="19">
        <f t="shared" si="74"/>
        <v>190</v>
      </c>
      <c r="K397" s="19">
        <f t="shared" si="75"/>
        <v>-70</v>
      </c>
      <c r="L397" s="19">
        <f t="shared" si="76"/>
        <v>120</v>
      </c>
      <c r="M397" s="17">
        <f t="shared" si="77"/>
        <v>190</v>
      </c>
      <c r="N397" s="22">
        <f t="shared" si="78"/>
        <v>0.93628808864265933</v>
      </c>
      <c r="O397" s="22">
        <f t="shared" si="79"/>
        <v>0.75207756232686984</v>
      </c>
      <c r="P397" s="22">
        <f t="shared" si="80"/>
        <v>0.18421052631578949</v>
      </c>
      <c r="Q397" t="str">
        <f t="shared" si="81"/>
        <v/>
      </c>
      <c r="S397">
        <f t="shared" si="82"/>
        <v>190.0009603</v>
      </c>
      <c r="T397" s="23">
        <f t="shared" si="83"/>
        <v>0.18517082631578949</v>
      </c>
    </row>
    <row r="398" spans="1:20" ht="15" customHeight="1" x14ac:dyDescent="0.35">
      <c r="A398" t="str">
        <f>Benchmarking!A398</f>
        <v>Hartford Financial Services Group Inc</v>
      </c>
      <c r="B398" t="str">
        <f>Benchmarking!B398</f>
        <v>hig</v>
      </c>
      <c r="C398" t="str">
        <f>Benchmarking!C398</f>
        <v>Insurance</v>
      </c>
      <c r="D398" s="17">
        <f>Benchmarking!D398</f>
        <v>500</v>
      </c>
      <c r="E398" s="17">
        <f>Benchmarking!E398</f>
        <v>305</v>
      </c>
      <c r="F398" s="17">
        <f>Benchmarking!F398</f>
        <v>305</v>
      </c>
      <c r="G398" s="17">
        <f>Benchmarking!G398</f>
        <v>1110</v>
      </c>
      <c r="H398" t="str">
        <f t="shared" si="72"/>
        <v>Environmental</v>
      </c>
      <c r="I398" t="str">
        <f t="shared" si="73"/>
        <v>Social</v>
      </c>
      <c r="J398" s="19">
        <f t="shared" si="74"/>
        <v>195</v>
      </c>
      <c r="K398" s="19">
        <f t="shared" si="75"/>
        <v>0</v>
      </c>
      <c r="L398" s="19">
        <f t="shared" si="76"/>
        <v>195</v>
      </c>
      <c r="M398" s="17">
        <f t="shared" si="77"/>
        <v>195</v>
      </c>
      <c r="N398" s="22">
        <f t="shared" si="78"/>
        <v>0.6357340720221607</v>
      </c>
      <c r="O398" s="22">
        <f t="shared" si="79"/>
        <v>0.51246537396121883</v>
      </c>
      <c r="P398" s="22">
        <f t="shared" si="80"/>
        <v>0.12326869806094187</v>
      </c>
      <c r="Q398" t="str">
        <f t="shared" si="81"/>
        <v/>
      </c>
      <c r="S398">
        <f t="shared" si="82"/>
        <v>195.00096020000001</v>
      </c>
      <c r="T398" s="23">
        <f t="shared" si="83"/>
        <v>0.12422889806094187</v>
      </c>
    </row>
    <row r="399" spans="1:20" ht="15" customHeight="1" x14ac:dyDescent="0.35">
      <c r="A399" t="str">
        <f>Benchmarking!A399</f>
        <v>TE Connectivity Ltd</v>
      </c>
      <c r="B399" t="str">
        <f>Benchmarking!B399</f>
        <v>tel</v>
      </c>
      <c r="C399" t="str">
        <f>Benchmarking!C399</f>
        <v>Electrical Equipment</v>
      </c>
      <c r="D399" s="17">
        <f>Benchmarking!D399</f>
        <v>200</v>
      </c>
      <c r="E399" s="17">
        <f>Benchmarking!E399</f>
        <v>200</v>
      </c>
      <c r="F399" s="17">
        <f>Benchmarking!F399</f>
        <v>200</v>
      </c>
      <c r="G399" s="17">
        <f>Benchmarking!G399</f>
        <v>600</v>
      </c>
      <c r="H399" t="str">
        <f t="shared" si="72"/>
        <v>Environmental</v>
      </c>
      <c r="I399" t="str">
        <f t="shared" si="73"/>
        <v>Environmental</v>
      </c>
      <c r="J399" s="19">
        <f t="shared" si="74"/>
        <v>0</v>
      </c>
      <c r="K399" s="19">
        <f t="shared" si="75"/>
        <v>0</v>
      </c>
      <c r="L399" s="19">
        <f t="shared" si="76"/>
        <v>0</v>
      </c>
      <c r="M399" s="17">
        <f t="shared" si="77"/>
        <v>0</v>
      </c>
      <c r="N399" s="22">
        <f t="shared" si="78"/>
        <v>1.3850415512465374E-3</v>
      </c>
      <c r="O399" s="22">
        <f t="shared" si="79"/>
        <v>1.3850415512465374E-3</v>
      </c>
      <c r="P399" s="22">
        <f t="shared" si="80"/>
        <v>0</v>
      </c>
      <c r="Q399" t="str">
        <f t="shared" si="81"/>
        <v/>
      </c>
      <c r="S399">
        <f t="shared" si="82"/>
        <v>9.6009999999999997E-4</v>
      </c>
      <c r="T399" s="23">
        <f t="shared" si="83"/>
        <v>9.6009999999999997E-4</v>
      </c>
    </row>
    <row r="400" spans="1:20" ht="15" customHeight="1" x14ac:dyDescent="0.35">
      <c r="A400" t="str">
        <f>Benchmarking!A400</f>
        <v>Teleflex Inc</v>
      </c>
      <c r="B400" t="str">
        <f>Benchmarking!B400</f>
        <v>tfx</v>
      </c>
      <c r="C400" t="str">
        <f>Benchmarking!C400</f>
        <v>Health Care</v>
      </c>
      <c r="D400" s="17">
        <f>Benchmarking!D400</f>
        <v>200</v>
      </c>
      <c r="E400" s="17">
        <f>Benchmarking!E400</f>
        <v>200</v>
      </c>
      <c r="F400" s="17">
        <f>Benchmarking!F400</f>
        <v>200</v>
      </c>
      <c r="G400" s="17">
        <f>Benchmarking!G400</f>
        <v>600</v>
      </c>
      <c r="H400" t="str">
        <f t="shared" si="72"/>
        <v>Environmental</v>
      </c>
      <c r="I400" t="str">
        <f t="shared" si="73"/>
        <v>Environmental</v>
      </c>
      <c r="J400" s="19">
        <f t="shared" si="74"/>
        <v>0</v>
      </c>
      <c r="K400" s="19">
        <f t="shared" si="75"/>
        <v>0</v>
      </c>
      <c r="L400" s="19">
        <f t="shared" si="76"/>
        <v>0</v>
      </c>
      <c r="M400" s="17">
        <f t="shared" si="77"/>
        <v>0</v>
      </c>
      <c r="N400" s="22">
        <f t="shared" si="78"/>
        <v>1.3850415512465374E-3</v>
      </c>
      <c r="O400" s="22">
        <f t="shared" si="79"/>
        <v>1.3850415512465374E-3</v>
      </c>
      <c r="P400" s="22">
        <f t="shared" si="80"/>
        <v>0</v>
      </c>
      <c r="Q400" t="str">
        <f t="shared" si="81"/>
        <v/>
      </c>
      <c r="S400">
        <f t="shared" si="82"/>
        <v>9.6000000000000002E-4</v>
      </c>
      <c r="T400" s="23">
        <f t="shared" si="83"/>
        <v>9.6000000000000002E-4</v>
      </c>
    </row>
    <row r="401" spans="1:20" ht="15" customHeight="1" x14ac:dyDescent="0.35">
      <c r="A401" t="str">
        <f>Benchmarking!A401</f>
        <v>Truist Financial Corp</v>
      </c>
      <c r="B401" t="str">
        <f>Benchmarking!B401</f>
        <v>tfc</v>
      </c>
      <c r="C401" t="str">
        <f>Benchmarking!C401</f>
        <v>Banking</v>
      </c>
      <c r="D401" s="17">
        <f>Benchmarking!D401</f>
        <v>480</v>
      </c>
      <c r="E401" s="17">
        <f>Benchmarking!E401</f>
        <v>308</v>
      </c>
      <c r="F401" s="17">
        <f>Benchmarking!F401</f>
        <v>300</v>
      </c>
      <c r="G401" s="17">
        <f>Benchmarking!G401</f>
        <v>1088</v>
      </c>
      <c r="H401" t="str">
        <f t="shared" si="72"/>
        <v>Environmental</v>
      </c>
      <c r="I401" t="str">
        <f t="shared" si="73"/>
        <v>Governance</v>
      </c>
      <c r="J401" s="19">
        <f t="shared" si="74"/>
        <v>172</v>
      </c>
      <c r="K401" s="19">
        <f t="shared" si="75"/>
        <v>8</v>
      </c>
      <c r="L401" s="19">
        <f t="shared" si="76"/>
        <v>180</v>
      </c>
      <c r="M401" s="17">
        <f t="shared" si="77"/>
        <v>180</v>
      </c>
      <c r="N401" s="22">
        <f t="shared" si="78"/>
        <v>0.55263157894736847</v>
      </c>
      <c r="O401" s="22">
        <f t="shared" si="79"/>
        <v>0.39335180055401664</v>
      </c>
      <c r="P401" s="22">
        <f t="shared" si="80"/>
        <v>0.15927977839335183</v>
      </c>
      <c r="Q401" t="str">
        <f t="shared" si="81"/>
        <v/>
      </c>
      <c r="S401">
        <f t="shared" si="82"/>
        <v>180.0009599</v>
      </c>
      <c r="T401" s="23">
        <f t="shared" si="83"/>
        <v>0.16023967839335185</v>
      </c>
    </row>
    <row r="402" spans="1:20" ht="15" customHeight="1" x14ac:dyDescent="0.35">
      <c r="A402" t="str">
        <f>Benchmarking!A402</f>
        <v>Teledyne Technologies Inc</v>
      </c>
      <c r="B402" t="str">
        <f>Benchmarking!B402</f>
        <v>tdy</v>
      </c>
      <c r="C402" t="str">
        <f>Benchmarking!C402</f>
        <v>Electrical Equipment</v>
      </c>
      <c r="D402" s="17">
        <f>Benchmarking!D402</f>
        <v>500</v>
      </c>
      <c r="E402" s="17">
        <f>Benchmarking!E402</f>
        <v>300</v>
      </c>
      <c r="F402" s="17">
        <f>Benchmarking!F402</f>
        <v>300</v>
      </c>
      <c r="G402" s="17">
        <f>Benchmarking!G402</f>
        <v>1100</v>
      </c>
      <c r="H402" t="str">
        <f t="shared" si="72"/>
        <v>Environmental</v>
      </c>
      <c r="I402" t="str">
        <f t="shared" si="73"/>
        <v>Social</v>
      </c>
      <c r="J402" s="19">
        <f t="shared" si="74"/>
        <v>200</v>
      </c>
      <c r="K402" s="19">
        <f t="shared" si="75"/>
        <v>0</v>
      </c>
      <c r="L402" s="19">
        <f t="shared" si="76"/>
        <v>200</v>
      </c>
      <c r="M402" s="17">
        <f t="shared" si="77"/>
        <v>200</v>
      </c>
      <c r="N402" s="22">
        <f t="shared" si="78"/>
        <v>0.56925207756232687</v>
      </c>
      <c r="O402" s="22">
        <f t="shared" si="79"/>
        <v>0.36565096952908588</v>
      </c>
      <c r="P402" s="22">
        <f t="shared" si="80"/>
        <v>0.203601108033241</v>
      </c>
      <c r="Q402" t="str">
        <f t="shared" si="81"/>
        <v/>
      </c>
      <c r="S402">
        <f t="shared" si="82"/>
        <v>200.0009598</v>
      </c>
      <c r="T402" s="23">
        <f t="shared" si="83"/>
        <v>0.20456090803324101</v>
      </c>
    </row>
    <row r="403" spans="1:20" ht="15" customHeight="1" x14ac:dyDescent="0.35">
      <c r="A403" t="str">
        <f>Benchmarking!A403</f>
        <v>Target Corp</v>
      </c>
      <c r="B403" t="str">
        <f>Benchmarking!B403</f>
        <v>tgt</v>
      </c>
      <c r="C403" t="str">
        <f>Benchmarking!C403</f>
        <v>Retail</v>
      </c>
      <c r="D403" s="17">
        <f>Benchmarking!D403</f>
        <v>550</v>
      </c>
      <c r="E403" s="17">
        <f>Benchmarking!E403</f>
        <v>342</v>
      </c>
      <c r="F403" s="17">
        <f>Benchmarking!F403</f>
        <v>313</v>
      </c>
      <c r="G403" s="17">
        <f>Benchmarking!G403</f>
        <v>1205</v>
      </c>
      <c r="H403" t="str">
        <f t="shared" si="72"/>
        <v>Environmental</v>
      </c>
      <c r="I403" t="str">
        <f t="shared" si="73"/>
        <v>Governance</v>
      </c>
      <c r="J403" s="19">
        <f t="shared" si="74"/>
        <v>208</v>
      </c>
      <c r="K403" s="19">
        <f t="shared" si="75"/>
        <v>29</v>
      </c>
      <c r="L403" s="19">
        <f t="shared" si="76"/>
        <v>237</v>
      </c>
      <c r="M403" s="17">
        <f t="shared" si="77"/>
        <v>237</v>
      </c>
      <c r="N403" s="22">
        <f t="shared" si="78"/>
        <v>0.89335180055401664</v>
      </c>
      <c r="O403" s="22">
        <f t="shared" si="79"/>
        <v>0.81301939058171746</v>
      </c>
      <c r="P403" s="22">
        <f t="shared" si="80"/>
        <v>8.0332409972299179E-2</v>
      </c>
      <c r="Q403" t="str">
        <f t="shared" si="81"/>
        <v/>
      </c>
      <c r="S403">
        <f t="shared" si="82"/>
        <v>237.00095970000001</v>
      </c>
      <c r="T403" s="23">
        <f t="shared" si="83"/>
        <v>8.1292109972299173E-2</v>
      </c>
    </row>
    <row r="404" spans="1:20" ht="15" customHeight="1" x14ac:dyDescent="0.35">
      <c r="A404" t="str">
        <f>Benchmarking!A404</f>
        <v>TJX Companies Inc</v>
      </c>
      <c r="B404" t="str">
        <f>Benchmarking!B404</f>
        <v>tjx</v>
      </c>
      <c r="C404" t="str">
        <f>Benchmarking!C404</f>
        <v>Retail</v>
      </c>
      <c r="D404" s="17">
        <f>Benchmarking!D404</f>
        <v>500</v>
      </c>
      <c r="E404" s="17">
        <f>Benchmarking!E404</f>
        <v>300</v>
      </c>
      <c r="F404" s="17">
        <f>Benchmarking!F404</f>
        <v>300</v>
      </c>
      <c r="G404" s="17">
        <f>Benchmarking!G404</f>
        <v>1100</v>
      </c>
      <c r="H404" t="str">
        <f t="shared" si="72"/>
        <v>Environmental</v>
      </c>
      <c r="I404" t="str">
        <f t="shared" si="73"/>
        <v>Social</v>
      </c>
      <c r="J404" s="19">
        <f t="shared" si="74"/>
        <v>200</v>
      </c>
      <c r="K404" s="19">
        <f t="shared" si="75"/>
        <v>0</v>
      </c>
      <c r="L404" s="19">
        <f t="shared" si="76"/>
        <v>200</v>
      </c>
      <c r="M404" s="17">
        <f t="shared" si="77"/>
        <v>200</v>
      </c>
      <c r="N404" s="22">
        <f t="shared" si="78"/>
        <v>0.56925207756232687</v>
      </c>
      <c r="O404" s="22">
        <f t="shared" si="79"/>
        <v>0.36565096952908588</v>
      </c>
      <c r="P404" s="22">
        <f t="shared" si="80"/>
        <v>0.203601108033241</v>
      </c>
      <c r="Q404" t="str">
        <f t="shared" si="81"/>
        <v/>
      </c>
      <c r="S404">
        <f t="shared" si="82"/>
        <v>200.00095959999999</v>
      </c>
      <c r="T404" s="23">
        <f t="shared" si="83"/>
        <v>0.204560708033241</v>
      </c>
    </row>
    <row r="405" spans="1:20" ht="15" customHeight="1" x14ac:dyDescent="0.35">
      <c r="A405" t="str">
        <f>Benchmarking!A405</f>
        <v>Tapestry Inc</v>
      </c>
      <c r="B405" t="str">
        <f>Benchmarking!B405</f>
        <v>tpr</v>
      </c>
      <c r="C405" t="str">
        <f>Benchmarking!C405</f>
        <v>Textiles Apparel &amp; Luxury Goods</v>
      </c>
      <c r="D405" s="17">
        <f>Benchmarking!D405</f>
        <v>483</v>
      </c>
      <c r="E405" s="17">
        <f>Benchmarking!E405</f>
        <v>310</v>
      </c>
      <c r="F405" s="17">
        <f>Benchmarking!F405</f>
        <v>300</v>
      </c>
      <c r="G405" s="17">
        <f>Benchmarking!G405</f>
        <v>1093</v>
      </c>
      <c r="H405" t="str">
        <f t="shared" si="72"/>
        <v>Environmental</v>
      </c>
      <c r="I405" t="str">
        <f t="shared" si="73"/>
        <v>Governance</v>
      </c>
      <c r="J405" s="19">
        <f t="shared" si="74"/>
        <v>173</v>
      </c>
      <c r="K405" s="19">
        <f t="shared" si="75"/>
        <v>10</v>
      </c>
      <c r="L405" s="19">
        <f t="shared" si="76"/>
        <v>183</v>
      </c>
      <c r="M405" s="17">
        <f t="shared" si="77"/>
        <v>183</v>
      </c>
      <c r="N405" s="22">
        <f t="shared" si="78"/>
        <v>0.56094182825484762</v>
      </c>
      <c r="O405" s="22">
        <f t="shared" si="79"/>
        <v>0.39335180055401664</v>
      </c>
      <c r="P405" s="22">
        <f t="shared" si="80"/>
        <v>0.16759002770083098</v>
      </c>
      <c r="Q405" t="str">
        <f t="shared" si="81"/>
        <v/>
      </c>
      <c r="S405">
        <f t="shared" si="82"/>
        <v>183.00095949999999</v>
      </c>
      <c r="T405" s="23">
        <f t="shared" si="83"/>
        <v>0.16854952770083098</v>
      </c>
    </row>
    <row r="406" spans="1:20" ht="15" customHeight="1" x14ac:dyDescent="0.35">
      <c r="A406" t="str">
        <f>Benchmarking!A406</f>
        <v>Travelers Companies Inc</v>
      </c>
      <c r="B406" t="str">
        <f>Benchmarking!B406</f>
        <v>trv</v>
      </c>
      <c r="C406" t="str">
        <f>Benchmarking!C406</f>
        <v>Insurance</v>
      </c>
      <c r="D406" s="17">
        <f>Benchmarking!D406</f>
        <v>500</v>
      </c>
      <c r="E406" s="17">
        <f>Benchmarking!E406</f>
        <v>300</v>
      </c>
      <c r="F406" s="17">
        <f>Benchmarking!F406</f>
        <v>300</v>
      </c>
      <c r="G406" s="17">
        <f>Benchmarking!G406</f>
        <v>1100</v>
      </c>
      <c r="H406" t="str">
        <f t="shared" si="72"/>
        <v>Environmental</v>
      </c>
      <c r="I406" t="str">
        <f t="shared" si="73"/>
        <v>Social</v>
      </c>
      <c r="J406" s="19">
        <f t="shared" si="74"/>
        <v>200</v>
      </c>
      <c r="K406" s="19">
        <f t="shared" si="75"/>
        <v>0</v>
      </c>
      <c r="L406" s="19">
        <f t="shared" si="76"/>
        <v>200</v>
      </c>
      <c r="M406" s="17">
        <f t="shared" si="77"/>
        <v>200</v>
      </c>
      <c r="N406" s="22">
        <f t="shared" si="78"/>
        <v>0.56925207756232687</v>
      </c>
      <c r="O406" s="22">
        <f t="shared" si="79"/>
        <v>0.36565096952908588</v>
      </c>
      <c r="P406" s="22">
        <f t="shared" si="80"/>
        <v>0.203601108033241</v>
      </c>
      <c r="Q406" t="str">
        <f t="shared" si="81"/>
        <v/>
      </c>
      <c r="S406">
        <f t="shared" si="82"/>
        <v>200.0009594</v>
      </c>
      <c r="T406" s="23">
        <f t="shared" si="83"/>
        <v>0.204560508033241</v>
      </c>
    </row>
    <row r="407" spans="1:20" ht="15" customHeight="1" x14ac:dyDescent="0.35">
      <c r="A407" t="str">
        <f>Benchmarking!A407</f>
        <v>Thermo Fisher Scientific Inc</v>
      </c>
      <c r="B407" t="str">
        <f>Benchmarking!B407</f>
        <v>tmo</v>
      </c>
      <c r="C407" t="str">
        <f>Benchmarking!C407</f>
        <v>Life Sciences Tools &amp; Services</v>
      </c>
      <c r="D407" s="17">
        <f>Benchmarking!D407</f>
        <v>527</v>
      </c>
      <c r="E407" s="17">
        <f>Benchmarking!E407</f>
        <v>332</v>
      </c>
      <c r="F407" s="17">
        <f>Benchmarking!F407</f>
        <v>280</v>
      </c>
      <c r="G407" s="17">
        <f>Benchmarking!G407</f>
        <v>1139</v>
      </c>
      <c r="H407" t="str">
        <f t="shared" si="72"/>
        <v>Environmental</v>
      </c>
      <c r="I407" t="str">
        <f t="shared" si="73"/>
        <v>Governance</v>
      </c>
      <c r="J407" s="19">
        <f t="shared" si="74"/>
        <v>195</v>
      </c>
      <c r="K407" s="19">
        <f t="shared" si="75"/>
        <v>52</v>
      </c>
      <c r="L407" s="19">
        <f t="shared" si="76"/>
        <v>247</v>
      </c>
      <c r="M407" s="17">
        <f t="shared" si="77"/>
        <v>247</v>
      </c>
      <c r="N407" s="22">
        <f t="shared" si="78"/>
        <v>0.72853185595567871</v>
      </c>
      <c r="O407" s="22">
        <f t="shared" si="79"/>
        <v>0.36426592797783935</v>
      </c>
      <c r="P407" s="22">
        <f t="shared" si="80"/>
        <v>0.36426592797783935</v>
      </c>
      <c r="Q407" t="str">
        <f t="shared" si="81"/>
        <v/>
      </c>
      <c r="S407">
        <f t="shared" si="82"/>
        <v>247.00095930000001</v>
      </c>
      <c r="T407" s="23">
        <f t="shared" si="83"/>
        <v>0.36522522797783935</v>
      </c>
    </row>
    <row r="408" spans="1:20" ht="15" customHeight="1" x14ac:dyDescent="0.35">
      <c r="A408" t="str">
        <f>Benchmarking!A408</f>
        <v>Trane Technologies PLC</v>
      </c>
      <c r="B408" t="str">
        <f>Benchmarking!B408</f>
        <v>tt</v>
      </c>
      <c r="C408" t="str">
        <f>Benchmarking!C408</f>
        <v>Building</v>
      </c>
      <c r="D408" s="17">
        <f>Benchmarking!D408</f>
        <v>700</v>
      </c>
      <c r="E408" s="17">
        <f>Benchmarking!E408</f>
        <v>389</v>
      </c>
      <c r="F408" s="17">
        <f>Benchmarking!F408</f>
        <v>320</v>
      </c>
      <c r="G408" s="17">
        <f>Benchmarking!G408</f>
        <v>1409</v>
      </c>
      <c r="H408" t="str">
        <f t="shared" si="72"/>
        <v>Environmental</v>
      </c>
      <c r="I408" t="str">
        <f t="shared" si="73"/>
        <v>Governance</v>
      </c>
      <c r="J408" s="19">
        <f t="shared" si="74"/>
        <v>311</v>
      </c>
      <c r="K408" s="19">
        <f t="shared" si="75"/>
        <v>69</v>
      </c>
      <c r="L408" s="19">
        <f t="shared" si="76"/>
        <v>380</v>
      </c>
      <c r="M408" s="17">
        <f t="shared" si="77"/>
        <v>380</v>
      </c>
      <c r="N408" s="22">
        <f t="shared" si="78"/>
        <v>0.98614958448753465</v>
      </c>
      <c r="O408" s="22">
        <f t="shared" si="79"/>
        <v>0.88504155124653738</v>
      </c>
      <c r="P408" s="22">
        <f t="shared" si="80"/>
        <v>0.10110803324099726</v>
      </c>
      <c r="Q408" t="str">
        <f t="shared" si="81"/>
        <v/>
      </c>
      <c r="S408">
        <f t="shared" si="82"/>
        <v>380.00095920000001</v>
      </c>
      <c r="T408" s="23">
        <f t="shared" si="83"/>
        <v>0.10206723324099726</v>
      </c>
    </row>
    <row r="409" spans="1:20" ht="15" customHeight="1" x14ac:dyDescent="0.35">
      <c r="A409" t="str">
        <f>Benchmarking!A409</f>
        <v>Tyson Foods Inc</v>
      </c>
      <c r="B409" t="str">
        <f>Benchmarking!B409</f>
        <v>tsn</v>
      </c>
      <c r="C409" t="str">
        <f>Benchmarking!C409</f>
        <v>Food Products</v>
      </c>
      <c r="D409" s="17">
        <f>Benchmarking!D409</f>
        <v>530</v>
      </c>
      <c r="E409" s="17">
        <f>Benchmarking!E409</f>
        <v>374</v>
      </c>
      <c r="F409" s="17">
        <f>Benchmarking!F409</f>
        <v>340</v>
      </c>
      <c r="G409" s="17">
        <f>Benchmarking!G409</f>
        <v>1244</v>
      </c>
      <c r="H409" t="str">
        <f t="shared" si="72"/>
        <v>Environmental</v>
      </c>
      <c r="I409" t="str">
        <f t="shared" si="73"/>
        <v>Governance</v>
      </c>
      <c r="J409" s="19">
        <f t="shared" si="74"/>
        <v>156</v>
      </c>
      <c r="K409" s="19">
        <f t="shared" si="75"/>
        <v>34</v>
      </c>
      <c r="L409" s="19">
        <f t="shared" si="76"/>
        <v>190</v>
      </c>
      <c r="M409" s="17">
        <f t="shared" si="77"/>
        <v>190</v>
      </c>
      <c r="N409" s="22">
        <f t="shared" si="78"/>
        <v>0.93074792243767313</v>
      </c>
      <c r="O409" s="22">
        <f t="shared" si="79"/>
        <v>0.79501385041551242</v>
      </c>
      <c r="P409" s="22">
        <f t="shared" si="80"/>
        <v>0.1357340720221607</v>
      </c>
      <c r="Q409" t="str">
        <f t="shared" si="81"/>
        <v/>
      </c>
      <c r="S409">
        <f t="shared" si="82"/>
        <v>190.00095909999999</v>
      </c>
      <c r="T409" s="23">
        <f t="shared" si="83"/>
        <v>0.13669317202216069</v>
      </c>
    </row>
    <row r="410" spans="1:20" ht="15" customHeight="1" x14ac:dyDescent="0.35">
      <c r="A410" t="str">
        <f>Benchmarking!A410</f>
        <v>Tyler Technologies Inc</v>
      </c>
      <c r="B410" t="str">
        <f>Benchmarking!B410</f>
        <v>tyl</v>
      </c>
      <c r="C410" t="str">
        <f>Benchmarking!C410</f>
        <v>Technology</v>
      </c>
      <c r="D410" s="17">
        <f>Benchmarking!D410</f>
        <v>400</v>
      </c>
      <c r="E410" s="17">
        <f>Benchmarking!E410</f>
        <v>306</v>
      </c>
      <c r="F410" s="17">
        <f>Benchmarking!F410</f>
        <v>305</v>
      </c>
      <c r="G410" s="17">
        <f>Benchmarking!G410</f>
        <v>1011</v>
      </c>
      <c r="H410" t="str">
        <f t="shared" si="72"/>
        <v>Environmental</v>
      </c>
      <c r="I410" t="str">
        <f t="shared" si="73"/>
        <v>Governance</v>
      </c>
      <c r="J410" s="19">
        <f t="shared" si="74"/>
        <v>94</v>
      </c>
      <c r="K410" s="19">
        <f t="shared" si="75"/>
        <v>1</v>
      </c>
      <c r="L410" s="19">
        <f t="shared" si="76"/>
        <v>95</v>
      </c>
      <c r="M410" s="17">
        <f t="shared" si="77"/>
        <v>95</v>
      </c>
      <c r="N410" s="22">
        <f t="shared" si="78"/>
        <v>0.47783933518005539</v>
      </c>
      <c r="O410" s="22">
        <f t="shared" si="79"/>
        <v>0.45013850415512463</v>
      </c>
      <c r="P410" s="22">
        <f t="shared" si="80"/>
        <v>2.7700831024930761E-2</v>
      </c>
      <c r="Q410" t="str">
        <f t="shared" si="81"/>
        <v/>
      </c>
      <c r="S410">
        <f t="shared" si="82"/>
        <v>95.000958999999995</v>
      </c>
      <c r="T410" s="23">
        <f t="shared" si="83"/>
        <v>2.8659831024930763E-2</v>
      </c>
    </row>
    <row r="411" spans="1:20" ht="15" customHeight="1" x14ac:dyDescent="0.35">
      <c r="A411" t="str">
        <f>Benchmarking!A411</f>
        <v>Textron Inc</v>
      </c>
      <c r="B411" t="str">
        <f>Benchmarking!B411</f>
        <v>txt</v>
      </c>
      <c r="C411" t="str">
        <f>Benchmarking!C411</f>
        <v>Aerospace &amp; Defense</v>
      </c>
      <c r="D411" s="17">
        <f>Benchmarking!D411</f>
        <v>500</v>
      </c>
      <c r="E411" s="17">
        <f>Benchmarking!E411</f>
        <v>300</v>
      </c>
      <c r="F411" s="17">
        <f>Benchmarking!F411</f>
        <v>200</v>
      </c>
      <c r="G411" s="17">
        <f>Benchmarking!G411</f>
        <v>1000</v>
      </c>
      <c r="H411" t="str">
        <f t="shared" si="72"/>
        <v>Environmental</v>
      </c>
      <c r="I411" t="str">
        <f t="shared" si="73"/>
        <v>Governance</v>
      </c>
      <c r="J411" s="19">
        <f t="shared" si="74"/>
        <v>200</v>
      </c>
      <c r="K411" s="19">
        <f t="shared" si="75"/>
        <v>100</v>
      </c>
      <c r="L411" s="19">
        <f t="shared" si="76"/>
        <v>300</v>
      </c>
      <c r="M411" s="17">
        <f t="shared" si="77"/>
        <v>300</v>
      </c>
      <c r="N411" s="22">
        <f t="shared" si="78"/>
        <v>0.45567867036011078</v>
      </c>
      <c r="O411" s="22">
        <f t="shared" si="79"/>
        <v>2.7700831024930748E-3</v>
      </c>
      <c r="P411" s="22">
        <f t="shared" si="80"/>
        <v>0.45290858725761773</v>
      </c>
      <c r="Q411" t="str">
        <f t="shared" si="81"/>
        <v/>
      </c>
      <c r="S411">
        <f t="shared" si="82"/>
        <v>300.0009589</v>
      </c>
      <c r="T411" s="23">
        <f t="shared" si="83"/>
        <v>0.45386748725761772</v>
      </c>
    </row>
    <row r="412" spans="1:20" ht="15" customHeight="1" x14ac:dyDescent="0.35">
      <c r="A412" t="str">
        <f>Benchmarking!A412</f>
        <v>UnitedHealth Group Inc</v>
      </c>
      <c r="B412" t="str">
        <f>Benchmarking!B412</f>
        <v>unh</v>
      </c>
      <c r="C412" t="str">
        <f>Benchmarking!C412</f>
        <v>Health Care</v>
      </c>
      <c r="D412" s="17">
        <f>Benchmarking!D412</f>
        <v>500</v>
      </c>
      <c r="E412" s="17">
        <f>Benchmarking!E412</f>
        <v>300</v>
      </c>
      <c r="F412" s="17">
        <f>Benchmarking!F412</f>
        <v>300</v>
      </c>
      <c r="G412" s="17">
        <f>Benchmarking!G412</f>
        <v>1100</v>
      </c>
      <c r="H412" t="str">
        <f t="shared" si="72"/>
        <v>Environmental</v>
      </c>
      <c r="I412" t="str">
        <f t="shared" si="73"/>
        <v>Social</v>
      </c>
      <c r="J412" s="19">
        <f t="shared" si="74"/>
        <v>200</v>
      </c>
      <c r="K412" s="19">
        <f t="shared" si="75"/>
        <v>0</v>
      </c>
      <c r="L412" s="19">
        <f t="shared" si="76"/>
        <v>200</v>
      </c>
      <c r="M412" s="17">
        <f t="shared" si="77"/>
        <v>200</v>
      </c>
      <c r="N412" s="22">
        <f t="shared" si="78"/>
        <v>0.56925207756232687</v>
      </c>
      <c r="O412" s="22">
        <f t="shared" si="79"/>
        <v>0.36565096952908588</v>
      </c>
      <c r="P412" s="22">
        <f t="shared" si="80"/>
        <v>0.203601108033241</v>
      </c>
      <c r="Q412" t="str">
        <f t="shared" si="81"/>
        <v/>
      </c>
      <c r="S412">
        <f t="shared" si="82"/>
        <v>200.00095880000001</v>
      </c>
      <c r="T412" s="23">
        <f t="shared" si="83"/>
        <v>0.20455990803324101</v>
      </c>
    </row>
    <row r="413" spans="1:20" ht="15" customHeight="1" x14ac:dyDescent="0.35">
      <c r="A413" t="str">
        <f>Benchmarking!A413</f>
        <v>United Parcel Service Inc</v>
      </c>
      <c r="B413" t="str">
        <f>Benchmarking!B413</f>
        <v>ups</v>
      </c>
      <c r="C413" t="str">
        <f>Benchmarking!C413</f>
        <v>Logistics &amp; Transportation</v>
      </c>
      <c r="D413" s="17">
        <f>Benchmarking!D413</f>
        <v>540</v>
      </c>
      <c r="E413" s="17">
        <f>Benchmarking!E413</f>
        <v>374</v>
      </c>
      <c r="F413" s="17">
        <f>Benchmarking!F413</f>
        <v>245</v>
      </c>
      <c r="G413" s="17">
        <f>Benchmarking!G413</f>
        <v>1159</v>
      </c>
      <c r="H413" t="str">
        <f t="shared" si="72"/>
        <v>Environmental</v>
      </c>
      <c r="I413" t="str">
        <f t="shared" si="73"/>
        <v>Governance</v>
      </c>
      <c r="J413" s="19">
        <f t="shared" si="74"/>
        <v>166</v>
      </c>
      <c r="K413" s="19">
        <f t="shared" si="75"/>
        <v>129</v>
      </c>
      <c r="L413" s="19">
        <f t="shared" si="76"/>
        <v>295</v>
      </c>
      <c r="M413" s="17">
        <f t="shared" si="77"/>
        <v>295</v>
      </c>
      <c r="N413" s="22">
        <f t="shared" si="78"/>
        <v>0.7936288088642659</v>
      </c>
      <c r="O413" s="22">
        <f t="shared" si="79"/>
        <v>0.28947368421052633</v>
      </c>
      <c r="P413" s="22">
        <f t="shared" si="80"/>
        <v>0.50415512465373957</v>
      </c>
      <c r="Q413" t="str">
        <f t="shared" si="81"/>
        <v>High ESG / weak pillar (analytical flag - not an ESG rating) - warrants investigation</v>
      </c>
      <c r="S413">
        <f t="shared" si="82"/>
        <v>295.00095870000001</v>
      </c>
      <c r="T413" s="23">
        <f t="shared" si="83"/>
        <v>0.50511382465373955</v>
      </c>
    </row>
    <row r="414" spans="1:20" ht="15" customHeight="1" x14ac:dyDescent="0.35">
      <c r="A414" t="str">
        <f>Benchmarking!A414</f>
        <v>UDR Inc</v>
      </c>
      <c r="B414" t="str">
        <f>Benchmarking!B414</f>
        <v>udr</v>
      </c>
      <c r="C414" t="str">
        <f>Benchmarking!C414</f>
        <v>Real Estate</v>
      </c>
      <c r="D414" s="17">
        <f>Benchmarking!D414</f>
        <v>225</v>
      </c>
      <c r="E414" s="17">
        <f>Benchmarking!E414</f>
        <v>301</v>
      </c>
      <c r="F414" s="17">
        <f>Benchmarking!F414</f>
        <v>215</v>
      </c>
      <c r="G414" s="17">
        <f>Benchmarking!G414</f>
        <v>741</v>
      </c>
      <c r="H414" t="str">
        <f t="shared" si="72"/>
        <v>Social</v>
      </c>
      <c r="I414" t="str">
        <f t="shared" si="73"/>
        <v>Governance</v>
      </c>
      <c r="J414" s="19">
        <f t="shared" si="74"/>
        <v>-76</v>
      </c>
      <c r="K414" s="19">
        <f t="shared" si="75"/>
        <v>86</v>
      </c>
      <c r="L414" s="19">
        <f t="shared" si="76"/>
        <v>10</v>
      </c>
      <c r="M414" s="17">
        <f t="shared" si="77"/>
        <v>86</v>
      </c>
      <c r="N414" s="22">
        <f t="shared" si="78"/>
        <v>0.21052631578947367</v>
      </c>
      <c r="O414" s="22">
        <f t="shared" si="79"/>
        <v>0.15373961218836565</v>
      </c>
      <c r="P414" s="22">
        <f t="shared" si="80"/>
        <v>5.6786703601108018E-2</v>
      </c>
      <c r="Q414" t="str">
        <f t="shared" si="81"/>
        <v/>
      </c>
      <c r="S414">
        <f t="shared" si="82"/>
        <v>86.000958600000004</v>
      </c>
      <c r="T414" s="23">
        <f t="shared" si="83"/>
        <v>5.7745303601108015E-2</v>
      </c>
    </row>
    <row r="415" spans="1:20" ht="15" customHeight="1" x14ac:dyDescent="0.35">
      <c r="A415" t="str">
        <f>Benchmarking!A415</f>
        <v>Universal Health Services Inc</v>
      </c>
      <c r="B415" t="str">
        <f>Benchmarking!B415</f>
        <v>uhs</v>
      </c>
      <c r="C415" t="str">
        <f>Benchmarking!C415</f>
        <v>Health Care</v>
      </c>
      <c r="D415" s="17">
        <f>Benchmarking!D415</f>
        <v>560</v>
      </c>
      <c r="E415" s="17">
        <f>Benchmarking!E415</f>
        <v>320</v>
      </c>
      <c r="F415" s="17">
        <f>Benchmarking!F415</f>
        <v>338</v>
      </c>
      <c r="G415" s="17">
        <f>Benchmarking!G415</f>
        <v>1218</v>
      </c>
      <c r="H415" t="str">
        <f t="shared" si="72"/>
        <v>Environmental</v>
      </c>
      <c r="I415" t="str">
        <f t="shared" si="73"/>
        <v>Social</v>
      </c>
      <c r="J415" s="19">
        <f t="shared" si="74"/>
        <v>240</v>
      </c>
      <c r="K415" s="19">
        <f t="shared" si="75"/>
        <v>-18</v>
      </c>
      <c r="L415" s="19">
        <f t="shared" si="76"/>
        <v>222</v>
      </c>
      <c r="M415" s="17">
        <f t="shared" si="77"/>
        <v>240</v>
      </c>
      <c r="N415" s="22">
        <f t="shared" si="78"/>
        <v>0.90720221606648199</v>
      </c>
      <c r="O415" s="22">
        <f t="shared" si="79"/>
        <v>0.71329639889196672</v>
      </c>
      <c r="P415" s="22">
        <f t="shared" si="80"/>
        <v>0.19390581717451527</v>
      </c>
      <c r="Q415" t="str">
        <f t="shared" si="81"/>
        <v/>
      </c>
      <c r="S415">
        <f t="shared" si="82"/>
        <v>240.0009585</v>
      </c>
      <c r="T415" s="23">
        <f t="shared" si="83"/>
        <v>0.19486431717451527</v>
      </c>
    </row>
    <row r="416" spans="1:20" ht="15" customHeight="1" x14ac:dyDescent="0.35">
      <c r="A416" t="str">
        <f>Benchmarking!A416</f>
        <v>Mosaic Co</v>
      </c>
      <c r="B416" t="str">
        <f>Benchmarking!B416</f>
        <v>mos</v>
      </c>
      <c r="C416" t="str">
        <f>Benchmarking!C416</f>
        <v>Chemicals</v>
      </c>
      <c r="D416" s="17">
        <f>Benchmarking!D416</f>
        <v>515</v>
      </c>
      <c r="E416" s="17">
        <f>Benchmarking!E416</f>
        <v>379</v>
      </c>
      <c r="F416" s="17">
        <f>Benchmarking!F416</f>
        <v>315</v>
      </c>
      <c r="G416" s="17">
        <f>Benchmarking!G416</f>
        <v>1209</v>
      </c>
      <c r="H416" t="str">
        <f t="shared" si="72"/>
        <v>Environmental</v>
      </c>
      <c r="I416" t="str">
        <f t="shared" si="73"/>
        <v>Governance</v>
      </c>
      <c r="J416" s="19">
        <f t="shared" si="74"/>
        <v>136</v>
      </c>
      <c r="K416" s="19">
        <f t="shared" si="75"/>
        <v>64</v>
      </c>
      <c r="L416" s="19">
        <f t="shared" si="76"/>
        <v>200</v>
      </c>
      <c r="M416" s="17">
        <f t="shared" si="77"/>
        <v>200</v>
      </c>
      <c r="N416" s="22">
        <f t="shared" si="78"/>
        <v>0.9016620498614959</v>
      </c>
      <c r="O416" s="22">
        <f t="shared" si="79"/>
        <v>0.70914127423822715</v>
      </c>
      <c r="P416" s="22">
        <f t="shared" si="80"/>
        <v>0.19252077562326875</v>
      </c>
      <c r="Q416" t="str">
        <f t="shared" si="81"/>
        <v/>
      </c>
      <c r="S416">
        <f t="shared" si="82"/>
        <v>200.0009584</v>
      </c>
      <c r="T416" s="23">
        <f t="shared" si="83"/>
        <v>0.19347917562326875</v>
      </c>
    </row>
    <row r="417" spans="1:20" ht="15" customHeight="1" x14ac:dyDescent="0.35">
      <c r="A417" t="str">
        <f>Benchmarking!A417</f>
        <v>US Bancorp</v>
      </c>
      <c r="B417" t="str">
        <f>Benchmarking!B417</f>
        <v>usb</v>
      </c>
      <c r="C417" t="str">
        <f>Benchmarking!C417</f>
        <v>Banking</v>
      </c>
      <c r="D417" s="17">
        <f>Benchmarking!D417</f>
        <v>336</v>
      </c>
      <c r="E417" s="17">
        <f>Benchmarking!E417</f>
        <v>317</v>
      </c>
      <c r="F417" s="17">
        <f>Benchmarking!F417</f>
        <v>300</v>
      </c>
      <c r="G417" s="17">
        <f>Benchmarking!G417</f>
        <v>953</v>
      </c>
      <c r="H417" t="str">
        <f t="shared" si="72"/>
        <v>Environmental</v>
      </c>
      <c r="I417" t="str">
        <f t="shared" si="73"/>
        <v>Governance</v>
      </c>
      <c r="J417" s="19">
        <f t="shared" si="74"/>
        <v>19</v>
      </c>
      <c r="K417" s="19">
        <f t="shared" si="75"/>
        <v>17</v>
      </c>
      <c r="L417" s="19">
        <f t="shared" si="76"/>
        <v>36</v>
      </c>
      <c r="M417" s="17">
        <f t="shared" si="77"/>
        <v>36</v>
      </c>
      <c r="N417" s="22">
        <f t="shared" si="78"/>
        <v>0.42382271468144045</v>
      </c>
      <c r="O417" s="22">
        <f t="shared" si="79"/>
        <v>0.39335180055401664</v>
      </c>
      <c r="P417" s="22">
        <f t="shared" si="80"/>
        <v>3.0470914127423809E-2</v>
      </c>
      <c r="Q417" t="str">
        <f t="shared" si="81"/>
        <v/>
      </c>
      <c r="S417">
        <f t="shared" si="82"/>
        <v>36.000958300000001</v>
      </c>
      <c r="T417" s="23">
        <f t="shared" si="83"/>
        <v>3.1429214127423812E-2</v>
      </c>
    </row>
    <row r="418" spans="1:20" ht="15" customHeight="1" x14ac:dyDescent="0.35">
      <c r="A418" t="str">
        <f>Benchmarking!A418</f>
        <v>United Rentals Inc</v>
      </c>
      <c r="B418" t="str">
        <f>Benchmarking!B418</f>
        <v>uri</v>
      </c>
      <c r="C418" t="str">
        <f>Benchmarking!C418</f>
        <v>Trading Companies &amp; Distributors</v>
      </c>
      <c r="D418" s="17">
        <f>Benchmarking!D418</f>
        <v>472</v>
      </c>
      <c r="E418" s="17">
        <f>Benchmarking!E418</f>
        <v>318</v>
      </c>
      <c r="F418" s="17">
        <f>Benchmarking!F418</f>
        <v>300</v>
      </c>
      <c r="G418" s="17">
        <f>Benchmarking!G418</f>
        <v>1090</v>
      </c>
      <c r="H418" t="str">
        <f t="shared" si="72"/>
        <v>Environmental</v>
      </c>
      <c r="I418" t="str">
        <f t="shared" si="73"/>
        <v>Governance</v>
      </c>
      <c r="J418" s="19">
        <f t="shared" si="74"/>
        <v>154</v>
      </c>
      <c r="K418" s="19">
        <f t="shared" si="75"/>
        <v>18</v>
      </c>
      <c r="L418" s="19">
        <f t="shared" si="76"/>
        <v>172</v>
      </c>
      <c r="M418" s="17">
        <f t="shared" si="77"/>
        <v>172</v>
      </c>
      <c r="N418" s="22">
        <f t="shared" si="78"/>
        <v>0.55678670360110805</v>
      </c>
      <c r="O418" s="22">
        <f t="shared" si="79"/>
        <v>0.39335180055401664</v>
      </c>
      <c r="P418" s="22">
        <f t="shared" si="80"/>
        <v>0.16343490304709141</v>
      </c>
      <c r="Q418" t="str">
        <f t="shared" si="81"/>
        <v/>
      </c>
      <c r="S418">
        <f t="shared" si="82"/>
        <v>172.00095820000001</v>
      </c>
      <c r="T418" s="23">
        <f t="shared" si="83"/>
        <v>0.1643931030470914</v>
      </c>
    </row>
    <row r="419" spans="1:20" ht="15" customHeight="1" x14ac:dyDescent="0.35">
      <c r="A419" t="str">
        <f>Benchmarking!A419</f>
        <v>Vornado Realty Trust</v>
      </c>
      <c r="B419" t="str">
        <f>Benchmarking!B419</f>
        <v>vno</v>
      </c>
      <c r="C419" t="str">
        <f>Benchmarking!C419</f>
        <v>Real Estate</v>
      </c>
      <c r="D419" s="17">
        <f>Benchmarking!D419</f>
        <v>540</v>
      </c>
      <c r="E419" s="17">
        <f>Benchmarking!E419</f>
        <v>326</v>
      </c>
      <c r="F419" s="17">
        <f>Benchmarking!F419</f>
        <v>325</v>
      </c>
      <c r="G419" s="17">
        <f>Benchmarking!G419</f>
        <v>1191</v>
      </c>
      <c r="H419" t="str">
        <f t="shared" si="72"/>
        <v>Environmental</v>
      </c>
      <c r="I419" t="str">
        <f t="shared" si="73"/>
        <v>Governance</v>
      </c>
      <c r="J419" s="19">
        <f t="shared" si="74"/>
        <v>214</v>
      </c>
      <c r="K419" s="19">
        <f t="shared" si="75"/>
        <v>1</v>
      </c>
      <c r="L419" s="19">
        <f t="shared" si="76"/>
        <v>215</v>
      </c>
      <c r="M419" s="17">
        <f t="shared" si="77"/>
        <v>215</v>
      </c>
      <c r="N419" s="22">
        <f t="shared" si="78"/>
        <v>0.87396121883656508</v>
      </c>
      <c r="O419" s="22">
        <f t="shared" si="79"/>
        <v>0.78116343490304707</v>
      </c>
      <c r="P419" s="22">
        <f t="shared" si="80"/>
        <v>9.2797783933518008E-2</v>
      </c>
      <c r="Q419" t="str">
        <f t="shared" si="81"/>
        <v/>
      </c>
      <c r="S419">
        <f t="shared" si="82"/>
        <v>215.00095809999999</v>
      </c>
      <c r="T419" s="23">
        <f t="shared" si="83"/>
        <v>9.3755883933518011E-2</v>
      </c>
    </row>
    <row r="420" spans="1:20" ht="15" customHeight="1" x14ac:dyDescent="0.35">
      <c r="A420" t="str">
        <f>Benchmarking!A420</f>
        <v>Valero Energy Corp</v>
      </c>
      <c r="B420" t="str">
        <f>Benchmarking!B420</f>
        <v>vlo</v>
      </c>
      <c r="C420" t="str">
        <f>Benchmarking!C420</f>
        <v>Energy</v>
      </c>
      <c r="D420" s="17">
        <f>Benchmarking!D420</f>
        <v>608</v>
      </c>
      <c r="E420" s="17">
        <f>Benchmarking!E420</f>
        <v>307</v>
      </c>
      <c r="F420" s="17">
        <f>Benchmarking!F420</f>
        <v>330</v>
      </c>
      <c r="G420" s="17">
        <f>Benchmarking!G420</f>
        <v>1245</v>
      </c>
      <c r="H420" t="str">
        <f t="shared" si="72"/>
        <v>Environmental</v>
      </c>
      <c r="I420" t="str">
        <f t="shared" si="73"/>
        <v>Social</v>
      </c>
      <c r="J420" s="19">
        <f t="shared" si="74"/>
        <v>301</v>
      </c>
      <c r="K420" s="19">
        <f t="shared" si="75"/>
        <v>-23</v>
      </c>
      <c r="L420" s="19">
        <f t="shared" si="76"/>
        <v>278</v>
      </c>
      <c r="M420" s="17">
        <f t="shared" si="77"/>
        <v>301</v>
      </c>
      <c r="N420" s="22">
        <f t="shared" si="78"/>
        <v>0.93213296398891965</v>
      </c>
      <c r="O420" s="22">
        <f t="shared" si="79"/>
        <v>0.5983379501385041</v>
      </c>
      <c r="P420" s="22">
        <f t="shared" si="80"/>
        <v>0.33379501385041555</v>
      </c>
      <c r="Q420" t="str">
        <f t="shared" si="81"/>
        <v/>
      </c>
      <c r="S420">
        <f t="shared" si="82"/>
        <v>301.00095800000003</v>
      </c>
      <c r="T420" s="23">
        <f t="shared" si="83"/>
        <v>0.33475301385041556</v>
      </c>
    </row>
    <row r="421" spans="1:20" ht="15" customHeight="1" x14ac:dyDescent="0.35">
      <c r="A421" t="str">
        <f>Benchmarking!A421</f>
        <v>VF Corp</v>
      </c>
      <c r="B421" t="str">
        <f>Benchmarking!B421</f>
        <v>vfc</v>
      </c>
      <c r="C421" t="str">
        <f>Benchmarking!C421</f>
        <v>Textiles Apparel &amp; Luxury Goods</v>
      </c>
      <c r="D421" s="17">
        <f>Benchmarking!D421</f>
        <v>505</v>
      </c>
      <c r="E421" s="17">
        <f>Benchmarking!E421</f>
        <v>301</v>
      </c>
      <c r="F421" s="17">
        <f>Benchmarking!F421</f>
        <v>300</v>
      </c>
      <c r="G421" s="17">
        <f>Benchmarking!G421</f>
        <v>1106</v>
      </c>
      <c r="H421" t="str">
        <f t="shared" si="72"/>
        <v>Environmental</v>
      </c>
      <c r="I421" t="str">
        <f t="shared" si="73"/>
        <v>Governance</v>
      </c>
      <c r="J421" s="19">
        <f t="shared" si="74"/>
        <v>204</v>
      </c>
      <c r="K421" s="19">
        <f t="shared" si="75"/>
        <v>1</v>
      </c>
      <c r="L421" s="19">
        <f t="shared" si="76"/>
        <v>205</v>
      </c>
      <c r="M421" s="17">
        <f t="shared" si="77"/>
        <v>205</v>
      </c>
      <c r="N421" s="22">
        <f t="shared" si="78"/>
        <v>0.6246537396121884</v>
      </c>
      <c r="O421" s="22">
        <f t="shared" si="79"/>
        <v>0.39335180055401664</v>
      </c>
      <c r="P421" s="22">
        <f t="shared" si="80"/>
        <v>0.23130193905817176</v>
      </c>
      <c r="Q421" t="str">
        <f t="shared" si="81"/>
        <v/>
      </c>
      <c r="S421">
        <f t="shared" si="82"/>
        <v>205.0009579</v>
      </c>
      <c r="T421" s="23">
        <f t="shared" si="83"/>
        <v>0.23225983905817177</v>
      </c>
    </row>
    <row r="422" spans="1:20" ht="15" customHeight="1" x14ac:dyDescent="0.35">
      <c r="A422" t="str">
        <f>Benchmarking!A422</f>
        <v>Visa Inc</v>
      </c>
      <c r="B422" t="str">
        <f>Benchmarking!B422</f>
        <v>v</v>
      </c>
      <c r="C422" t="str">
        <f>Benchmarking!C422</f>
        <v>Technology</v>
      </c>
      <c r="D422" s="17">
        <f>Benchmarking!D422</f>
        <v>504</v>
      </c>
      <c r="E422" s="17">
        <f>Benchmarking!E422</f>
        <v>368</v>
      </c>
      <c r="F422" s="17">
        <f>Benchmarking!F422</f>
        <v>310</v>
      </c>
      <c r="G422" s="17">
        <f>Benchmarking!G422</f>
        <v>1182</v>
      </c>
      <c r="H422" t="str">
        <f t="shared" si="72"/>
        <v>Environmental</v>
      </c>
      <c r="I422" t="str">
        <f t="shared" si="73"/>
        <v>Governance</v>
      </c>
      <c r="J422" s="19">
        <f t="shared" si="74"/>
        <v>136</v>
      </c>
      <c r="K422" s="19">
        <f t="shared" si="75"/>
        <v>58</v>
      </c>
      <c r="L422" s="19">
        <f t="shared" si="76"/>
        <v>194</v>
      </c>
      <c r="M422" s="17">
        <f t="shared" si="77"/>
        <v>194</v>
      </c>
      <c r="N422" s="22">
        <f t="shared" si="78"/>
        <v>0.85734072022160668</v>
      </c>
      <c r="O422" s="22">
        <f t="shared" si="79"/>
        <v>0.62188365650969524</v>
      </c>
      <c r="P422" s="22">
        <f t="shared" si="80"/>
        <v>0.23545706371191144</v>
      </c>
      <c r="Q422" t="str">
        <f t="shared" si="81"/>
        <v/>
      </c>
      <c r="S422">
        <f t="shared" si="82"/>
        <v>194.00095780000001</v>
      </c>
      <c r="T422" s="23">
        <f t="shared" si="83"/>
        <v>0.23641486371191145</v>
      </c>
    </row>
    <row r="423" spans="1:20" ht="15" customHeight="1" x14ac:dyDescent="0.35">
      <c r="A423" t="str">
        <f>Benchmarking!A423</f>
        <v>Ventas Inc</v>
      </c>
      <c r="B423" t="str">
        <f>Benchmarking!B423</f>
        <v>vtr</v>
      </c>
      <c r="C423" t="str">
        <f>Benchmarking!C423</f>
        <v>Real Estate</v>
      </c>
      <c r="D423" s="17">
        <f>Benchmarking!D423</f>
        <v>500</v>
      </c>
      <c r="E423" s="17">
        <f>Benchmarking!E423</f>
        <v>300</v>
      </c>
      <c r="F423" s="17">
        <f>Benchmarking!F423</f>
        <v>300</v>
      </c>
      <c r="G423" s="17">
        <f>Benchmarking!G423</f>
        <v>1100</v>
      </c>
      <c r="H423" t="str">
        <f t="shared" si="72"/>
        <v>Environmental</v>
      </c>
      <c r="I423" t="str">
        <f t="shared" si="73"/>
        <v>Social</v>
      </c>
      <c r="J423" s="19">
        <f t="shared" si="74"/>
        <v>200</v>
      </c>
      <c r="K423" s="19">
        <f t="shared" si="75"/>
        <v>0</v>
      </c>
      <c r="L423" s="19">
        <f t="shared" si="76"/>
        <v>200</v>
      </c>
      <c r="M423" s="17">
        <f t="shared" si="77"/>
        <v>200</v>
      </c>
      <c r="N423" s="22">
        <f t="shared" si="78"/>
        <v>0.56925207756232687</v>
      </c>
      <c r="O423" s="22">
        <f t="shared" si="79"/>
        <v>0.36565096952908588</v>
      </c>
      <c r="P423" s="22">
        <f t="shared" si="80"/>
        <v>0.203601108033241</v>
      </c>
      <c r="Q423" t="str">
        <f t="shared" si="81"/>
        <v/>
      </c>
      <c r="S423">
        <f t="shared" si="82"/>
        <v>200.00095769999999</v>
      </c>
      <c r="T423" s="23">
        <f t="shared" si="83"/>
        <v>0.204558808033241</v>
      </c>
    </row>
    <row r="424" spans="1:20" ht="15" customHeight="1" x14ac:dyDescent="0.35">
      <c r="A424" t="str">
        <f>Benchmarking!A424</f>
        <v>Vulcan Materials Co</v>
      </c>
      <c r="B424" t="str">
        <f>Benchmarking!B424</f>
        <v>vmc</v>
      </c>
      <c r="C424" t="str">
        <f>Benchmarking!C424</f>
        <v>Construction</v>
      </c>
      <c r="D424" s="17">
        <f>Benchmarking!D424</f>
        <v>570</v>
      </c>
      <c r="E424" s="17">
        <f>Benchmarking!E424</f>
        <v>319</v>
      </c>
      <c r="F424" s="17">
        <f>Benchmarking!F424</f>
        <v>300</v>
      </c>
      <c r="G424" s="17">
        <f>Benchmarking!G424</f>
        <v>1189</v>
      </c>
      <c r="H424" t="str">
        <f t="shared" si="72"/>
        <v>Environmental</v>
      </c>
      <c r="I424" t="str">
        <f t="shared" si="73"/>
        <v>Governance</v>
      </c>
      <c r="J424" s="19">
        <f t="shared" si="74"/>
        <v>251</v>
      </c>
      <c r="K424" s="19">
        <f t="shared" si="75"/>
        <v>19</v>
      </c>
      <c r="L424" s="19">
        <f t="shared" si="76"/>
        <v>270</v>
      </c>
      <c r="M424" s="17">
        <f t="shared" si="77"/>
        <v>270</v>
      </c>
      <c r="N424" s="22">
        <f t="shared" si="78"/>
        <v>0.87119113573407203</v>
      </c>
      <c r="O424" s="22">
        <f t="shared" si="79"/>
        <v>0.39335180055401664</v>
      </c>
      <c r="P424" s="22">
        <f t="shared" si="80"/>
        <v>0.47783933518005539</v>
      </c>
      <c r="Q424" t="str">
        <f t="shared" si="81"/>
        <v>High ESG / weak pillar (analytical flag - not an ESG rating) - warrants investigation</v>
      </c>
      <c r="S424">
        <f t="shared" si="82"/>
        <v>270.00095759999999</v>
      </c>
      <c r="T424" s="23">
        <f t="shared" si="83"/>
        <v>0.47879693518005539</v>
      </c>
    </row>
    <row r="425" spans="1:20" ht="15" customHeight="1" x14ac:dyDescent="0.35">
      <c r="A425" t="str">
        <f>Benchmarking!A425</f>
        <v>WEC Energy Group Inc</v>
      </c>
      <c r="B425" t="str">
        <f>Benchmarking!B425</f>
        <v>wec</v>
      </c>
      <c r="C425" t="str">
        <f>Benchmarking!C425</f>
        <v>Utilities</v>
      </c>
      <c r="D425" s="17">
        <f>Benchmarking!D425</f>
        <v>635</v>
      </c>
      <c r="E425" s="17">
        <f>Benchmarking!E425</f>
        <v>438</v>
      </c>
      <c r="F425" s="17">
        <f>Benchmarking!F425</f>
        <v>300</v>
      </c>
      <c r="G425" s="17">
        <f>Benchmarking!G425</f>
        <v>1373</v>
      </c>
      <c r="H425" t="str">
        <f t="shared" si="72"/>
        <v>Environmental</v>
      </c>
      <c r="I425" t="str">
        <f t="shared" si="73"/>
        <v>Governance</v>
      </c>
      <c r="J425" s="19">
        <f t="shared" si="74"/>
        <v>197</v>
      </c>
      <c r="K425" s="19">
        <f t="shared" si="75"/>
        <v>138</v>
      </c>
      <c r="L425" s="19">
        <f t="shared" si="76"/>
        <v>335</v>
      </c>
      <c r="M425" s="17">
        <f t="shared" si="77"/>
        <v>335</v>
      </c>
      <c r="N425" s="22">
        <f t="shared" si="78"/>
        <v>0.98060941828254844</v>
      </c>
      <c r="O425" s="22">
        <f t="shared" si="79"/>
        <v>0.39335180055401664</v>
      </c>
      <c r="P425" s="22">
        <f t="shared" si="80"/>
        <v>0.5872576177285318</v>
      </c>
      <c r="Q425" t="str">
        <f t="shared" si="81"/>
        <v>High ESG / weak pillar (analytical flag - not an ESG rating) - warrants investigation</v>
      </c>
      <c r="S425">
        <f t="shared" si="82"/>
        <v>335.00095750000003</v>
      </c>
      <c r="T425" s="23">
        <f t="shared" si="83"/>
        <v>0.58821511772853174</v>
      </c>
    </row>
    <row r="426" spans="1:20" ht="15" customHeight="1" x14ac:dyDescent="0.35">
      <c r="A426" t="str">
        <f>Benchmarking!A426</f>
        <v>Welltower OP LLC</v>
      </c>
      <c r="B426" t="str">
        <f>Benchmarking!B426</f>
        <v>well</v>
      </c>
      <c r="C426" t="str">
        <f>Benchmarking!C426</f>
        <v>Real Estate</v>
      </c>
      <c r="D426" s="17">
        <f>Benchmarking!D426</f>
        <v>437</v>
      </c>
      <c r="E426" s="17">
        <f>Benchmarking!E426</f>
        <v>326</v>
      </c>
      <c r="F426" s="17">
        <f>Benchmarking!F426</f>
        <v>300</v>
      </c>
      <c r="G426" s="17">
        <f>Benchmarking!G426</f>
        <v>1063</v>
      </c>
      <c r="H426" t="str">
        <f t="shared" si="72"/>
        <v>Environmental</v>
      </c>
      <c r="I426" t="str">
        <f t="shared" si="73"/>
        <v>Governance</v>
      </c>
      <c r="J426" s="19">
        <f t="shared" si="74"/>
        <v>111</v>
      </c>
      <c r="K426" s="19">
        <f t="shared" si="75"/>
        <v>26</v>
      </c>
      <c r="L426" s="19">
        <f t="shared" si="76"/>
        <v>137</v>
      </c>
      <c r="M426" s="17">
        <f t="shared" si="77"/>
        <v>137</v>
      </c>
      <c r="N426" s="22">
        <f t="shared" si="78"/>
        <v>0.51939058171745156</v>
      </c>
      <c r="O426" s="22">
        <f t="shared" si="79"/>
        <v>0.39335180055401664</v>
      </c>
      <c r="P426" s="22">
        <f t="shared" si="80"/>
        <v>0.12603878116343492</v>
      </c>
      <c r="Q426" t="str">
        <f t="shared" si="81"/>
        <v/>
      </c>
      <c r="S426">
        <f t="shared" si="82"/>
        <v>137.0009574</v>
      </c>
      <c r="T426" s="23">
        <f t="shared" si="83"/>
        <v>0.12699618116343492</v>
      </c>
    </row>
    <row r="427" spans="1:20" ht="15" customHeight="1" x14ac:dyDescent="0.35">
      <c r="A427" t="str">
        <f>Benchmarking!A427</f>
        <v>Waters Corp</v>
      </c>
      <c r="B427" t="str">
        <f>Benchmarking!B427</f>
        <v>wat</v>
      </c>
      <c r="C427" t="str">
        <f>Benchmarking!C427</f>
        <v>Life Sciences Tools &amp; Services</v>
      </c>
      <c r="D427" s="17">
        <f>Benchmarking!D427</f>
        <v>270</v>
      </c>
      <c r="E427" s="17">
        <f>Benchmarking!E427</f>
        <v>292</v>
      </c>
      <c r="F427" s="17">
        <f>Benchmarking!F427</f>
        <v>235</v>
      </c>
      <c r="G427" s="17">
        <f>Benchmarking!G427</f>
        <v>797</v>
      </c>
      <c r="H427" t="str">
        <f t="shared" si="72"/>
        <v>Social</v>
      </c>
      <c r="I427" t="str">
        <f t="shared" si="73"/>
        <v>Governance</v>
      </c>
      <c r="J427" s="19">
        <f t="shared" si="74"/>
        <v>-22</v>
      </c>
      <c r="K427" s="19">
        <f t="shared" si="75"/>
        <v>57</v>
      </c>
      <c r="L427" s="19">
        <f t="shared" si="76"/>
        <v>35</v>
      </c>
      <c r="M427" s="17">
        <f t="shared" si="77"/>
        <v>57</v>
      </c>
      <c r="N427" s="22">
        <f t="shared" si="78"/>
        <v>0.2853185595567867</v>
      </c>
      <c r="O427" s="22">
        <f t="shared" si="79"/>
        <v>0.24653739612188366</v>
      </c>
      <c r="P427" s="22">
        <f t="shared" si="80"/>
        <v>3.8781163434903038E-2</v>
      </c>
      <c r="Q427" t="str">
        <f t="shared" si="81"/>
        <v/>
      </c>
      <c r="S427">
        <f t="shared" si="82"/>
        <v>57.000957300000003</v>
      </c>
      <c r="T427" s="23">
        <f t="shared" si="83"/>
        <v>3.9738463434903039E-2</v>
      </c>
    </row>
    <row r="428" spans="1:20" ht="15" customHeight="1" x14ac:dyDescent="0.35">
      <c r="A428" t="str">
        <f>Benchmarking!A428</f>
        <v>Waste Management Inc</v>
      </c>
      <c r="B428" t="str">
        <f>Benchmarking!B428</f>
        <v>wm</v>
      </c>
      <c r="C428" t="str">
        <f>Benchmarking!C428</f>
        <v>Commercial Services &amp; Supplies</v>
      </c>
      <c r="D428" s="17">
        <f>Benchmarking!D428</f>
        <v>613</v>
      </c>
      <c r="E428" s="17">
        <f>Benchmarking!E428</f>
        <v>408</v>
      </c>
      <c r="F428" s="17">
        <f>Benchmarking!F428</f>
        <v>285</v>
      </c>
      <c r="G428" s="17">
        <f>Benchmarking!G428</f>
        <v>1306</v>
      </c>
      <c r="H428" t="str">
        <f t="shared" si="72"/>
        <v>Environmental</v>
      </c>
      <c r="I428" t="str">
        <f t="shared" si="73"/>
        <v>Governance</v>
      </c>
      <c r="J428" s="19">
        <f t="shared" si="74"/>
        <v>205</v>
      </c>
      <c r="K428" s="19">
        <f t="shared" si="75"/>
        <v>123</v>
      </c>
      <c r="L428" s="19">
        <f t="shared" si="76"/>
        <v>328</v>
      </c>
      <c r="M428" s="17">
        <f t="shared" si="77"/>
        <v>328</v>
      </c>
      <c r="N428" s="22">
        <f t="shared" si="78"/>
        <v>0.96952908587257614</v>
      </c>
      <c r="O428" s="22">
        <f t="shared" si="79"/>
        <v>0.3670360110803324</v>
      </c>
      <c r="P428" s="22">
        <f t="shared" si="80"/>
        <v>0.60249307479224368</v>
      </c>
      <c r="Q428" t="str">
        <f t="shared" si="81"/>
        <v>High ESG / weak pillar (analytical flag - not an ESG rating) - warrants investigation</v>
      </c>
      <c r="S428">
        <f t="shared" si="82"/>
        <v>328.00095720000002</v>
      </c>
      <c r="T428" s="23">
        <f t="shared" si="83"/>
        <v>0.60345027479224367</v>
      </c>
    </row>
    <row r="429" spans="1:20" ht="15" customHeight="1" x14ac:dyDescent="0.35">
      <c r="A429" t="str">
        <f>Benchmarking!A429</f>
        <v>Westinghouse Air Brake Technologies Corp</v>
      </c>
      <c r="B429" t="str">
        <f>Benchmarking!B429</f>
        <v>wab</v>
      </c>
      <c r="C429" t="str">
        <f>Benchmarking!C429</f>
        <v>Machinery</v>
      </c>
      <c r="D429" s="17">
        <f>Benchmarking!D429</f>
        <v>607</v>
      </c>
      <c r="E429" s="17">
        <f>Benchmarking!E429</f>
        <v>311</v>
      </c>
      <c r="F429" s="17">
        <f>Benchmarking!F429</f>
        <v>320</v>
      </c>
      <c r="G429" s="17">
        <f>Benchmarking!G429</f>
        <v>1238</v>
      </c>
      <c r="H429" t="str">
        <f t="shared" si="72"/>
        <v>Environmental</v>
      </c>
      <c r="I429" t="str">
        <f t="shared" si="73"/>
        <v>Social</v>
      </c>
      <c r="J429" s="19">
        <f t="shared" si="74"/>
        <v>296</v>
      </c>
      <c r="K429" s="19">
        <f t="shared" si="75"/>
        <v>-9</v>
      </c>
      <c r="L429" s="19">
        <f t="shared" si="76"/>
        <v>287</v>
      </c>
      <c r="M429" s="17">
        <f t="shared" si="77"/>
        <v>296</v>
      </c>
      <c r="N429" s="22">
        <f t="shared" si="78"/>
        <v>0.92105263157894735</v>
      </c>
      <c r="O429" s="22">
        <f t="shared" si="79"/>
        <v>0.64404432132963985</v>
      </c>
      <c r="P429" s="22">
        <f t="shared" si="80"/>
        <v>0.2770083102493075</v>
      </c>
      <c r="Q429" t="str">
        <f t="shared" si="81"/>
        <v/>
      </c>
      <c r="S429">
        <f t="shared" si="82"/>
        <v>296.00095709999999</v>
      </c>
      <c r="T429" s="23">
        <f t="shared" si="83"/>
        <v>0.27796541024930749</v>
      </c>
    </row>
    <row r="430" spans="1:20" ht="15" customHeight="1" x14ac:dyDescent="0.35">
      <c r="A430" t="str">
        <f>Benchmarking!A430</f>
        <v>Williams Companies Inc</v>
      </c>
      <c r="B430" t="str">
        <f>Benchmarking!B430</f>
        <v>wmb</v>
      </c>
      <c r="C430" t="str">
        <f>Benchmarking!C430</f>
        <v>Energy</v>
      </c>
      <c r="D430" s="17">
        <f>Benchmarking!D430</f>
        <v>500</v>
      </c>
      <c r="E430" s="17">
        <f>Benchmarking!E430</f>
        <v>300</v>
      </c>
      <c r="F430" s="17">
        <f>Benchmarking!F430</f>
        <v>300</v>
      </c>
      <c r="G430" s="17">
        <f>Benchmarking!G430</f>
        <v>1100</v>
      </c>
      <c r="H430" t="str">
        <f t="shared" si="72"/>
        <v>Environmental</v>
      </c>
      <c r="I430" t="str">
        <f t="shared" si="73"/>
        <v>Social</v>
      </c>
      <c r="J430" s="19">
        <f t="shared" si="74"/>
        <v>200</v>
      </c>
      <c r="K430" s="19">
        <f t="shared" si="75"/>
        <v>0</v>
      </c>
      <c r="L430" s="19">
        <f t="shared" si="76"/>
        <v>200</v>
      </c>
      <c r="M430" s="17">
        <f t="shared" si="77"/>
        <v>200</v>
      </c>
      <c r="N430" s="22">
        <f t="shared" si="78"/>
        <v>0.56925207756232687</v>
      </c>
      <c r="O430" s="22">
        <f t="shared" si="79"/>
        <v>0.36565096952908588</v>
      </c>
      <c r="P430" s="22">
        <f t="shared" si="80"/>
        <v>0.203601108033241</v>
      </c>
      <c r="Q430" t="str">
        <f t="shared" si="81"/>
        <v/>
      </c>
      <c r="S430">
        <f t="shared" si="82"/>
        <v>200.000957</v>
      </c>
      <c r="T430" s="23">
        <f t="shared" si="83"/>
        <v>0.20455810803324101</v>
      </c>
    </row>
    <row r="431" spans="1:20" ht="15" customHeight="1" x14ac:dyDescent="0.35">
      <c r="A431" t="str">
        <f>Benchmarking!A431</f>
        <v>Wells Fargo &amp; Co</v>
      </c>
      <c r="B431" t="str">
        <f>Benchmarking!B431</f>
        <v>wfc</v>
      </c>
      <c r="C431" t="str">
        <f>Benchmarking!C431</f>
        <v>Banking</v>
      </c>
      <c r="D431" s="17">
        <f>Benchmarking!D431</f>
        <v>500</v>
      </c>
      <c r="E431" s="17">
        <f>Benchmarking!E431</f>
        <v>300</v>
      </c>
      <c r="F431" s="17">
        <f>Benchmarking!F431</f>
        <v>300</v>
      </c>
      <c r="G431" s="17">
        <f>Benchmarking!G431</f>
        <v>1100</v>
      </c>
      <c r="H431" t="str">
        <f t="shared" si="72"/>
        <v>Environmental</v>
      </c>
      <c r="I431" t="str">
        <f t="shared" si="73"/>
        <v>Social</v>
      </c>
      <c r="J431" s="19">
        <f t="shared" si="74"/>
        <v>200</v>
      </c>
      <c r="K431" s="19">
        <f t="shared" si="75"/>
        <v>0</v>
      </c>
      <c r="L431" s="19">
        <f t="shared" si="76"/>
        <v>200</v>
      </c>
      <c r="M431" s="17">
        <f t="shared" si="77"/>
        <v>200</v>
      </c>
      <c r="N431" s="22">
        <f t="shared" si="78"/>
        <v>0.56925207756232687</v>
      </c>
      <c r="O431" s="22">
        <f t="shared" si="79"/>
        <v>0.36565096952908588</v>
      </c>
      <c r="P431" s="22">
        <f t="shared" si="80"/>
        <v>0.203601108033241</v>
      </c>
      <c r="Q431" t="str">
        <f t="shared" si="81"/>
        <v/>
      </c>
      <c r="S431">
        <f t="shared" si="82"/>
        <v>200.00095690000001</v>
      </c>
      <c r="T431" s="23">
        <f t="shared" si="83"/>
        <v>0.20455800803324101</v>
      </c>
    </row>
    <row r="432" spans="1:20" ht="15" customHeight="1" x14ac:dyDescent="0.35">
      <c r="A432" t="str">
        <f>Benchmarking!A432</f>
        <v>Whirlpool Corp</v>
      </c>
      <c r="B432" t="str">
        <f>Benchmarking!B432</f>
        <v>whr</v>
      </c>
      <c r="C432" t="str">
        <f>Benchmarking!C432</f>
        <v>Consumer products</v>
      </c>
      <c r="D432" s="17">
        <f>Benchmarking!D432</f>
        <v>500</v>
      </c>
      <c r="E432" s="17">
        <f>Benchmarking!E432</f>
        <v>301</v>
      </c>
      <c r="F432" s="17">
        <f>Benchmarking!F432</f>
        <v>300</v>
      </c>
      <c r="G432" s="17">
        <f>Benchmarking!G432</f>
        <v>1101</v>
      </c>
      <c r="H432" t="str">
        <f t="shared" si="72"/>
        <v>Environmental</v>
      </c>
      <c r="I432" t="str">
        <f t="shared" si="73"/>
        <v>Governance</v>
      </c>
      <c r="J432" s="19">
        <f t="shared" si="74"/>
        <v>199</v>
      </c>
      <c r="K432" s="19">
        <f t="shared" si="75"/>
        <v>1</v>
      </c>
      <c r="L432" s="19">
        <f t="shared" si="76"/>
        <v>200</v>
      </c>
      <c r="M432" s="17">
        <f t="shared" si="77"/>
        <v>200</v>
      </c>
      <c r="N432" s="22">
        <f t="shared" si="78"/>
        <v>0.61080332409972304</v>
      </c>
      <c r="O432" s="22">
        <f t="shared" si="79"/>
        <v>0.39335180055401664</v>
      </c>
      <c r="P432" s="22">
        <f t="shared" si="80"/>
        <v>0.2174515235457064</v>
      </c>
      <c r="Q432" t="str">
        <f t="shared" si="81"/>
        <v/>
      </c>
      <c r="S432">
        <f t="shared" si="82"/>
        <v>200.00095680000001</v>
      </c>
      <c r="T432" s="23">
        <f t="shared" si="83"/>
        <v>0.21840832354570641</v>
      </c>
    </row>
    <row r="433" spans="1:20" ht="15" customHeight="1" x14ac:dyDescent="0.35">
      <c r="A433" t="str">
        <f>Benchmarking!A433</f>
        <v>West Pharmaceutical Services Inc</v>
      </c>
      <c r="B433" t="str">
        <f>Benchmarking!B433</f>
        <v>wst</v>
      </c>
      <c r="C433" t="str">
        <f>Benchmarking!C433</f>
        <v>Life Sciences Tools &amp; Services</v>
      </c>
      <c r="D433" s="17">
        <f>Benchmarking!D433</f>
        <v>540</v>
      </c>
      <c r="E433" s="17">
        <f>Benchmarking!E433</f>
        <v>330</v>
      </c>
      <c r="F433" s="17">
        <f>Benchmarking!F433</f>
        <v>305</v>
      </c>
      <c r="G433" s="17">
        <f>Benchmarking!G433</f>
        <v>1175</v>
      </c>
      <c r="H433" t="str">
        <f t="shared" si="72"/>
        <v>Environmental</v>
      </c>
      <c r="I433" t="str">
        <f t="shared" si="73"/>
        <v>Governance</v>
      </c>
      <c r="J433" s="19">
        <f t="shared" si="74"/>
        <v>210</v>
      </c>
      <c r="K433" s="19">
        <f t="shared" si="75"/>
        <v>25</v>
      </c>
      <c r="L433" s="19">
        <f t="shared" si="76"/>
        <v>235</v>
      </c>
      <c r="M433" s="17">
        <f t="shared" si="77"/>
        <v>235</v>
      </c>
      <c r="N433" s="22">
        <f t="shared" si="78"/>
        <v>0.83933518005540164</v>
      </c>
      <c r="O433" s="22">
        <f t="shared" si="79"/>
        <v>0.63296398891966754</v>
      </c>
      <c r="P433" s="22">
        <f t="shared" si="80"/>
        <v>0.2063711911357341</v>
      </c>
      <c r="Q433" t="str">
        <f t="shared" si="81"/>
        <v/>
      </c>
      <c r="S433">
        <f t="shared" si="82"/>
        <v>235.00095669999999</v>
      </c>
      <c r="T433" s="23">
        <f t="shared" si="83"/>
        <v>0.2073278911357341</v>
      </c>
    </row>
    <row r="434" spans="1:20" ht="15" customHeight="1" x14ac:dyDescent="0.35">
      <c r="A434" t="str">
        <f>Benchmarking!A434</f>
        <v>W R Berkley Corp</v>
      </c>
      <c r="B434" t="str">
        <f>Benchmarking!B434</f>
        <v>wrb</v>
      </c>
      <c r="C434" t="str">
        <f>Benchmarking!C434</f>
        <v>Insurance</v>
      </c>
      <c r="D434" s="17">
        <f>Benchmarking!D434</f>
        <v>360</v>
      </c>
      <c r="E434" s="17">
        <f>Benchmarking!E434</f>
        <v>294</v>
      </c>
      <c r="F434" s="17">
        <f>Benchmarking!F434</f>
        <v>300</v>
      </c>
      <c r="G434" s="17">
        <f>Benchmarking!G434</f>
        <v>954</v>
      </c>
      <c r="H434" t="str">
        <f t="shared" si="72"/>
        <v>Environmental</v>
      </c>
      <c r="I434" t="str">
        <f t="shared" si="73"/>
        <v>Social</v>
      </c>
      <c r="J434" s="19">
        <f t="shared" si="74"/>
        <v>66</v>
      </c>
      <c r="K434" s="19">
        <f t="shared" si="75"/>
        <v>-6</v>
      </c>
      <c r="L434" s="19">
        <f t="shared" si="76"/>
        <v>60</v>
      </c>
      <c r="M434" s="17">
        <f t="shared" si="77"/>
        <v>66</v>
      </c>
      <c r="N434" s="22">
        <f t="shared" si="78"/>
        <v>0.4265927977839335</v>
      </c>
      <c r="O434" s="22">
        <f t="shared" si="79"/>
        <v>0.35180055401662053</v>
      </c>
      <c r="P434" s="22">
        <f t="shared" si="80"/>
        <v>7.4792243767312971E-2</v>
      </c>
      <c r="Q434" t="str">
        <f t="shared" si="81"/>
        <v/>
      </c>
      <c r="S434">
        <f t="shared" si="82"/>
        <v>66.000956599999995</v>
      </c>
      <c r="T434" s="23">
        <f t="shared" si="83"/>
        <v>7.5748843767312973E-2</v>
      </c>
    </row>
    <row r="435" spans="1:20" ht="15" customHeight="1" x14ac:dyDescent="0.35">
      <c r="A435" t="str">
        <f>Benchmarking!A435</f>
        <v>Walmart Inc</v>
      </c>
      <c r="B435" t="str">
        <f>Benchmarking!B435</f>
        <v>wmt</v>
      </c>
      <c r="C435" t="str">
        <f>Benchmarking!C435</f>
        <v>Retail</v>
      </c>
      <c r="D435" s="17">
        <f>Benchmarking!D435</f>
        <v>310</v>
      </c>
      <c r="E435" s="17">
        <f>Benchmarking!E435</f>
        <v>281</v>
      </c>
      <c r="F435" s="17">
        <f>Benchmarking!F435</f>
        <v>220</v>
      </c>
      <c r="G435" s="17">
        <f>Benchmarking!G435</f>
        <v>811</v>
      </c>
      <c r="H435" t="str">
        <f t="shared" si="72"/>
        <v>Environmental</v>
      </c>
      <c r="I435" t="str">
        <f t="shared" si="73"/>
        <v>Governance</v>
      </c>
      <c r="J435" s="19">
        <f t="shared" si="74"/>
        <v>29</v>
      </c>
      <c r="K435" s="19">
        <f t="shared" si="75"/>
        <v>61</v>
      </c>
      <c r="L435" s="19">
        <f t="shared" si="76"/>
        <v>90</v>
      </c>
      <c r="M435" s="17">
        <f t="shared" si="77"/>
        <v>90</v>
      </c>
      <c r="N435" s="22">
        <f t="shared" si="78"/>
        <v>0.29778393351800553</v>
      </c>
      <c r="O435" s="22">
        <f t="shared" si="79"/>
        <v>0.19113573407202217</v>
      </c>
      <c r="P435" s="22">
        <f t="shared" si="80"/>
        <v>0.10664819944598336</v>
      </c>
      <c r="Q435" t="str">
        <f t="shared" si="81"/>
        <v/>
      </c>
      <c r="S435">
        <f t="shared" si="82"/>
        <v>90.000956500000001</v>
      </c>
      <c r="T435" s="23">
        <f t="shared" si="83"/>
        <v>0.10760469944598336</v>
      </c>
    </row>
    <row r="436" spans="1:20" ht="15" customHeight="1" x14ac:dyDescent="0.35">
      <c r="A436" t="str">
        <f>Benchmarking!A436</f>
        <v>Western Union Co</v>
      </c>
      <c r="B436" t="str">
        <f>Benchmarking!B436</f>
        <v>wu</v>
      </c>
      <c r="C436" t="str">
        <f>Benchmarking!C436</f>
        <v>Technology</v>
      </c>
      <c r="D436" s="17">
        <f>Benchmarking!D436</f>
        <v>205</v>
      </c>
      <c r="E436" s="17">
        <f>Benchmarking!E436</f>
        <v>205</v>
      </c>
      <c r="F436" s="17">
        <f>Benchmarking!F436</f>
        <v>228</v>
      </c>
      <c r="G436" s="17">
        <f>Benchmarking!G436</f>
        <v>638</v>
      </c>
      <c r="H436" t="str">
        <f t="shared" si="72"/>
        <v>Governance</v>
      </c>
      <c r="I436" t="str">
        <f t="shared" si="73"/>
        <v>Environmental</v>
      </c>
      <c r="J436" s="19">
        <f t="shared" si="74"/>
        <v>0</v>
      </c>
      <c r="K436" s="19">
        <f t="shared" si="75"/>
        <v>-23</v>
      </c>
      <c r="L436" s="19">
        <f t="shared" si="76"/>
        <v>-23</v>
      </c>
      <c r="M436" s="17">
        <f t="shared" si="77"/>
        <v>23</v>
      </c>
      <c r="N436" s="22">
        <f t="shared" si="78"/>
        <v>7.6177285318559551E-2</v>
      </c>
      <c r="O436" s="22">
        <f t="shared" si="79"/>
        <v>5.6786703601108032E-2</v>
      </c>
      <c r="P436" s="22">
        <f t="shared" si="80"/>
        <v>1.9390581717451519E-2</v>
      </c>
      <c r="Q436" t="str">
        <f t="shared" si="81"/>
        <v/>
      </c>
      <c r="S436">
        <f t="shared" si="82"/>
        <v>23.0009564</v>
      </c>
      <c r="T436" s="23">
        <f t="shared" si="83"/>
        <v>2.0346981717451518E-2</v>
      </c>
    </row>
    <row r="437" spans="1:20" ht="15" customHeight="1" x14ac:dyDescent="0.35">
      <c r="A437" t="str">
        <f>Benchmarking!A437</f>
        <v>Yum! Brands Inc</v>
      </c>
      <c r="B437" t="str">
        <f>Benchmarking!B437</f>
        <v>yum</v>
      </c>
      <c r="C437" t="str">
        <f>Benchmarking!C437</f>
        <v>Hotels Restaurants &amp; Leisure</v>
      </c>
      <c r="D437" s="17">
        <f>Benchmarking!D437</f>
        <v>500</v>
      </c>
      <c r="E437" s="17">
        <f>Benchmarking!E437</f>
        <v>320</v>
      </c>
      <c r="F437" s="17">
        <f>Benchmarking!F437</f>
        <v>310</v>
      </c>
      <c r="G437" s="17">
        <f>Benchmarking!G437</f>
        <v>1130</v>
      </c>
      <c r="H437" t="str">
        <f t="shared" si="72"/>
        <v>Environmental</v>
      </c>
      <c r="I437" t="str">
        <f t="shared" si="73"/>
        <v>Governance</v>
      </c>
      <c r="J437" s="19">
        <f t="shared" si="74"/>
        <v>180</v>
      </c>
      <c r="K437" s="19">
        <f t="shared" si="75"/>
        <v>10</v>
      </c>
      <c r="L437" s="19">
        <f t="shared" si="76"/>
        <v>190</v>
      </c>
      <c r="M437" s="17">
        <f t="shared" si="77"/>
        <v>190</v>
      </c>
      <c r="N437" s="22">
        <f t="shared" si="78"/>
        <v>0.69667590027700832</v>
      </c>
      <c r="O437" s="22">
        <f t="shared" si="79"/>
        <v>0.51246537396121883</v>
      </c>
      <c r="P437" s="22">
        <f t="shared" si="80"/>
        <v>0.18421052631578949</v>
      </c>
      <c r="Q437" t="str">
        <f t="shared" si="81"/>
        <v/>
      </c>
      <c r="S437">
        <f t="shared" si="82"/>
        <v>190.00095630000001</v>
      </c>
      <c r="T437" s="23">
        <f t="shared" si="83"/>
        <v>0.18516682631578948</v>
      </c>
    </row>
    <row r="438" spans="1:20" ht="15" customHeight="1" x14ac:dyDescent="0.35">
      <c r="A438" t="str">
        <f>Benchmarking!A438</f>
        <v>Xylem Inc</v>
      </c>
      <c r="B438" t="str">
        <f>Benchmarking!B438</f>
        <v>xyl</v>
      </c>
      <c r="C438" t="str">
        <f>Benchmarking!C438</f>
        <v>Machinery</v>
      </c>
      <c r="D438" s="17">
        <f>Benchmarking!D438</f>
        <v>374</v>
      </c>
      <c r="E438" s="17">
        <f>Benchmarking!E438</f>
        <v>254</v>
      </c>
      <c r="F438" s="17">
        <f>Benchmarking!F438</f>
        <v>210</v>
      </c>
      <c r="G438" s="17">
        <f>Benchmarking!G438</f>
        <v>838</v>
      </c>
      <c r="H438" t="str">
        <f t="shared" si="72"/>
        <v>Environmental</v>
      </c>
      <c r="I438" t="str">
        <f t="shared" si="73"/>
        <v>Governance</v>
      </c>
      <c r="J438" s="19">
        <f t="shared" si="74"/>
        <v>120</v>
      </c>
      <c r="K438" s="19">
        <f t="shared" si="75"/>
        <v>44</v>
      </c>
      <c r="L438" s="19">
        <f t="shared" si="76"/>
        <v>164</v>
      </c>
      <c r="M438" s="17">
        <f t="shared" si="77"/>
        <v>164</v>
      </c>
      <c r="N438" s="22">
        <f t="shared" si="78"/>
        <v>0.32548476454293629</v>
      </c>
      <c r="O438" s="22">
        <f t="shared" si="79"/>
        <v>0.12049861495844875</v>
      </c>
      <c r="P438" s="22">
        <f t="shared" si="80"/>
        <v>0.20498614958448752</v>
      </c>
      <c r="Q438" t="str">
        <f t="shared" si="81"/>
        <v/>
      </c>
      <c r="S438">
        <f t="shared" si="82"/>
        <v>164.00095619999999</v>
      </c>
      <c r="T438" s="23">
        <f t="shared" si="83"/>
        <v>0.20594234958448751</v>
      </c>
    </row>
    <row r="439" spans="1:20" ht="15" customHeight="1" x14ac:dyDescent="0.35">
      <c r="A439" t="str">
        <f>Benchmarking!A439</f>
        <v>Weyerhaeuser Co</v>
      </c>
      <c r="B439" t="str">
        <f>Benchmarking!B439</f>
        <v>wy</v>
      </c>
      <c r="C439" t="str">
        <f>Benchmarking!C439</f>
        <v>Real Estate</v>
      </c>
      <c r="D439" s="17">
        <f>Benchmarking!D439</f>
        <v>700</v>
      </c>
      <c r="E439" s="17">
        <f>Benchmarking!E439</f>
        <v>340</v>
      </c>
      <c r="F439" s="17">
        <f>Benchmarking!F439</f>
        <v>300</v>
      </c>
      <c r="G439" s="17">
        <f>Benchmarking!G439</f>
        <v>1340</v>
      </c>
      <c r="H439" t="str">
        <f t="shared" si="72"/>
        <v>Environmental</v>
      </c>
      <c r="I439" t="str">
        <f t="shared" si="73"/>
        <v>Governance</v>
      </c>
      <c r="J439" s="19">
        <f t="shared" si="74"/>
        <v>360</v>
      </c>
      <c r="K439" s="19">
        <f t="shared" si="75"/>
        <v>40</v>
      </c>
      <c r="L439" s="19">
        <f t="shared" si="76"/>
        <v>400</v>
      </c>
      <c r="M439" s="17">
        <f t="shared" si="77"/>
        <v>400</v>
      </c>
      <c r="N439" s="22">
        <f t="shared" si="78"/>
        <v>0.97368421052631582</v>
      </c>
      <c r="O439" s="22">
        <f t="shared" si="79"/>
        <v>0.39335180055401664</v>
      </c>
      <c r="P439" s="22">
        <f t="shared" si="80"/>
        <v>0.58033240997229918</v>
      </c>
      <c r="Q439" t="str">
        <f t="shared" si="81"/>
        <v>High ESG / weak pillar (analytical flag - not an ESG rating) - warrants investigation</v>
      </c>
      <c r="S439">
        <f t="shared" si="82"/>
        <v>400.0009561</v>
      </c>
      <c r="T439" s="23">
        <f t="shared" si="83"/>
        <v>0.58128850997229919</v>
      </c>
    </row>
    <row r="440" spans="1:20" ht="15" customHeight="1" x14ac:dyDescent="0.35">
      <c r="A440" t="str">
        <f>Benchmarking!A440</f>
        <v>Westrock Co</v>
      </c>
      <c r="B440" t="str">
        <f>Benchmarking!B440</f>
        <v>wrk</v>
      </c>
      <c r="C440" t="str">
        <f>Benchmarking!C440</f>
        <v>Packaging</v>
      </c>
      <c r="D440" s="17">
        <f>Benchmarking!D440</f>
        <v>555</v>
      </c>
      <c r="E440" s="17">
        <f>Benchmarking!E440</f>
        <v>324</v>
      </c>
      <c r="F440" s="17">
        <f>Benchmarking!F440</f>
        <v>305</v>
      </c>
      <c r="G440" s="17">
        <f>Benchmarking!G440</f>
        <v>1184</v>
      </c>
      <c r="H440" t="str">
        <f t="shared" si="72"/>
        <v>Environmental</v>
      </c>
      <c r="I440" t="str">
        <f t="shared" si="73"/>
        <v>Governance</v>
      </c>
      <c r="J440" s="19">
        <f t="shared" si="74"/>
        <v>231</v>
      </c>
      <c r="K440" s="19">
        <f t="shared" si="75"/>
        <v>19</v>
      </c>
      <c r="L440" s="19">
        <f t="shared" si="76"/>
        <v>250</v>
      </c>
      <c r="M440" s="17">
        <f t="shared" si="77"/>
        <v>250</v>
      </c>
      <c r="N440" s="22">
        <f t="shared" si="78"/>
        <v>0.86288088642659277</v>
      </c>
      <c r="O440" s="22">
        <f t="shared" si="79"/>
        <v>0.63296398891966754</v>
      </c>
      <c r="P440" s="22">
        <f t="shared" si="80"/>
        <v>0.22991689750692523</v>
      </c>
      <c r="Q440" t="str">
        <f t="shared" si="81"/>
        <v/>
      </c>
      <c r="S440">
        <f t="shared" si="82"/>
        <v>250.000956</v>
      </c>
      <c r="T440" s="23">
        <f t="shared" si="83"/>
        <v>0.23087289750692525</v>
      </c>
    </row>
    <row r="441" spans="1:20" ht="15" customHeight="1" x14ac:dyDescent="0.35">
      <c r="A441" t="str">
        <f>Benchmarking!A441</f>
        <v>Exxon Mobil Corp</v>
      </c>
      <c r="B441" t="str">
        <f>Benchmarking!B441</f>
        <v>xom</v>
      </c>
      <c r="C441" t="str">
        <f>Benchmarking!C441</f>
        <v>Energy</v>
      </c>
      <c r="D441" s="17">
        <f>Benchmarking!D441</f>
        <v>538</v>
      </c>
      <c r="E441" s="17">
        <f>Benchmarking!E441</f>
        <v>322</v>
      </c>
      <c r="F441" s="17">
        <f>Benchmarking!F441</f>
        <v>313</v>
      </c>
      <c r="G441" s="17">
        <f>Benchmarking!G441</f>
        <v>1173</v>
      </c>
      <c r="H441" t="str">
        <f t="shared" si="72"/>
        <v>Environmental</v>
      </c>
      <c r="I441" t="str">
        <f t="shared" si="73"/>
        <v>Governance</v>
      </c>
      <c r="J441" s="19">
        <f t="shared" si="74"/>
        <v>216</v>
      </c>
      <c r="K441" s="19">
        <f t="shared" si="75"/>
        <v>9</v>
      </c>
      <c r="L441" s="19">
        <f t="shared" si="76"/>
        <v>225</v>
      </c>
      <c r="M441" s="17">
        <f t="shared" si="77"/>
        <v>225</v>
      </c>
      <c r="N441" s="22">
        <f t="shared" si="78"/>
        <v>0.83240997229916902</v>
      </c>
      <c r="O441" s="22">
        <f t="shared" si="79"/>
        <v>0.73822714681440438</v>
      </c>
      <c r="P441" s="22">
        <f t="shared" si="80"/>
        <v>9.4182825484764643E-2</v>
      </c>
      <c r="Q441" t="str">
        <f t="shared" si="81"/>
        <v/>
      </c>
      <c r="S441">
        <f t="shared" si="82"/>
        <v>225.00095590000001</v>
      </c>
      <c r="T441" s="23">
        <f t="shared" si="83"/>
        <v>9.5138725484764639E-2</v>
      </c>
    </row>
    <row r="442" spans="1:20" ht="15" customHeight="1" x14ac:dyDescent="0.35">
      <c r="A442" t="str">
        <f>Benchmarking!A442</f>
        <v>Zimmer Biomet Holdings Inc</v>
      </c>
      <c r="B442" t="str">
        <f>Benchmarking!B442</f>
        <v>zbh</v>
      </c>
      <c r="C442" t="str">
        <f>Benchmarking!C442</f>
        <v>Health Care</v>
      </c>
      <c r="D442" s="17">
        <f>Benchmarking!D442</f>
        <v>520</v>
      </c>
      <c r="E442" s="17">
        <f>Benchmarking!E442</f>
        <v>330</v>
      </c>
      <c r="F442" s="17">
        <f>Benchmarking!F442</f>
        <v>310</v>
      </c>
      <c r="G442" s="17">
        <f>Benchmarking!G442</f>
        <v>1160</v>
      </c>
      <c r="H442" t="str">
        <f t="shared" si="72"/>
        <v>Environmental</v>
      </c>
      <c r="I442" t="str">
        <f t="shared" si="73"/>
        <v>Governance</v>
      </c>
      <c r="J442" s="19">
        <f t="shared" si="74"/>
        <v>190</v>
      </c>
      <c r="K442" s="19">
        <f t="shared" si="75"/>
        <v>20</v>
      </c>
      <c r="L442" s="19">
        <f t="shared" si="76"/>
        <v>210</v>
      </c>
      <c r="M442" s="17">
        <f t="shared" si="77"/>
        <v>210</v>
      </c>
      <c r="N442" s="22">
        <f t="shared" si="78"/>
        <v>0.79639889196675895</v>
      </c>
      <c r="O442" s="22">
        <f t="shared" si="79"/>
        <v>0.74653739612188363</v>
      </c>
      <c r="P442" s="22">
        <f t="shared" si="80"/>
        <v>4.9861495844875314E-2</v>
      </c>
      <c r="Q442" t="str">
        <f t="shared" si="81"/>
        <v/>
      </c>
      <c r="S442">
        <f t="shared" si="82"/>
        <v>210.00095580000001</v>
      </c>
      <c r="T442" s="23">
        <f t="shared" si="83"/>
        <v>5.0817295844875314E-2</v>
      </c>
    </row>
    <row r="443" spans="1:20" ht="15" customHeight="1" x14ac:dyDescent="0.35">
      <c r="A443" t="str">
        <f>Benchmarking!A443</f>
        <v>Zoetis Inc</v>
      </c>
      <c r="B443" t="str">
        <f>Benchmarking!B443</f>
        <v>zts</v>
      </c>
      <c r="C443" t="str">
        <f>Benchmarking!C443</f>
        <v>Pharmaceuticals</v>
      </c>
      <c r="D443" s="17">
        <f>Benchmarking!D443</f>
        <v>520</v>
      </c>
      <c r="E443" s="17">
        <f>Benchmarking!E443</f>
        <v>348</v>
      </c>
      <c r="F443" s="17">
        <f>Benchmarking!F443</f>
        <v>310</v>
      </c>
      <c r="G443" s="17">
        <f>Benchmarking!G443</f>
        <v>1178</v>
      </c>
      <c r="H443" t="str">
        <f t="shared" si="72"/>
        <v>Environmental</v>
      </c>
      <c r="I443" t="str">
        <f t="shared" si="73"/>
        <v>Governance</v>
      </c>
      <c r="J443" s="19">
        <f t="shared" si="74"/>
        <v>172</v>
      </c>
      <c r="K443" s="19">
        <f t="shared" si="75"/>
        <v>38</v>
      </c>
      <c r="L443" s="19">
        <f t="shared" si="76"/>
        <v>210</v>
      </c>
      <c r="M443" s="17">
        <f t="shared" si="77"/>
        <v>210</v>
      </c>
      <c r="N443" s="22">
        <f t="shared" si="78"/>
        <v>0.84487534626038785</v>
      </c>
      <c r="O443" s="22">
        <f t="shared" si="79"/>
        <v>0.74653739612188363</v>
      </c>
      <c r="P443" s="22">
        <f t="shared" si="80"/>
        <v>9.8337950138504215E-2</v>
      </c>
      <c r="Q443" t="str">
        <f t="shared" si="81"/>
        <v/>
      </c>
      <c r="S443">
        <f t="shared" si="82"/>
        <v>210.00095569999999</v>
      </c>
      <c r="T443" s="23">
        <f t="shared" si="83"/>
        <v>9.9293650138504219E-2</v>
      </c>
    </row>
    <row r="444" spans="1:20" ht="15" customHeight="1" x14ac:dyDescent="0.35">
      <c r="A444" t="str">
        <f>Benchmarking!A444</f>
        <v>Deere &amp; Co</v>
      </c>
      <c r="B444" t="str">
        <f>Benchmarking!B444</f>
        <v>de</v>
      </c>
      <c r="C444" t="str">
        <f>Benchmarking!C444</f>
        <v>Machinery</v>
      </c>
      <c r="D444" s="17">
        <f>Benchmarking!D444</f>
        <v>560</v>
      </c>
      <c r="E444" s="17">
        <f>Benchmarking!E444</f>
        <v>339</v>
      </c>
      <c r="F444" s="17">
        <f>Benchmarking!F444</f>
        <v>305</v>
      </c>
      <c r="G444" s="17">
        <f>Benchmarking!G444</f>
        <v>1204</v>
      </c>
      <c r="H444" t="str">
        <f t="shared" si="72"/>
        <v>Environmental</v>
      </c>
      <c r="I444" t="str">
        <f t="shared" si="73"/>
        <v>Governance</v>
      </c>
      <c r="J444" s="19">
        <f t="shared" si="74"/>
        <v>221</v>
      </c>
      <c r="K444" s="19">
        <f t="shared" si="75"/>
        <v>34</v>
      </c>
      <c r="L444" s="19">
        <f t="shared" si="76"/>
        <v>255</v>
      </c>
      <c r="M444" s="17">
        <f t="shared" si="77"/>
        <v>255</v>
      </c>
      <c r="N444" s="22">
        <f t="shared" si="78"/>
        <v>0.89058171745152359</v>
      </c>
      <c r="O444" s="22">
        <f t="shared" si="79"/>
        <v>0.63296398891966754</v>
      </c>
      <c r="P444" s="22">
        <f t="shared" si="80"/>
        <v>0.25761772853185605</v>
      </c>
      <c r="Q444" t="str">
        <f t="shared" si="81"/>
        <v/>
      </c>
      <c r="S444">
        <f t="shared" si="82"/>
        <v>255.0009556</v>
      </c>
      <c r="T444" s="23">
        <f t="shared" si="83"/>
        <v>0.25857332853185605</v>
      </c>
    </row>
    <row r="445" spans="1:20" ht="15" customHeight="1" x14ac:dyDescent="0.35">
      <c r="A445" t="str">
        <f>Benchmarking!A445</f>
        <v>Dupont De Nemours Inc</v>
      </c>
      <c r="B445" t="str">
        <f>Benchmarking!B445</f>
        <v>dd</v>
      </c>
      <c r="C445" t="str">
        <f>Benchmarking!C445</f>
        <v>Chemicals</v>
      </c>
      <c r="D445" s="17">
        <f>Benchmarking!D445</f>
        <v>550</v>
      </c>
      <c r="E445" s="17">
        <f>Benchmarking!E445</f>
        <v>341</v>
      </c>
      <c r="F445" s="17">
        <f>Benchmarking!F445</f>
        <v>295</v>
      </c>
      <c r="G445" s="17">
        <f>Benchmarking!G445</f>
        <v>1186</v>
      </c>
      <c r="H445" t="str">
        <f t="shared" si="72"/>
        <v>Environmental</v>
      </c>
      <c r="I445" t="str">
        <f t="shared" si="73"/>
        <v>Governance</v>
      </c>
      <c r="J445" s="19">
        <f t="shared" si="74"/>
        <v>209</v>
      </c>
      <c r="K445" s="19">
        <f t="shared" si="75"/>
        <v>46</v>
      </c>
      <c r="L445" s="19">
        <f t="shared" si="76"/>
        <v>255</v>
      </c>
      <c r="M445" s="17">
        <f t="shared" si="77"/>
        <v>255</v>
      </c>
      <c r="N445" s="22">
        <f t="shared" si="78"/>
        <v>0.86565096952908582</v>
      </c>
      <c r="O445" s="22">
        <f t="shared" si="79"/>
        <v>0.38227146814404434</v>
      </c>
      <c r="P445" s="22">
        <f t="shared" si="80"/>
        <v>0.48337950138504149</v>
      </c>
      <c r="Q445" t="str">
        <f t="shared" si="81"/>
        <v>High ESG / weak pillar (analytical flag - not an ESG rating) - warrants investigation</v>
      </c>
      <c r="S445">
        <f t="shared" si="82"/>
        <v>255.0009555</v>
      </c>
      <c r="T445" s="23">
        <f t="shared" si="83"/>
        <v>0.48433500138504149</v>
      </c>
    </row>
    <row r="446" spans="1:20" ht="15" customHeight="1" x14ac:dyDescent="0.35">
      <c r="A446" t="str">
        <f>Benchmarking!A446</f>
        <v>Dominion Energy Inc</v>
      </c>
      <c r="B446" t="str">
        <f>Benchmarking!B446</f>
        <v>d</v>
      </c>
      <c r="C446" t="str">
        <f>Benchmarking!C446</f>
        <v>Utilities</v>
      </c>
      <c r="D446" s="17">
        <f>Benchmarking!D446</f>
        <v>535</v>
      </c>
      <c r="E446" s="17">
        <f>Benchmarking!E446</f>
        <v>325</v>
      </c>
      <c r="F446" s="17">
        <f>Benchmarking!F446</f>
        <v>310</v>
      </c>
      <c r="G446" s="17">
        <f>Benchmarking!G446</f>
        <v>1170</v>
      </c>
      <c r="H446" t="str">
        <f t="shared" si="72"/>
        <v>Environmental</v>
      </c>
      <c r="I446" t="str">
        <f t="shared" si="73"/>
        <v>Governance</v>
      </c>
      <c r="J446" s="19">
        <f t="shared" si="74"/>
        <v>210</v>
      </c>
      <c r="K446" s="19">
        <f t="shared" si="75"/>
        <v>15</v>
      </c>
      <c r="L446" s="19">
        <f t="shared" si="76"/>
        <v>225</v>
      </c>
      <c r="M446" s="17">
        <f t="shared" si="77"/>
        <v>225</v>
      </c>
      <c r="N446" s="22">
        <f t="shared" si="78"/>
        <v>0.82409972299168976</v>
      </c>
      <c r="O446" s="22">
        <f t="shared" si="79"/>
        <v>0.74653739612188363</v>
      </c>
      <c r="P446" s="22">
        <f t="shared" si="80"/>
        <v>7.7562326869806131E-2</v>
      </c>
      <c r="Q446" t="str">
        <f t="shared" si="81"/>
        <v/>
      </c>
      <c r="S446">
        <f t="shared" si="82"/>
        <v>225.00095540000001</v>
      </c>
      <c r="T446" s="23">
        <f t="shared" si="83"/>
        <v>7.8517726869806126E-2</v>
      </c>
    </row>
    <row r="447" spans="1:20" ht="15" customHeight="1" x14ac:dyDescent="0.35">
      <c r="A447" t="str">
        <f>Benchmarking!A447</f>
        <v>CVS Health Corp</v>
      </c>
      <c r="B447" t="str">
        <f>Benchmarking!B447</f>
        <v>cvs</v>
      </c>
      <c r="C447" t="str">
        <f>Benchmarking!C447</f>
        <v>Health Care</v>
      </c>
      <c r="D447" s="17">
        <f>Benchmarking!D447</f>
        <v>540</v>
      </c>
      <c r="E447" s="17">
        <f>Benchmarking!E447</f>
        <v>302</v>
      </c>
      <c r="F447" s="17">
        <f>Benchmarking!F447</f>
        <v>315</v>
      </c>
      <c r="G447" s="17">
        <f>Benchmarking!G447</f>
        <v>1157</v>
      </c>
      <c r="H447" t="str">
        <f t="shared" si="72"/>
        <v>Environmental</v>
      </c>
      <c r="I447" t="str">
        <f t="shared" si="73"/>
        <v>Social</v>
      </c>
      <c r="J447" s="19">
        <f t="shared" si="74"/>
        <v>238</v>
      </c>
      <c r="K447" s="19">
        <f t="shared" si="75"/>
        <v>-13</v>
      </c>
      <c r="L447" s="19">
        <f t="shared" si="76"/>
        <v>225</v>
      </c>
      <c r="M447" s="17">
        <f t="shared" si="77"/>
        <v>238</v>
      </c>
      <c r="N447" s="22">
        <f t="shared" si="78"/>
        <v>0.78947368421052633</v>
      </c>
      <c r="O447" s="22">
        <f t="shared" si="79"/>
        <v>0.49722991689750695</v>
      </c>
      <c r="P447" s="22">
        <f t="shared" si="80"/>
        <v>0.29224376731301938</v>
      </c>
      <c r="Q447" t="str">
        <f t="shared" si="81"/>
        <v/>
      </c>
      <c r="S447">
        <f t="shared" si="82"/>
        <v>238.00095529999999</v>
      </c>
      <c r="T447" s="23">
        <f t="shared" si="83"/>
        <v>0.29319906731301937</v>
      </c>
    </row>
    <row r="448" spans="1:20" ht="15" customHeight="1" x14ac:dyDescent="0.35">
      <c r="A448" t="str">
        <f>Benchmarking!A448</f>
        <v>Delta Air Lines Inc</v>
      </c>
      <c r="B448" t="str">
        <f>Benchmarking!B448</f>
        <v>dal</v>
      </c>
      <c r="C448" t="str">
        <f>Benchmarking!C448</f>
        <v>Airlines</v>
      </c>
      <c r="D448" s="17">
        <f>Benchmarking!D448</f>
        <v>515</v>
      </c>
      <c r="E448" s="17">
        <f>Benchmarking!E448</f>
        <v>300</v>
      </c>
      <c r="F448" s="17">
        <f>Benchmarking!F448</f>
        <v>313</v>
      </c>
      <c r="G448" s="17">
        <f>Benchmarking!G448</f>
        <v>1128</v>
      </c>
      <c r="H448" t="str">
        <f t="shared" si="72"/>
        <v>Environmental</v>
      </c>
      <c r="I448" t="str">
        <f t="shared" si="73"/>
        <v>Social</v>
      </c>
      <c r="J448" s="19">
        <f t="shared" si="74"/>
        <v>215</v>
      </c>
      <c r="K448" s="19">
        <f t="shared" si="75"/>
        <v>-13</v>
      </c>
      <c r="L448" s="19">
        <f t="shared" si="76"/>
        <v>202</v>
      </c>
      <c r="M448" s="17">
        <f t="shared" si="77"/>
        <v>215</v>
      </c>
      <c r="N448" s="22">
        <f t="shared" si="78"/>
        <v>0.69113573407202211</v>
      </c>
      <c r="O448" s="22">
        <f t="shared" si="79"/>
        <v>0.36565096952908588</v>
      </c>
      <c r="P448" s="22">
        <f t="shared" si="80"/>
        <v>0.32548476454293623</v>
      </c>
      <c r="Q448" t="str">
        <f t="shared" si="81"/>
        <v/>
      </c>
      <c r="S448">
        <f t="shared" si="82"/>
        <v>215.00095519999999</v>
      </c>
      <c r="T448" s="23">
        <f t="shared" si="83"/>
        <v>0.32643996454293622</v>
      </c>
    </row>
    <row r="449" spans="1:20" ht="15" customHeight="1" x14ac:dyDescent="0.35">
      <c r="A449" t="str">
        <f>Benchmarking!A449</f>
        <v>Salesforce Inc</v>
      </c>
      <c r="B449" t="str">
        <f>Benchmarking!B449</f>
        <v>crm</v>
      </c>
      <c r="C449" t="str">
        <f>Benchmarking!C449</f>
        <v>Technology</v>
      </c>
      <c r="D449" s="17">
        <f>Benchmarking!D449</f>
        <v>215</v>
      </c>
      <c r="E449" s="17">
        <f>Benchmarking!E449</f>
        <v>241</v>
      </c>
      <c r="F449" s="17">
        <f>Benchmarking!F449</f>
        <v>200</v>
      </c>
      <c r="G449" s="17">
        <f>Benchmarking!G449</f>
        <v>656</v>
      </c>
      <c r="H449" t="str">
        <f t="shared" si="72"/>
        <v>Social</v>
      </c>
      <c r="I449" t="str">
        <f t="shared" si="73"/>
        <v>Governance</v>
      </c>
      <c r="J449" s="19">
        <f t="shared" si="74"/>
        <v>-26</v>
      </c>
      <c r="K449" s="19">
        <f t="shared" si="75"/>
        <v>41</v>
      </c>
      <c r="L449" s="19">
        <f t="shared" si="76"/>
        <v>15</v>
      </c>
      <c r="M449" s="17">
        <f t="shared" si="77"/>
        <v>41</v>
      </c>
      <c r="N449" s="22">
        <f t="shared" si="78"/>
        <v>0.10664819944598337</v>
      </c>
      <c r="O449" s="22">
        <f t="shared" si="79"/>
        <v>2.7700831024930748E-3</v>
      </c>
      <c r="P449" s="22">
        <f t="shared" si="80"/>
        <v>0.1038781163434903</v>
      </c>
      <c r="Q449" t="str">
        <f t="shared" si="81"/>
        <v/>
      </c>
      <c r="S449">
        <f t="shared" si="82"/>
        <v>41.000955099999999</v>
      </c>
      <c r="T449" s="23">
        <f t="shared" si="83"/>
        <v>0.1048332163434903</v>
      </c>
    </row>
    <row r="450" spans="1:20" ht="15" customHeight="1" x14ac:dyDescent="0.35">
      <c r="A450" t="str">
        <f>Benchmarking!A450</f>
        <v>Chevron Corp</v>
      </c>
      <c r="B450" t="str">
        <f>Benchmarking!B450</f>
        <v>cvx</v>
      </c>
      <c r="C450" t="str">
        <f>Benchmarking!C450</f>
        <v>Energy</v>
      </c>
      <c r="D450" s="17">
        <f>Benchmarking!D450</f>
        <v>210</v>
      </c>
      <c r="E450" s="17">
        <f>Benchmarking!E450</f>
        <v>217</v>
      </c>
      <c r="F450" s="17">
        <f>Benchmarking!F450</f>
        <v>210</v>
      </c>
      <c r="G450" s="17">
        <f>Benchmarking!G450</f>
        <v>637</v>
      </c>
      <c r="H450" t="str">
        <f t="shared" si="72"/>
        <v>Social</v>
      </c>
      <c r="I450" t="str">
        <f t="shared" si="73"/>
        <v>Environmental</v>
      </c>
      <c r="J450" s="19">
        <f t="shared" si="74"/>
        <v>-7</v>
      </c>
      <c r="K450" s="19">
        <f t="shared" si="75"/>
        <v>7</v>
      </c>
      <c r="L450" s="19">
        <f t="shared" si="76"/>
        <v>0</v>
      </c>
      <c r="M450" s="17">
        <f t="shared" si="77"/>
        <v>7</v>
      </c>
      <c r="N450" s="22">
        <f t="shared" si="78"/>
        <v>7.3407202216066489E-2</v>
      </c>
      <c r="O450" s="22">
        <f t="shared" si="79"/>
        <v>9.141274238227147E-2</v>
      </c>
      <c r="P450" s="22">
        <f t="shared" si="80"/>
        <v>-1.8005540166204981E-2</v>
      </c>
      <c r="Q450" t="str">
        <f t="shared" si="81"/>
        <v/>
      </c>
      <c r="S450">
        <f t="shared" si="82"/>
        <v>7.0009550000000003</v>
      </c>
      <c r="T450" s="23">
        <f t="shared" si="83"/>
        <v>-1.705054016620498E-2</v>
      </c>
    </row>
    <row r="451" spans="1:20" ht="15" customHeight="1" x14ac:dyDescent="0.35">
      <c r="A451" t="str">
        <f>Benchmarking!A451</f>
        <v>Corteva Inc</v>
      </c>
      <c r="B451" t="str">
        <f>Benchmarking!B451</f>
        <v>ctva</v>
      </c>
      <c r="C451" t="str">
        <f>Benchmarking!C451</f>
        <v>Chemicals</v>
      </c>
      <c r="D451" s="17">
        <f>Benchmarking!D451</f>
        <v>610</v>
      </c>
      <c r="E451" s="17">
        <f>Benchmarking!E451</f>
        <v>312</v>
      </c>
      <c r="F451" s="17">
        <f>Benchmarking!F451</f>
        <v>320</v>
      </c>
      <c r="G451" s="17">
        <f>Benchmarking!G451</f>
        <v>1242</v>
      </c>
      <c r="H451" t="str">
        <f t="shared" si="72"/>
        <v>Environmental</v>
      </c>
      <c r="I451" t="str">
        <f t="shared" si="73"/>
        <v>Social</v>
      </c>
      <c r="J451" s="19">
        <f t="shared" si="74"/>
        <v>298</v>
      </c>
      <c r="K451" s="19">
        <f t="shared" si="75"/>
        <v>-8</v>
      </c>
      <c r="L451" s="19">
        <f t="shared" si="76"/>
        <v>290</v>
      </c>
      <c r="M451" s="17">
        <f t="shared" si="77"/>
        <v>298</v>
      </c>
      <c r="N451" s="22">
        <f t="shared" si="78"/>
        <v>0.92382271468144039</v>
      </c>
      <c r="O451" s="22">
        <f t="shared" si="79"/>
        <v>0.64819944598337953</v>
      </c>
      <c r="P451" s="22">
        <f t="shared" si="80"/>
        <v>0.27562326869806086</v>
      </c>
      <c r="Q451" t="str">
        <f t="shared" si="81"/>
        <v/>
      </c>
      <c r="S451">
        <f t="shared" si="82"/>
        <v>298.00095490000001</v>
      </c>
      <c r="T451" s="23">
        <f t="shared" si="83"/>
        <v>0.27657816869806084</v>
      </c>
    </row>
    <row r="452" spans="1:20" ht="15" customHeight="1" x14ac:dyDescent="0.35">
      <c r="A452" t="str">
        <f>Benchmarking!A452</f>
        <v>Coterra Energy Inc</v>
      </c>
      <c r="B452" t="str">
        <f>Benchmarking!B452</f>
        <v>ctra</v>
      </c>
      <c r="C452" t="str">
        <f>Benchmarking!C452</f>
        <v>Energy</v>
      </c>
      <c r="D452" s="17">
        <f>Benchmarking!D452</f>
        <v>555</v>
      </c>
      <c r="E452" s="17">
        <f>Benchmarking!E452</f>
        <v>329</v>
      </c>
      <c r="F452" s="17">
        <f>Benchmarking!F452</f>
        <v>310</v>
      </c>
      <c r="G452" s="17">
        <f>Benchmarking!G452</f>
        <v>1194</v>
      </c>
      <c r="H452" t="str">
        <f t="shared" ref="H452:H515" si="84">IF(AND(D452&gt;=E452,D452&gt;=F452),"Environmental",IF(AND(E452&gt;=D452,E452&gt;=F452),"Social","Governance"))</f>
        <v>Environmental</v>
      </c>
      <c r="I452" t="str">
        <f t="shared" ref="I452:I515" si="85">IF(AND(D452&lt;=E452,D452&lt;=F452),"Environmental",IF(AND(E452&lt;=D452,E452&lt;=F452),"Social","Governance"))</f>
        <v>Governance</v>
      </c>
      <c r="J452" s="19">
        <f t="shared" ref="J452:J515" si="86">D452-E452</f>
        <v>226</v>
      </c>
      <c r="K452" s="19">
        <f t="shared" ref="K452:K515" si="87">E452-F452</f>
        <v>19</v>
      </c>
      <c r="L452" s="19">
        <f t="shared" ref="L452:L515" si="88">D452-F452</f>
        <v>245</v>
      </c>
      <c r="M452" s="17">
        <f t="shared" ref="M452:M515" si="89">MAX(D452:F452)-MIN(D452:F452)</f>
        <v>245</v>
      </c>
      <c r="N452" s="22">
        <f t="shared" ref="N452:N515" si="90">RANK(G452,$G$4:$G$725,1)/COUNT($G$4:$G$725)</f>
        <v>0.87811634349030476</v>
      </c>
      <c r="O452" s="22">
        <f t="shared" ref="O452:O515" si="91">MIN(RANK(D452,$D$4:$D$725,1)/COUNT($D$4:$D$725),RANK(E452,$E$4:$E$725,1)/COUNT($E$4:$E$725),RANK(F452,$F$4:$F$725,1)/COUNT($F$4:$F$725))</f>
        <v>0.74653739612188363</v>
      </c>
      <c r="P452" s="22">
        <f t="shared" ref="P452:P515" si="92">N452-O452</f>
        <v>0.13157894736842113</v>
      </c>
      <c r="Q452" t="str">
        <f t="shared" ref="Q452:Q515" si="93">IF(AND(N452&gt;=0.7,P452&gt;=0.4),"High ESG / weak pillar (analytical flag - not an ESG rating) - warrants investigation","")</f>
        <v/>
      </c>
      <c r="S452">
        <f t="shared" ref="S452:S515" si="94">M452+(10000-ROW())/10000000</f>
        <v>245.00095479999999</v>
      </c>
      <c r="T452" s="23">
        <f t="shared" ref="T452:T515" si="95">P452+(10000-ROW())/10000000</f>
        <v>0.13253374736842113</v>
      </c>
    </row>
    <row r="453" spans="1:20" ht="15" customHeight="1" x14ac:dyDescent="0.35">
      <c r="A453" t="str">
        <f>Benchmarking!A453</f>
        <v>Catalent Inc</v>
      </c>
      <c r="B453" t="str">
        <f>Benchmarking!B453</f>
        <v>ctlt</v>
      </c>
      <c r="C453" t="str">
        <f>Benchmarking!C453</f>
        <v>Pharmaceuticals</v>
      </c>
      <c r="D453" s="17">
        <f>Benchmarking!D453</f>
        <v>483</v>
      </c>
      <c r="E453" s="17">
        <f>Benchmarking!E453</f>
        <v>303</v>
      </c>
      <c r="F453" s="17">
        <f>Benchmarking!F453</f>
        <v>305</v>
      </c>
      <c r="G453" s="17">
        <f>Benchmarking!G453</f>
        <v>1091</v>
      </c>
      <c r="H453" t="str">
        <f t="shared" si="84"/>
        <v>Environmental</v>
      </c>
      <c r="I453" t="str">
        <f t="shared" si="85"/>
        <v>Social</v>
      </c>
      <c r="J453" s="19">
        <f t="shared" si="86"/>
        <v>180</v>
      </c>
      <c r="K453" s="19">
        <f t="shared" si="87"/>
        <v>-2</v>
      </c>
      <c r="L453" s="19">
        <f t="shared" si="88"/>
        <v>178</v>
      </c>
      <c r="M453" s="17">
        <f t="shared" si="89"/>
        <v>180</v>
      </c>
      <c r="N453" s="22">
        <f t="shared" si="90"/>
        <v>0.55955678670360109</v>
      </c>
      <c r="O453" s="22">
        <f t="shared" si="91"/>
        <v>0.5</v>
      </c>
      <c r="P453" s="22">
        <f t="shared" si="92"/>
        <v>5.9556786703601095E-2</v>
      </c>
      <c r="Q453" t="str">
        <f t="shared" si="93"/>
        <v/>
      </c>
      <c r="S453">
        <f t="shared" si="94"/>
        <v>180.00095469999999</v>
      </c>
      <c r="T453" s="23">
        <f t="shared" si="95"/>
        <v>6.0511486703601097E-2</v>
      </c>
    </row>
    <row r="454" spans="1:20" ht="15" customHeight="1" x14ac:dyDescent="0.35">
      <c r="A454" t="str">
        <f>Benchmarking!A454</f>
        <v>Campbell Soup Co</v>
      </c>
      <c r="B454" t="str">
        <f>Benchmarking!B454</f>
        <v>cpb</v>
      </c>
      <c r="C454" t="str">
        <f>Benchmarking!C454</f>
        <v>Food Products</v>
      </c>
      <c r="D454" s="17">
        <f>Benchmarking!D454</f>
        <v>515</v>
      </c>
      <c r="E454" s="17">
        <f>Benchmarking!E454</f>
        <v>301</v>
      </c>
      <c r="F454" s="17">
        <f>Benchmarking!F454</f>
        <v>305</v>
      </c>
      <c r="G454" s="17">
        <f>Benchmarking!G454</f>
        <v>1121</v>
      </c>
      <c r="H454" t="str">
        <f t="shared" si="84"/>
        <v>Environmental</v>
      </c>
      <c r="I454" t="str">
        <f t="shared" si="85"/>
        <v>Social</v>
      </c>
      <c r="J454" s="19">
        <f t="shared" si="86"/>
        <v>214</v>
      </c>
      <c r="K454" s="19">
        <f t="shared" si="87"/>
        <v>-4</v>
      </c>
      <c r="L454" s="19">
        <f t="shared" si="88"/>
        <v>210</v>
      </c>
      <c r="M454" s="17">
        <f t="shared" si="89"/>
        <v>214</v>
      </c>
      <c r="N454" s="22">
        <f t="shared" si="90"/>
        <v>0.66897506925207761</v>
      </c>
      <c r="O454" s="22">
        <f t="shared" si="91"/>
        <v>0.47506925207756234</v>
      </c>
      <c r="P454" s="22">
        <f t="shared" si="92"/>
        <v>0.19390581717451527</v>
      </c>
      <c r="Q454" t="str">
        <f t="shared" si="93"/>
        <v/>
      </c>
      <c r="S454">
        <f t="shared" si="94"/>
        <v>214.0009546</v>
      </c>
      <c r="T454" s="23">
        <f t="shared" si="95"/>
        <v>0.19486041717451527</v>
      </c>
    </row>
    <row r="455" spans="1:20" ht="15" customHeight="1" x14ac:dyDescent="0.35">
      <c r="A455" t="str">
        <f>Benchmarking!A455</f>
        <v>Charles River Laboratories International Inc</v>
      </c>
      <c r="B455" t="str">
        <f>Benchmarking!B455</f>
        <v>crl</v>
      </c>
      <c r="C455" t="str">
        <f>Benchmarking!C455</f>
        <v>Life Sciences Tools &amp; Services</v>
      </c>
      <c r="D455" s="17">
        <f>Benchmarking!D455</f>
        <v>510</v>
      </c>
      <c r="E455" s="17">
        <f>Benchmarking!E455</f>
        <v>322</v>
      </c>
      <c r="F455" s="17">
        <f>Benchmarking!F455</f>
        <v>235</v>
      </c>
      <c r="G455" s="17">
        <f>Benchmarking!G455</f>
        <v>1067</v>
      </c>
      <c r="H455" t="str">
        <f t="shared" si="84"/>
        <v>Environmental</v>
      </c>
      <c r="I455" t="str">
        <f t="shared" si="85"/>
        <v>Governance</v>
      </c>
      <c r="J455" s="19">
        <f t="shared" si="86"/>
        <v>188</v>
      </c>
      <c r="K455" s="19">
        <f t="shared" si="87"/>
        <v>87</v>
      </c>
      <c r="L455" s="19">
        <f t="shared" si="88"/>
        <v>275</v>
      </c>
      <c r="M455" s="17">
        <f t="shared" si="89"/>
        <v>275</v>
      </c>
      <c r="N455" s="22">
        <f t="shared" si="90"/>
        <v>0.52493074792243766</v>
      </c>
      <c r="O455" s="22">
        <f t="shared" si="91"/>
        <v>0.24653739612188366</v>
      </c>
      <c r="P455" s="22">
        <f t="shared" si="92"/>
        <v>0.27839335180055402</v>
      </c>
      <c r="Q455" t="str">
        <f t="shared" si="93"/>
        <v/>
      </c>
      <c r="S455">
        <f t="shared" si="94"/>
        <v>275.00095449999998</v>
      </c>
      <c r="T455" s="23">
        <f t="shared" si="95"/>
        <v>0.27934785180055405</v>
      </c>
    </row>
    <row r="456" spans="1:20" ht="15" customHeight="1" x14ac:dyDescent="0.35">
      <c r="A456" t="str">
        <f>Benchmarking!A456</f>
        <v>Conocophillips</v>
      </c>
      <c r="B456" t="str">
        <f>Benchmarking!B456</f>
        <v>cop</v>
      </c>
      <c r="C456" t="str">
        <f>Benchmarking!C456</f>
        <v>Energy</v>
      </c>
      <c r="D456" s="17">
        <f>Benchmarking!D456</f>
        <v>687</v>
      </c>
      <c r="E456" s="17">
        <f>Benchmarking!E456</f>
        <v>544</v>
      </c>
      <c r="F456" s="17">
        <f>Benchmarking!F456</f>
        <v>305</v>
      </c>
      <c r="G456" s="17">
        <f>Benchmarking!G456</f>
        <v>1536</v>
      </c>
      <c r="H456" t="str">
        <f t="shared" si="84"/>
        <v>Environmental</v>
      </c>
      <c r="I456" t="str">
        <f t="shared" si="85"/>
        <v>Governance</v>
      </c>
      <c r="J456" s="19">
        <f t="shared" si="86"/>
        <v>143</v>
      </c>
      <c r="K456" s="19">
        <f t="shared" si="87"/>
        <v>239</v>
      </c>
      <c r="L456" s="19">
        <f t="shared" si="88"/>
        <v>382</v>
      </c>
      <c r="M456" s="17">
        <f t="shared" si="89"/>
        <v>382</v>
      </c>
      <c r="N456" s="22">
        <f t="shared" si="90"/>
        <v>1</v>
      </c>
      <c r="O456" s="22">
        <f t="shared" si="91"/>
        <v>0.63296398891966754</v>
      </c>
      <c r="P456" s="22">
        <f t="shared" si="92"/>
        <v>0.36703601108033246</v>
      </c>
      <c r="Q456" t="str">
        <f t="shared" si="93"/>
        <v/>
      </c>
      <c r="S456">
        <f t="shared" si="94"/>
        <v>382.00095440000001</v>
      </c>
      <c r="T456" s="23">
        <f t="shared" si="95"/>
        <v>0.36799041108033248</v>
      </c>
    </row>
    <row r="457" spans="1:20" ht="15" customHeight="1" x14ac:dyDescent="0.35">
      <c r="A457" t="str">
        <f>Benchmarking!A457</f>
        <v>Cooper Companies Inc</v>
      </c>
      <c r="B457" t="str">
        <f>Benchmarking!B457</f>
        <v>coo</v>
      </c>
      <c r="C457" t="str">
        <f>Benchmarking!C457</f>
        <v>Health Care</v>
      </c>
      <c r="D457" s="17">
        <f>Benchmarking!D457</f>
        <v>500</v>
      </c>
      <c r="E457" s="17">
        <f>Benchmarking!E457</f>
        <v>300</v>
      </c>
      <c r="F457" s="17">
        <f>Benchmarking!F457</f>
        <v>300</v>
      </c>
      <c r="G457" s="17">
        <f>Benchmarking!G457</f>
        <v>1100</v>
      </c>
      <c r="H457" t="str">
        <f t="shared" si="84"/>
        <v>Environmental</v>
      </c>
      <c r="I457" t="str">
        <f t="shared" si="85"/>
        <v>Social</v>
      </c>
      <c r="J457" s="19">
        <f t="shared" si="86"/>
        <v>200</v>
      </c>
      <c r="K457" s="19">
        <f t="shared" si="87"/>
        <v>0</v>
      </c>
      <c r="L457" s="19">
        <f t="shared" si="88"/>
        <v>200</v>
      </c>
      <c r="M457" s="17">
        <f t="shared" si="89"/>
        <v>200</v>
      </c>
      <c r="N457" s="22">
        <f t="shared" si="90"/>
        <v>0.56925207756232687</v>
      </c>
      <c r="O457" s="22">
        <f t="shared" si="91"/>
        <v>0.36565096952908588</v>
      </c>
      <c r="P457" s="22">
        <f t="shared" si="92"/>
        <v>0.203601108033241</v>
      </c>
      <c r="Q457" t="str">
        <f t="shared" si="93"/>
        <v/>
      </c>
      <c r="S457">
        <f t="shared" si="94"/>
        <v>200.00095429999999</v>
      </c>
      <c r="T457" s="23">
        <f t="shared" si="95"/>
        <v>0.20455540803324099</v>
      </c>
    </row>
    <row r="458" spans="1:20" ht="15" customHeight="1" x14ac:dyDescent="0.35">
      <c r="A458" t="str">
        <f>Benchmarking!A458</f>
        <v>Capital One Financial Corp</v>
      </c>
      <c r="B458" t="str">
        <f>Benchmarking!B458</f>
        <v>cof</v>
      </c>
      <c r="C458" t="str">
        <f>Benchmarking!C458</f>
        <v>Financial Services</v>
      </c>
      <c r="D458" s="17">
        <f>Benchmarking!D458</f>
        <v>508</v>
      </c>
      <c r="E458" s="17">
        <f>Benchmarking!E458</f>
        <v>309</v>
      </c>
      <c r="F458" s="17">
        <f>Benchmarking!F458</f>
        <v>320</v>
      </c>
      <c r="G458" s="17">
        <f>Benchmarking!G458</f>
        <v>1137</v>
      </c>
      <c r="H458" t="str">
        <f t="shared" si="84"/>
        <v>Environmental</v>
      </c>
      <c r="I458" t="str">
        <f t="shared" si="85"/>
        <v>Social</v>
      </c>
      <c r="J458" s="19">
        <f t="shared" si="86"/>
        <v>199</v>
      </c>
      <c r="K458" s="19">
        <f t="shared" si="87"/>
        <v>-11</v>
      </c>
      <c r="L458" s="19">
        <f t="shared" si="88"/>
        <v>188</v>
      </c>
      <c r="M458" s="17">
        <f t="shared" si="89"/>
        <v>199</v>
      </c>
      <c r="N458" s="22">
        <f t="shared" si="90"/>
        <v>0.72022160664819945</v>
      </c>
      <c r="O458" s="22">
        <f t="shared" si="91"/>
        <v>0.62188365650969524</v>
      </c>
      <c r="P458" s="22">
        <f t="shared" si="92"/>
        <v>9.8337950138504215E-2</v>
      </c>
      <c r="Q458" t="str">
        <f t="shared" si="93"/>
        <v/>
      </c>
      <c r="S458">
        <f t="shared" si="94"/>
        <v>199.0009542</v>
      </c>
      <c r="T458" s="23">
        <f t="shared" si="95"/>
        <v>9.9292150138504218E-2</v>
      </c>
    </row>
    <row r="459" spans="1:20" ht="15" customHeight="1" x14ac:dyDescent="0.35">
      <c r="A459" t="str">
        <f>Benchmarking!A459</f>
        <v>Centene Corp</v>
      </c>
      <c r="B459" t="str">
        <f>Benchmarking!B459</f>
        <v>cnc</v>
      </c>
      <c r="C459" t="str">
        <f>Benchmarking!C459</f>
        <v>Health Care</v>
      </c>
      <c r="D459" s="17">
        <f>Benchmarking!D459</f>
        <v>548</v>
      </c>
      <c r="E459" s="17">
        <f>Benchmarking!E459</f>
        <v>355</v>
      </c>
      <c r="F459" s="17">
        <f>Benchmarking!F459</f>
        <v>315</v>
      </c>
      <c r="G459" s="17">
        <f>Benchmarking!G459</f>
        <v>1218</v>
      </c>
      <c r="H459" t="str">
        <f t="shared" si="84"/>
        <v>Environmental</v>
      </c>
      <c r="I459" t="str">
        <f t="shared" si="85"/>
        <v>Governance</v>
      </c>
      <c r="J459" s="19">
        <f t="shared" si="86"/>
        <v>193</v>
      </c>
      <c r="K459" s="19">
        <f t="shared" si="87"/>
        <v>40</v>
      </c>
      <c r="L459" s="19">
        <f t="shared" si="88"/>
        <v>233</v>
      </c>
      <c r="M459" s="17">
        <f t="shared" si="89"/>
        <v>233</v>
      </c>
      <c r="N459" s="22">
        <f t="shared" si="90"/>
        <v>0.90720221606648199</v>
      </c>
      <c r="O459" s="22">
        <f t="shared" si="91"/>
        <v>0.82548476454293629</v>
      </c>
      <c r="P459" s="22">
        <f t="shared" si="92"/>
        <v>8.1717451523545703E-2</v>
      </c>
      <c r="Q459" t="str">
        <f t="shared" si="93"/>
        <v/>
      </c>
      <c r="S459">
        <f t="shared" si="94"/>
        <v>233.0009541</v>
      </c>
      <c r="T459" s="23">
        <f t="shared" si="95"/>
        <v>8.2671551523545703E-2</v>
      </c>
    </row>
    <row r="460" spans="1:20" ht="15" customHeight="1" x14ac:dyDescent="0.35">
      <c r="A460" t="str">
        <f>Benchmarking!A460</f>
        <v>CenterPoint Energy Inc</v>
      </c>
      <c r="B460" t="str">
        <f>Benchmarking!B460</f>
        <v>cnp</v>
      </c>
      <c r="C460" t="str">
        <f>Benchmarking!C460</f>
        <v>Utilities</v>
      </c>
      <c r="D460" s="17">
        <f>Benchmarking!D460</f>
        <v>550</v>
      </c>
      <c r="E460" s="17">
        <f>Benchmarking!E460</f>
        <v>320</v>
      </c>
      <c r="F460" s="17">
        <f>Benchmarking!F460</f>
        <v>260</v>
      </c>
      <c r="G460" s="17">
        <f>Benchmarking!G460</f>
        <v>1130</v>
      </c>
      <c r="H460" t="str">
        <f t="shared" si="84"/>
        <v>Environmental</v>
      </c>
      <c r="I460" t="str">
        <f t="shared" si="85"/>
        <v>Governance</v>
      </c>
      <c r="J460" s="19">
        <f t="shared" si="86"/>
        <v>230</v>
      </c>
      <c r="K460" s="19">
        <f t="shared" si="87"/>
        <v>60</v>
      </c>
      <c r="L460" s="19">
        <f t="shared" si="88"/>
        <v>290</v>
      </c>
      <c r="M460" s="17">
        <f t="shared" si="89"/>
        <v>290</v>
      </c>
      <c r="N460" s="22">
        <f t="shared" si="90"/>
        <v>0.69667590027700832</v>
      </c>
      <c r="O460" s="22">
        <f t="shared" si="91"/>
        <v>0.32409972299168976</v>
      </c>
      <c r="P460" s="22">
        <f t="shared" si="92"/>
        <v>0.37257617728531855</v>
      </c>
      <c r="Q460" t="str">
        <f t="shared" si="93"/>
        <v/>
      </c>
      <c r="S460">
        <f t="shared" si="94"/>
        <v>290.00095399999998</v>
      </c>
      <c r="T460" s="23">
        <f t="shared" si="95"/>
        <v>0.37353017728531857</v>
      </c>
    </row>
    <row r="461" spans="1:20" ht="15" customHeight="1" x14ac:dyDescent="0.35">
      <c r="A461" t="str">
        <f>Benchmarking!A461</f>
        <v>CMS Energy Corp</v>
      </c>
      <c r="B461" t="str">
        <f>Benchmarking!B461</f>
        <v>cms</v>
      </c>
      <c r="C461" t="str">
        <f>Benchmarking!C461</f>
        <v>Utilities</v>
      </c>
      <c r="D461" s="17">
        <f>Benchmarking!D461</f>
        <v>450</v>
      </c>
      <c r="E461" s="17">
        <f>Benchmarking!E461</f>
        <v>667</v>
      </c>
      <c r="F461" s="17">
        <f>Benchmarking!F461</f>
        <v>75</v>
      </c>
      <c r="G461" s="17">
        <f>Benchmarking!G461</f>
        <v>1192</v>
      </c>
      <c r="H461" t="str">
        <f t="shared" si="84"/>
        <v>Social</v>
      </c>
      <c r="I461" t="str">
        <f t="shared" si="85"/>
        <v>Governance</v>
      </c>
      <c r="J461" s="19">
        <f t="shared" si="86"/>
        <v>-217</v>
      </c>
      <c r="K461" s="19">
        <f t="shared" si="87"/>
        <v>592</v>
      </c>
      <c r="L461" s="19">
        <f t="shared" si="88"/>
        <v>375</v>
      </c>
      <c r="M461" s="17">
        <f t="shared" si="89"/>
        <v>592</v>
      </c>
      <c r="N461" s="22">
        <f t="shared" si="90"/>
        <v>0.8753462603878116</v>
      </c>
      <c r="O461" s="22">
        <f t="shared" si="91"/>
        <v>1.3850415512465374E-3</v>
      </c>
      <c r="P461" s="22">
        <f t="shared" si="92"/>
        <v>0.87396121883656508</v>
      </c>
      <c r="Q461" t="str">
        <f t="shared" si="93"/>
        <v>High ESG / weak pillar (analytical flag - not an ESG rating) - warrants investigation</v>
      </c>
      <c r="S461">
        <f t="shared" si="94"/>
        <v>592.00095390000001</v>
      </c>
      <c r="T461" s="23">
        <f t="shared" si="95"/>
        <v>0.87491511883656503</v>
      </c>
    </row>
    <row r="462" spans="1:20" ht="15" customHeight="1" x14ac:dyDescent="0.35">
      <c r="A462" t="str">
        <f>Benchmarking!A462</f>
        <v>Cummins Inc</v>
      </c>
      <c r="B462" t="str">
        <f>Benchmarking!B462</f>
        <v>cmi</v>
      </c>
      <c r="C462" t="str">
        <f>Benchmarking!C462</f>
        <v>Machinery</v>
      </c>
      <c r="D462" s="17">
        <f>Benchmarking!D462</f>
        <v>510</v>
      </c>
      <c r="E462" s="17">
        <f>Benchmarking!E462</f>
        <v>320</v>
      </c>
      <c r="F462" s="17">
        <f>Benchmarking!F462</f>
        <v>300</v>
      </c>
      <c r="G462" s="17">
        <f>Benchmarking!G462</f>
        <v>1130</v>
      </c>
      <c r="H462" t="str">
        <f t="shared" si="84"/>
        <v>Environmental</v>
      </c>
      <c r="I462" t="str">
        <f t="shared" si="85"/>
        <v>Governance</v>
      </c>
      <c r="J462" s="19">
        <f t="shared" si="86"/>
        <v>190</v>
      </c>
      <c r="K462" s="19">
        <f t="shared" si="87"/>
        <v>20</v>
      </c>
      <c r="L462" s="19">
        <f t="shared" si="88"/>
        <v>210</v>
      </c>
      <c r="M462" s="17">
        <f t="shared" si="89"/>
        <v>210</v>
      </c>
      <c r="N462" s="22">
        <f t="shared" si="90"/>
        <v>0.69667590027700832</v>
      </c>
      <c r="O462" s="22">
        <f t="shared" si="91"/>
        <v>0.39335180055401664</v>
      </c>
      <c r="P462" s="22">
        <f t="shared" si="92"/>
        <v>0.30332409972299168</v>
      </c>
      <c r="Q462" t="str">
        <f t="shared" si="93"/>
        <v/>
      </c>
      <c r="S462">
        <f t="shared" si="94"/>
        <v>210.00095379999999</v>
      </c>
      <c r="T462" s="23">
        <f t="shared" si="95"/>
        <v>0.30427789972299168</v>
      </c>
    </row>
    <row r="463" spans="1:20" ht="15" customHeight="1" x14ac:dyDescent="0.35">
      <c r="A463" t="str">
        <f>Benchmarking!A463</f>
        <v>Colgate-Palmolive Co</v>
      </c>
      <c r="B463" t="str">
        <f>Benchmarking!B463</f>
        <v>cl</v>
      </c>
      <c r="C463" t="str">
        <f>Benchmarking!C463</f>
        <v>Consumer products</v>
      </c>
      <c r="D463" s="17">
        <f>Benchmarking!D463</f>
        <v>520</v>
      </c>
      <c r="E463" s="17">
        <f>Benchmarking!E463</f>
        <v>310</v>
      </c>
      <c r="F463" s="17">
        <f>Benchmarking!F463</f>
        <v>310</v>
      </c>
      <c r="G463" s="17">
        <f>Benchmarking!G463</f>
        <v>1140</v>
      </c>
      <c r="H463" t="str">
        <f t="shared" si="84"/>
        <v>Environmental</v>
      </c>
      <c r="I463" t="str">
        <f t="shared" si="85"/>
        <v>Social</v>
      </c>
      <c r="J463" s="19">
        <f t="shared" si="86"/>
        <v>210</v>
      </c>
      <c r="K463" s="19">
        <f t="shared" si="87"/>
        <v>0</v>
      </c>
      <c r="L463" s="19">
        <f t="shared" si="88"/>
        <v>210</v>
      </c>
      <c r="M463" s="17">
        <f t="shared" si="89"/>
        <v>210</v>
      </c>
      <c r="N463" s="22">
        <f t="shared" si="90"/>
        <v>0.73268698060941828</v>
      </c>
      <c r="O463" s="22">
        <f t="shared" si="91"/>
        <v>0.62742382271468145</v>
      </c>
      <c r="P463" s="22">
        <f t="shared" si="92"/>
        <v>0.10526315789473684</v>
      </c>
      <c r="Q463" t="str">
        <f t="shared" si="93"/>
        <v/>
      </c>
      <c r="S463">
        <f t="shared" si="94"/>
        <v>210.0009537</v>
      </c>
      <c r="T463" s="23">
        <f t="shared" si="95"/>
        <v>0.10621685789473684</v>
      </c>
    </row>
    <row r="464" spans="1:20" ht="15" customHeight="1" x14ac:dyDescent="0.35">
      <c r="A464" t="str">
        <f>Benchmarking!A464</f>
        <v>3M Co</v>
      </c>
      <c r="B464" t="str">
        <f>Benchmarking!B464</f>
        <v>mmm</v>
      </c>
      <c r="C464" t="str">
        <f>Benchmarking!C464</f>
        <v>Industrial Conglomerates</v>
      </c>
      <c r="D464" s="17">
        <f>Benchmarking!D464</f>
        <v>526</v>
      </c>
      <c r="E464" s="17">
        <f>Benchmarking!E464</f>
        <v>310</v>
      </c>
      <c r="F464" s="17">
        <f>Benchmarking!F464</f>
        <v>305</v>
      </c>
      <c r="G464" s="17">
        <f>Benchmarking!G464</f>
        <v>1141</v>
      </c>
      <c r="H464" t="str">
        <f t="shared" si="84"/>
        <v>Environmental</v>
      </c>
      <c r="I464" t="str">
        <f t="shared" si="85"/>
        <v>Governance</v>
      </c>
      <c r="J464" s="19">
        <f t="shared" si="86"/>
        <v>216</v>
      </c>
      <c r="K464" s="19">
        <f t="shared" si="87"/>
        <v>5</v>
      </c>
      <c r="L464" s="19">
        <f t="shared" si="88"/>
        <v>221</v>
      </c>
      <c r="M464" s="17">
        <f t="shared" si="89"/>
        <v>221</v>
      </c>
      <c r="N464" s="22">
        <f t="shared" si="90"/>
        <v>0.74099722991689754</v>
      </c>
      <c r="O464" s="22">
        <f t="shared" si="91"/>
        <v>0.62742382271468145</v>
      </c>
      <c r="P464" s="22">
        <f t="shared" si="92"/>
        <v>0.11357340720221609</v>
      </c>
      <c r="Q464" t="str">
        <f t="shared" si="93"/>
        <v/>
      </c>
      <c r="S464">
        <f t="shared" si="94"/>
        <v>221.0009536</v>
      </c>
      <c r="T464" s="23">
        <f t="shared" si="95"/>
        <v>0.11452700720221609</v>
      </c>
    </row>
    <row r="465" spans="1:20" ht="15" customHeight="1" x14ac:dyDescent="0.35">
      <c r="A465" t="str">
        <f>Benchmarking!A465</f>
        <v>Citizens Financial Group Inc</v>
      </c>
      <c r="B465" t="str">
        <f>Benchmarking!B465</f>
        <v>cfg</v>
      </c>
      <c r="C465" t="str">
        <f>Benchmarking!C465</f>
        <v>Banking</v>
      </c>
      <c r="D465" s="17">
        <f>Benchmarking!D465</f>
        <v>230</v>
      </c>
      <c r="E465" s="17">
        <f>Benchmarking!E465</f>
        <v>215</v>
      </c>
      <c r="F465" s="17">
        <f>Benchmarking!F465</f>
        <v>205</v>
      </c>
      <c r="G465" s="17">
        <f>Benchmarking!G465</f>
        <v>650</v>
      </c>
      <c r="H465" t="str">
        <f t="shared" si="84"/>
        <v>Environmental</v>
      </c>
      <c r="I465" t="str">
        <f t="shared" si="85"/>
        <v>Governance</v>
      </c>
      <c r="J465" s="19">
        <f t="shared" si="86"/>
        <v>15</v>
      </c>
      <c r="K465" s="19">
        <f t="shared" si="87"/>
        <v>10</v>
      </c>
      <c r="L465" s="19">
        <f t="shared" si="88"/>
        <v>25</v>
      </c>
      <c r="M465" s="17">
        <f t="shared" si="89"/>
        <v>25</v>
      </c>
      <c r="N465" s="22">
        <f t="shared" si="90"/>
        <v>9.2797783933518008E-2</v>
      </c>
      <c r="O465" s="22">
        <f t="shared" si="91"/>
        <v>8.3102493074792241E-2</v>
      </c>
      <c r="P465" s="22">
        <f t="shared" si="92"/>
        <v>9.6952908587257663E-3</v>
      </c>
      <c r="Q465" t="str">
        <f t="shared" si="93"/>
        <v/>
      </c>
      <c r="S465">
        <f t="shared" si="94"/>
        <v>25.000953500000001</v>
      </c>
      <c r="T465" s="23">
        <f t="shared" si="95"/>
        <v>1.0648790858725766E-2</v>
      </c>
    </row>
    <row r="466" spans="1:20" ht="15" customHeight="1" x14ac:dyDescent="0.35">
      <c r="A466" t="str">
        <f>Benchmarking!A466</f>
        <v>Conagra Brands Inc</v>
      </c>
      <c r="B466" t="str">
        <f>Benchmarking!B466</f>
        <v>cag</v>
      </c>
      <c r="C466" t="str">
        <f>Benchmarking!C466</f>
        <v>Food Products</v>
      </c>
      <c r="D466" s="17">
        <f>Benchmarking!D466</f>
        <v>525</v>
      </c>
      <c r="E466" s="17">
        <f>Benchmarking!E466</f>
        <v>306</v>
      </c>
      <c r="F466" s="17">
        <f>Benchmarking!F466</f>
        <v>300</v>
      </c>
      <c r="G466" s="17">
        <f>Benchmarking!G466</f>
        <v>1131</v>
      </c>
      <c r="H466" t="str">
        <f t="shared" si="84"/>
        <v>Environmental</v>
      </c>
      <c r="I466" t="str">
        <f t="shared" si="85"/>
        <v>Governance</v>
      </c>
      <c r="J466" s="19">
        <f t="shared" si="86"/>
        <v>219</v>
      </c>
      <c r="K466" s="19">
        <f t="shared" si="87"/>
        <v>6</v>
      </c>
      <c r="L466" s="19">
        <f t="shared" si="88"/>
        <v>225</v>
      </c>
      <c r="M466" s="17">
        <f t="shared" si="89"/>
        <v>225</v>
      </c>
      <c r="N466" s="22">
        <f t="shared" si="90"/>
        <v>0.70360110803324105</v>
      </c>
      <c r="O466" s="22">
        <f t="shared" si="91"/>
        <v>0.39335180055401664</v>
      </c>
      <c r="P466" s="22">
        <f t="shared" si="92"/>
        <v>0.31024930747922441</v>
      </c>
      <c r="Q466" t="str">
        <f t="shared" si="93"/>
        <v/>
      </c>
      <c r="S466">
        <f t="shared" si="94"/>
        <v>225.00095339999999</v>
      </c>
      <c r="T466" s="23">
        <f t="shared" si="95"/>
        <v>0.31120270747922441</v>
      </c>
    </row>
    <row r="467" spans="1:20" ht="15" customHeight="1" x14ac:dyDescent="0.35">
      <c r="A467" t="str">
        <f>Benchmarking!A467</f>
        <v>Cigna Corp</v>
      </c>
      <c r="B467" t="str">
        <f>Benchmarking!B467</f>
        <v>ci</v>
      </c>
      <c r="C467" t="str">
        <f>Benchmarking!C467</f>
        <v>Health Care</v>
      </c>
      <c r="D467" s="17">
        <f>Benchmarking!D467</f>
        <v>508</v>
      </c>
      <c r="E467" s="17">
        <f>Benchmarking!E467</f>
        <v>328</v>
      </c>
      <c r="F467" s="17">
        <f>Benchmarking!F467</f>
        <v>310</v>
      </c>
      <c r="G467" s="17">
        <f>Benchmarking!G467</f>
        <v>1146</v>
      </c>
      <c r="H467" t="str">
        <f t="shared" si="84"/>
        <v>Environmental</v>
      </c>
      <c r="I467" t="str">
        <f t="shared" si="85"/>
        <v>Governance</v>
      </c>
      <c r="J467" s="19">
        <f t="shared" si="86"/>
        <v>180</v>
      </c>
      <c r="K467" s="19">
        <f t="shared" si="87"/>
        <v>18</v>
      </c>
      <c r="L467" s="19">
        <f t="shared" si="88"/>
        <v>198</v>
      </c>
      <c r="M467" s="17">
        <f t="shared" si="89"/>
        <v>198</v>
      </c>
      <c r="N467" s="22">
        <f t="shared" si="90"/>
        <v>0.75623268698060941</v>
      </c>
      <c r="O467" s="22">
        <f t="shared" si="91"/>
        <v>0.65927977839335183</v>
      </c>
      <c r="P467" s="22">
        <f t="shared" si="92"/>
        <v>9.695290858725758E-2</v>
      </c>
      <c r="Q467" t="str">
        <f t="shared" si="93"/>
        <v/>
      </c>
      <c r="S467">
        <f t="shared" si="94"/>
        <v>198.00095329999999</v>
      </c>
      <c r="T467" s="23">
        <f t="shared" si="95"/>
        <v>9.7906208587257584E-2</v>
      </c>
    </row>
    <row r="468" spans="1:20" ht="15" customHeight="1" x14ac:dyDescent="0.35">
      <c r="A468" t="str">
        <f>Benchmarking!A468</f>
        <v>Cardinal Health Inc</v>
      </c>
      <c r="B468" t="str">
        <f>Benchmarking!B468</f>
        <v>cah</v>
      </c>
      <c r="C468" t="str">
        <f>Benchmarking!C468</f>
        <v>Health Care</v>
      </c>
      <c r="D468" s="17">
        <f>Benchmarking!D468</f>
        <v>505</v>
      </c>
      <c r="E468" s="17">
        <f>Benchmarking!E468</f>
        <v>300</v>
      </c>
      <c r="F468" s="17">
        <f>Benchmarking!F468</f>
        <v>315</v>
      </c>
      <c r="G468" s="17">
        <f>Benchmarking!G468</f>
        <v>1120</v>
      </c>
      <c r="H468" t="str">
        <f t="shared" si="84"/>
        <v>Environmental</v>
      </c>
      <c r="I468" t="str">
        <f t="shared" si="85"/>
        <v>Social</v>
      </c>
      <c r="J468" s="19">
        <f t="shared" si="86"/>
        <v>205</v>
      </c>
      <c r="K468" s="19">
        <f t="shared" si="87"/>
        <v>-15</v>
      </c>
      <c r="L468" s="19">
        <f t="shared" si="88"/>
        <v>190</v>
      </c>
      <c r="M468" s="17">
        <f t="shared" si="89"/>
        <v>205</v>
      </c>
      <c r="N468" s="22">
        <f t="shared" si="90"/>
        <v>0.66204986149584488</v>
      </c>
      <c r="O468" s="22">
        <f t="shared" si="91"/>
        <v>0.36565096952908588</v>
      </c>
      <c r="P468" s="22">
        <f t="shared" si="92"/>
        <v>0.296398891966759</v>
      </c>
      <c r="Q468" t="str">
        <f t="shared" si="93"/>
        <v/>
      </c>
      <c r="S468">
        <f t="shared" si="94"/>
        <v>205.0009532</v>
      </c>
      <c r="T468" s="23">
        <f t="shared" si="95"/>
        <v>0.29735209196675899</v>
      </c>
    </row>
    <row r="469" spans="1:20" ht="15" customHeight="1" x14ac:dyDescent="0.35">
      <c r="A469" t="str">
        <f>Benchmarking!A469</f>
        <v>Mastercard Inc</v>
      </c>
      <c r="B469" t="str">
        <f>Benchmarking!B469</f>
        <v>ma</v>
      </c>
      <c r="C469" t="str">
        <f>Benchmarking!C469</f>
        <v>Technology</v>
      </c>
      <c r="D469" s="17">
        <f>Benchmarking!D469</f>
        <v>210</v>
      </c>
      <c r="E469" s="17">
        <f>Benchmarking!E469</f>
        <v>230</v>
      </c>
      <c r="F469" s="17">
        <f>Benchmarking!F469</f>
        <v>215</v>
      </c>
      <c r="G469" s="17">
        <f>Benchmarking!G469</f>
        <v>655</v>
      </c>
      <c r="H469" t="str">
        <f t="shared" si="84"/>
        <v>Social</v>
      </c>
      <c r="I469" t="str">
        <f t="shared" si="85"/>
        <v>Environmental</v>
      </c>
      <c r="J469" s="19">
        <f t="shared" si="86"/>
        <v>-20</v>
      </c>
      <c r="K469" s="19">
        <f t="shared" si="87"/>
        <v>15</v>
      </c>
      <c r="L469" s="19">
        <f t="shared" si="88"/>
        <v>-5</v>
      </c>
      <c r="M469" s="17">
        <f t="shared" si="89"/>
        <v>20</v>
      </c>
      <c r="N469" s="22">
        <f t="shared" si="90"/>
        <v>0.10526315789473684</v>
      </c>
      <c r="O469" s="22">
        <f t="shared" si="91"/>
        <v>9.141274238227147E-2</v>
      </c>
      <c r="P469" s="22">
        <f t="shared" si="92"/>
        <v>1.3850415512465367E-2</v>
      </c>
      <c r="Q469" t="str">
        <f t="shared" si="93"/>
        <v/>
      </c>
      <c r="S469">
        <f t="shared" si="94"/>
        <v>20.0009531</v>
      </c>
      <c r="T469" s="23">
        <f t="shared" si="95"/>
        <v>1.4803515512465367E-2</v>
      </c>
    </row>
    <row r="470" spans="1:20" ht="15" customHeight="1" x14ac:dyDescent="0.35">
      <c r="A470" t="str">
        <f>Benchmarking!A470</f>
        <v>Lamb Weston Holdings Inc</v>
      </c>
      <c r="B470" t="str">
        <f>Benchmarking!B470</f>
        <v>lw</v>
      </c>
      <c r="C470" t="str">
        <f>Benchmarking!C470</f>
        <v>Food Products</v>
      </c>
      <c r="D470" s="17">
        <f>Benchmarking!D470</f>
        <v>345</v>
      </c>
      <c r="E470" s="17">
        <f>Benchmarking!E470</f>
        <v>256</v>
      </c>
      <c r="F470" s="17">
        <f>Benchmarking!F470</f>
        <v>300</v>
      </c>
      <c r="G470" s="17">
        <f>Benchmarking!G470</f>
        <v>901</v>
      </c>
      <c r="H470" t="str">
        <f t="shared" si="84"/>
        <v>Environmental</v>
      </c>
      <c r="I470" t="str">
        <f t="shared" si="85"/>
        <v>Social</v>
      </c>
      <c r="J470" s="19">
        <f t="shared" si="86"/>
        <v>89</v>
      </c>
      <c r="K470" s="19">
        <f t="shared" si="87"/>
        <v>-44</v>
      </c>
      <c r="L470" s="19">
        <f t="shared" si="88"/>
        <v>45</v>
      </c>
      <c r="M470" s="17">
        <f t="shared" si="89"/>
        <v>89</v>
      </c>
      <c r="N470" s="22">
        <f t="shared" si="90"/>
        <v>0.37673130193905818</v>
      </c>
      <c r="O470" s="22">
        <f t="shared" si="91"/>
        <v>0.27562326869806092</v>
      </c>
      <c r="P470" s="22">
        <f t="shared" si="92"/>
        <v>0.10110803324099726</v>
      </c>
      <c r="Q470" t="str">
        <f t="shared" si="93"/>
        <v/>
      </c>
      <c r="S470">
        <f t="shared" si="94"/>
        <v>89.000952999999996</v>
      </c>
      <c r="T470" s="23">
        <f t="shared" si="95"/>
        <v>0.10206103324099726</v>
      </c>
    </row>
    <row r="471" spans="1:20" ht="15" customHeight="1" x14ac:dyDescent="0.35">
      <c r="A471" t="str">
        <f>Benchmarking!A471</f>
        <v>Mid-America Apartment Communities Inc</v>
      </c>
      <c r="B471" t="str">
        <f>Benchmarking!B471</f>
        <v>maa</v>
      </c>
      <c r="C471" t="str">
        <f>Benchmarking!C471</f>
        <v>Real Estate</v>
      </c>
      <c r="D471" s="17">
        <f>Benchmarking!D471</f>
        <v>315</v>
      </c>
      <c r="E471" s="17">
        <f>Benchmarking!E471</f>
        <v>261</v>
      </c>
      <c r="F471" s="17">
        <f>Benchmarking!F471</f>
        <v>210</v>
      </c>
      <c r="G471" s="17">
        <f>Benchmarking!G471</f>
        <v>786</v>
      </c>
      <c r="H471" t="str">
        <f t="shared" si="84"/>
        <v>Environmental</v>
      </c>
      <c r="I471" t="str">
        <f t="shared" si="85"/>
        <v>Governance</v>
      </c>
      <c r="J471" s="19">
        <f t="shared" si="86"/>
        <v>54</v>
      </c>
      <c r="K471" s="19">
        <f t="shared" si="87"/>
        <v>51</v>
      </c>
      <c r="L471" s="19">
        <f t="shared" si="88"/>
        <v>105</v>
      </c>
      <c r="M471" s="17">
        <f t="shared" si="89"/>
        <v>105</v>
      </c>
      <c r="N471" s="22">
        <f t="shared" si="90"/>
        <v>0.27839335180055402</v>
      </c>
      <c r="O471" s="22">
        <f t="shared" si="91"/>
        <v>0.12049861495844875</v>
      </c>
      <c r="P471" s="22">
        <f t="shared" si="92"/>
        <v>0.15789473684210525</v>
      </c>
      <c r="Q471" t="str">
        <f t="shared" si="93"/>
        <v/>
      </c>
      <c r="S471">
        <f t="shared" si="94"/>
        <v>105.0009529</v>
      </c>
      <c r="T471" s="23">
        <f t="shared" si="95"/>
        <v>0.15884763684210526</v>
      </c>
    </row>
    <row r="472" spans="1:20" ht="15" customHeight="1" x14ac:dyDescent="0.35">
      <c r="A472" t="str">
        <f>Benchmarking!A472</f>
        <v>Martin Marietta Materials Inc</v>
      </c>
      <c r="B472" t="str">
        <f>Benchmarking!B472</f>
        <v>mlm</v>
      </c>
      <c r="C472" t="str">
        <f>Benchmarking!C472</f>
        <v>Construction</v>
      </c>
      <c r="D472" s="17">
        <f>Benchmarking!D472</f>
        <v>573</v>
      </c>
      <c r="E472" s="17">
        <f>Benchmarking!E472</f>
        <v>313</v>
      </c>
      <c r="F472" s="17">
        <f>Benchmarking!F472</f>
        <v>300</v>
      </c>
      <c r="G472" s="17">
        <f>Benchmarking!G472</f>
        <v>1186</v>
      </c>
      <c r="H472" t="str">
        <f t="shared" si="84"/>
        <v>Environmental</v>
      </c>
      <c r="I472" t="str">
        <f t="shared" si="85"/>
        <v>Governance</v>
      </c>
      <c r="J472" s="19">
        <f t="shared" si="86"/>
        <v>260</v>
      </c>
      <c r="K472" s="19">
        <f t="shared" si="87"/>
        <v>13</v>
      </c>
      <c r="L472" s="19">
        <f t="shared" si="88"/>
        <v>273</v>
      </c>
      <c r="M472" s="17">
        <f t="shared" si="89"/>
        <v>273</v>
      </c>
      <c r="N472" s="22">
        <f t="shared" si="90"/>
        <v>0.86565096952908582</v>
      </c>
      <c r="O472" s="22">
        <f t="shared" si="91"/>
        <v>0.39335180055401664</v>
      </c>
      <c r="P472" s="22">
        <f t="shared" si="92"/>
        <v>0.47229916897506918</v>
      </c>
      <c r="Q472" t="str">
        <f t="shared" si="93"/>
        <v>High ESG / weak pillar (analytical flag - not an ESG rating) - warrants investigation</v>
      </c>
      <c r="S472">
        <f t="shared" si="94"/>
        <v>273.00095279999999</v>
      </c>
      <c r="T472" s="23">
        <f t="shared" si="95"/>
        <v>0.47325196897506916</v>
      </c>
    </row>
    <row r="473" spans="1:20" ht="15" customHeight="1" x14ac:dyDescent="0.35">
      <c r="A473" t="str">
        <f>Benchmarking!A473</f>
        <v>Southwest Airlines Co</v>
      </c>
      <c r="B473" t="str">
        <f>Benchmarking!B473</f>
        <v>luv</v>
      </c>
      <c r="C473" t="str">
        <f>Benchmarking!C473</f>
        <v>Airlines</v>
      </c>
      <c r="D473" s="17">
        <f>Benchmarking!D473</f>
        <v>295</v>
      </c>
      <c r="E473" s="17">
        <f>Benchmarking!E473</f>
        <v>314</v>
      </c>
      <c r="F473" s="17">
        <f>Benchmarking!F473</f>
        <v>218</v>
      </c>
      <c r="G473" s="17">
        <f>Benchmarking!G473</f>
        <v>827</v>
      </c>
      <c r="H473" t="str">
        <f t="shared" si="84"/>
        <v>Social</v>
      </c>
      <c r="I473" t="str">
        <f t="shared" si="85"/>
        <v>Governance</v>
      </c>
      <c r="J473" s="19">
        <f t="shared" si="86"/>
        <v>-19</v>
      </c>
      <c r="K473" s="19">
        <f t="shared" si="87"/>
        <v>96</v>
      </c>
      <c r="L473" s="19">
        <f t="shared" si="88"/>
        <v>77</v>
      </c>
      <c r="M473" s="17">
        <f t="shared" si="89"/>
        <v>96</v>
      </c>
      <c r="N473" s="22">
        <f t="shared" si="90"/>
        <v>0.31855955678670361</v>
      </c>
      <c r="O473" s="22">
        <f t="shared" si="91"/>
        <v>0.18559556786703602</v>
      </c>
      <c r="P473" s="22">
        <f t="shared" si="92"/>
        <v>0.1329639889196676</v>
      </c>
      <c r="Q473" t="str">
        <f t="shared" si="93"/>
        <v/>
      </c>
      <c r="S473">
        <f t="shared" si="94"/>
        <v>96.000952699999999</v>
      </c>
      <c r="T473" s="23">
        <f t="shared" si="95"/>
        <v>0.1339166889196676</v>
      </c>
    </row>
    <row r="474" spans="1:20" ht="15" customHeight="1" x14ac:dyDescent="0.35">
      <c r="A474" t="str">
        <f>Benchmarking!A474</f>
        <v>Lincoln National Corp</v>
      </c>
      <c r="B474" t="str">
        <f>Benchmarking!B474</f>
        <v>lnc</v>
      </c>
      <c r="C474" t="str">
        <f>Benchmarking!C474</f>
        <v>Insurance</v>
      </c>
      <c r="D474" s="17">
        <f>Benchmarking!D474</f>
        <v>700</v>
      </c>
      <c r="E474" s="17">
        <f>Benchmarking!E474</f>
        <v>300</v>
      </c>
      <c r="F474" s="17">
        <f>Benchmarking!F474</f>
        <v>300</v>
      </c>
      <c r="G474" s="17">
        <f>Benchmarking!G474</f>
        <v>1300</v>
      </c>
      <c r="H474" t="str">
        <f t="shared" si="84"/>
        <v>Environmental</v>
      </c>
      <c r="I474" t="str">
        <f t="shared" si="85"/>
        <v>Social</v>
      </c>
      <c r="J474" s="19">
        <f t="shared" si="86"/>
        <v>400</v>
      </c>
      <c r="K474" s="19">
        <f t="shared" si="87"/>
        <v>0</v>
      </c>
      <c r="L474" s="19">
        <f t="shared" si="88"/>
        <v>400</v>
      </c>
      <c r="M474" s="17">
        <f t="shared" si="89"/>
        <v>400</v>
      </c>
      <c r="N474" s="22">
        <f t="shared" si="90"/>
        <v>0.96814404432132961</v>
      </c>
      <c r="O474" s="22">
        <f t="shared" si="91"/>
        <v>0.36565096952908588</v>
      </c>
      <c r="P474" s="22">
        <f t="shared" si="92"/>
        <v>0.60249307479224368</v>
      </c>
      <c r="Q474" t="str">
        <f t="shared" si="93"/>
        <v>High ESG / weak pillar (analytical flag - not an ESG rating) - warrants investigation</v>
      </c>
      <c r="S474">
        <f t="shared" si="94"/>
        <v>400.00095260000001</v>
      </c>
      <c r="T474" s="23">
        <f t="shared" si="95"/>
        <v>0.60344567479224365</v>
      </c>
    </row>
    <row r="475" spans="1:20" ht="15" customHeight="1" x14ac:dyDescent="0.35">
      <c r="A475" t="str">
        <f>Benchmarking!A475</f>
        <v>Lennar Corp</v>
      </c>
      <c r="B475" t="str">
        <f>Benchmarking!B475</f>
        <v>len</v>
      </c>
      <c r="C475" t="str">
        <f>Benchmarking!C475</f>
        <v>Consumer products</v>
      </c>
      <c r="D475" s="17">
        <f>Benchmarking!D475</f>
        <v>363</v>
      </c>
      <c r="E475" s="17">
        <f>Benchmarking!E475</f>
        <v>344</v>
      </c>
      <c r="F475" s="17">
        <f>Benchmarking!F475</f>
        <v>220</v>
      </c>
      <c r="G475" s="17">
        <f>Benchmarking!G475</f>
        <v>927</v>
      </c>
      <c r="H475" t="str">
        <f t="shared" si="84"/>
        <v>Environmental</v>
      </c>
      <c r="I475" t="str">
        <f t="shared" si="85"/>
        <v>Governance</v>
      </c>
      <c r="J475" s="19">
        <f t="shared" si="86"/>
        <v>19</v>
      </c>
      <c r="K475" s="19">
        <f t="shared" si="87"/>
        <v>124</v>
      </c>
      <c r="L475" s="19">
        <f t="shared" si="88"/>
        <v>143</v>
      </c>
      <c r="M475" s="17">
        <f t="shared" si="89"/>
        <v>143</v>
      </c>
      <c r="N475" s="22">
        <f t="shared" si="90"/>
        <v>0.39196675900277006</v>
      </c>
      <c r="O475" s="22">
        <f t="shared" si="91"/>
        <v>0.19113573407202217</v>
      </c>
      <c r="P475" s="22">
        <f t="shared" si="92"/>
        <v>0.20083102493074789</v>
      </c>
      <c r="Q475" t="str">
        <f t="shared" si="93"/>
        <v/>
      </c>
      <c r="S475">
        <f t="shared" si="94"/>
        <v>143.00095250000001</v>
      </c>
      <c r="T475" s="23">
        <f t="shared" si="95"/>
        <v>0.20178352493074789</v>
      </c>
    </row>
    <row r="476" spans="1:20" ht="15" customHeight="1" x14ac:dyDescent="0.35">
      <c r="A476" t="str">
        <f>Benchmarking!A476</f>
        <v>Procter &amp; Gamble Co</v>
      </c>
      <c r="B476" t="str">
        <f>Benchmarking!B476</f>
        <v>pg</v>
      </c>
      <c r="C476" t="str">
        <f>Benchmarking!C476</f>
        <v>Consumer products</v>
      </c>
      <c r="D476" s="17">
        <f>Benchmarking!D476</f>
        <v>560</v>
      </c>
      <c r="E476" s="17">
        <f>Benchmarking!E476</f>
        <v>422</v>
      </c>
      <c r="F476" s="17">
        <f>Benchmarking!F476</f>
        <v>310</v>
      </c>
      <c r="G476" s="17">
        <f>Benchmarking!G476</f>
        <v>1292</v>
      </c>
      <c r="H476" t="str">
        <f t="shared" si="84"/>
        <v>Environmental</v>
      </c>
      <c r="I476" t="str">
        <f t="shared" si="85"/>
        <v>Governance</v>
      </c>
      <c r="J476" s="19">
        <f t="shared" si="86"/>
        <v>138</v>
      </c>
      <c r="K476" s="19">
        <f t="shared" si="87"/>
        <v>112</v>
      </c>
      <c r="L476" s="19">
        <f t="shared" si="88"/>
        <v>250</v>
      </c>
      <c r="M476" s="17">
        <f t="shared" si="89"/>
        <v>250</v>
      </c>
      <c r="N476" s="22">
        <f t="shared" si="90"/>
        <v>0.96398891966759004</v>
      </c>
      <c r="O476" s="22">
        <f t="shared" si="91"/>
        <v>0.74653739612188363</v>
      </c>
      <c r="P476" s="22">
        <f t="shared" si="92"/>
        <v>0.2174515235457064</v>
      </c>
      <c r="Q476" t="str">
        <f t="shared" si="93"/>
        <v/>
      </c>
      <c r="S476">
        <f t="shared" si="94"/>
        <v>250.00095239999999</v>
      </c>
      <c r="T476" s="23">
        <f t="shared" si="95"/>
        <v>0.2184039235457064</v>
      </c>
    </row>
    <row r="477" spans="1:20" ht="15" customHeight="1" x14ac:dyDescent="0.35">
      <c r="A477" t="str">
        <f>Benchmarking!A477</f>
        <v>Organon &amp; Co</v>
      </c>
      <c r="B477" t="str">
        <f>Benchmarking!B477</f>
        <v>ogn</v>
      </c>
      <c r="C477" t="str">
        <f>Benchmarking!C477</f>
        <v>Pharmaceuticals</v>
      </c>
      <c r="D477" s="17">
        <f>Benchmarking!D477</f>
        <v>515</v>
      </c>
      <c r="E477" s="17">
        <f>Benchmarking!E477</f>
        <v>335</v>
      </c>
      <c r="F477" s="17">
        <f>Benchmarking!F477</f>
        <v>305</v>
      </c>
      <c r="G477" s="17">
        <f>Benchmarking!G477</f>
        <v>1155</v>
      </c>
      <c r="H477" t="str">
        <f t="shared" si="84"/>
        <v>Environmental</v>
      </c>
      <c r="I477" t="str">
        <f t="shared" si="85"/>
        <v>Governance</v>
      </c>
      <c r="J477" s="19">
        <f t="shared" si="86"/>
        <v>180</v>
      </c>
      <c r="K477" s="19">
        <f t="shared" si="87"/>
        <v>30</v>
      </c>
      <c r="L477" s="19">
        <f t="shared" si="88"/>
        <v>210</v>
      </c>
      <c r="M477" s="17">
        <f t="shared" si="89"/>
        <v>210</v>
      </c>
      <c r="N477" s="22">
        <f t="shared" si="90"/>
        <v>0.78393351800554012</v>
      </c>
      <c r="O477" s="22">
        <f t="shared" si="91"/>
        <v>0.63296398891966754</v>
      </c>
      <c r="P477" s="22">
        <f t="shared" si="92"/>
        <v>0.15096952908587258</v>
      </c>
      <c r="Q477" t="str">
        <f t="shared" si="93"/>
        <v/>
      </c>
      <c r="S477">
        <f t="shared" si="94"/>
        <v>210.00095229999999</v>
      </c>
      <c r="T477" s="23">
        <f t="shared" si="95"/>
        <v>0.15192182908587257</v>
      </c>
    </row>
    <row r="478" spans="1:20" ht="15" customHeight="1" x14ac:dyDescent="0.35">
      <c r="A478" t="str">
        <f>Benchmarking!A478</f>
        <v>Occidental Petroleum Corp</v>
      </c>
      <c r="B478" t="str">
        <f>Benchmarking!B478</f>
        <v>oxy</v>
      </c>
      <c r="C478" t="str">
        <f>Benchmarking!C478</f>
        <v>Energy</v>
      </c>
      <c r="D478" s="17">
        <f>Benchmarking!D478</f>
        <v>505</v>
      </c>
      <c r="E478" s="17">
        <f>Benchmarking!E478</f>
        <v>302</v>
      </c>
      <c r="F478" s="17">
        <f>Benchmarking!F478</f>
        <v>300</v>
      </c>
      <c r="G478" s="17">
        <f>Benchmarking!G478</f>
        <v>1107</v>
      </c>
      <c r="H478" t="str">
        <f t="shared" si="84"/>
        <v>Environmental</v>
      </c>
      <c r="I478" t="str">
        <f t="shared" si="85"/>
        <v>Governance</v>
      </c>
      <c r="J478" s="19">
        <f t="shared" si="86"/>
        <v>203</v>
      </c>
      <c r="K478" s="19">
        <f t="shared" si="87"/>
        <v>2</v>
      </c>
      <c r="L478" s="19">
        <f t="shared" si="88"/>
        <v>205</v>
      </c>
      <c r="M478" s="17">
        <f t="shared" si="89"/>
        <v>205</v>
      </c>
      <c r="N478" s="22">
        <f t="shared" si="90"/>
        <v>0.62880886426592797</v>
      </c>
      <c r="O478" s="22">
        <f t="shared" si="91"/>
        <v>0.39335180055401664</v>
      </c>
      <c r="P478" s="22">
        <f t="shared" si="92"/>
        <v>0.23545706371191133</v>
      </c>
      <c r="Q478" t="str">
        <f t="shared" si="93"/>
        <v/>
      </c>
      <c r="S478">
        <f t="shared" si="94"/>
        <v>205.0009522</v>
      </c>
      <c r="T478" s="23">
        <f t="shared" si="95"/>
        <v>0.23640926371191132</v>
      </c>
    </row>
    <row r="479" spans="1:20" ht="15" customHeight="1" x14ac:dyDescent="0.35">
      <c r="A479" t="str">
        <f>Benchmarking!A479</f>
        <v>Dell Technologies Inc</v>
      </c>
      <c r="B479" t="str">
        <f>Benchmarking!B479</f>
        <v>dell</v>
      </c>
      <c r="C479" t="str">
        <f>Benchmarking!C479</f>
        <v>Technology</v>
      </c>
      <c r="D479" s="17">
        <f>Benchmarking!D479</f>
        <v>500</v>
      </c>
      <c r="E479" s="17">
        <f>Benchmarking!E479</f>
        <v>318</v>
      </c>
      <c r="F479" s="17">
        <f>Benchmarking!F479</f>
        <v>275</v>
      </c>
      <c r="G479" s="17">
        <f>Benchmarking!G479</f>
        <v>1093</v>
      </c>
      <c r="H479" t="str">
        <f t="shared" si="84"/>
        <v>Environmental</v>
      </c>
      <c r="I479" t="str">
        <f t="shared" si="85"/>
        <v>Governance</v>
      </c>
      <c r="J479" s="19">
        <f t="shared" si="86"/>
        <v>182</v>
      </c>
      <c r="K479" s="19">
        <f t="shared" si="87"/>
        <v>43</v>
      </c>
      <c r="L479" s="19">
        <f t="shared" si="88"/>
        <v>225</v>
      </c>
      <c r="M479" s="17">
        <f t="shared" si="89"/>
        <v>225</v>
      </c>
      <c r="N479" s="22">
        <f t="shared" si="90"/>
        <v>0.56094182825484762</v>
      </c>
      <c r="O479" s="22">
        <f t="shared" si="91"/>
        <v>0.35180055401662053</v>
      </c>
      <c r="P479" s="22">
        <f t="shared" si="92"/>
        <v>0.20914127423822709</v>
      </c>
      <c r="Q479" t="str">
        <f t="shared" si="93"/>
        <v/>
      </c>
      <c r="S479">
        <f t="shared" si="94"/>
        <v>225.00095210000001</v>
      </c>
      <c r="T479" s="23">
        <f t="shared" si="95"/>
        <v>0.2100933742382271</v>
      </c>
    </row>
    <row r="480" spans="1:20" ht="15" customHeight="1" x14ac:dyDescent="0.35">
      <c r="A480" t="str">
        <f>Benchmarking!A480</f>
        <v>Paycom Software Inc</v>
      </c>
      <c r="B480" t="str">
        <f>Benchmarking!B480</f>
        <v>payc</v>
      </c>
      <c r="C480" t="str">
        <f>Benchmarking!C480</f>
        <v>Technology</v>
      </c>
      <c r="D480" s="17">
        <f>Benchmarking!D480</f>
        <v>470</v>
      </c>
      <c r="E480" s="17">
        <f>Benchmarking!E480</f>
        <v>305</v>
      </c>
      <c r="F480" s="17">
        <f>Benchmarking!F480</f>
        <v>315</v>
      </c>
      <c r="G480" s="17">
        <f>Benchmarking!G480</f>
        <v>1090</v>
      </c>
      <c r="H480" t="str">
        <f t="shared" si="84"/>
        <v>Environmental</v>
      </c>
      <c r="I480" t="str">
        <f t="shared" si="85"/>
        <v>Social</v>
      </c>
      <c r="J480" s="19">
        <f t="shared" si="86"/>
        <v>165</v>
      </c>
      <c r="K480" s="19">
        <f t="shared" si="87"/>
        <v>-10</v>
      </c>
      <c r="L480" s="19">
        <f t="shared" si="88"/>
        <v>155</v>
      </c>
      <c r="M480" s="17">
        <f t="shared" si="89"/>
        <v>165</v>
      </c>
      <c r="N480" s="22">
        <f t="shared" si="90"/>
        <v>0.55678670360110805</v>
      </c>
      <c r="O480" s="22">
        <f t="shared" si="91"/>
        <v>0.49030470914127422</v>
      </c>
      <c r="P480" s="22">
        <f t="shared" si="92"/>
        <v>6.6481994459833826E-2</v>
      </c>
      <c r="Q480" t="str">
        <f t="shared" si="93"/>
        <v/>
      </c>
      <c r="S480">
        <f t="shared" si="94"/>
        <v>165.00095200000001</v>
      </c>
      <c r="T480" s="23">
        <f t="shared" si="95"/>
        <v>6.7433994459833821E-2</v>
      </c>
    </row>
    <row r="481" spans="1:20" ht="15" customHeight="1" x14ac:dyDescent="0.35">
      <c r="A481" t="str">
        <f>Benchmarking!A481</f>
        <v>Public Service Enterprise Group Inc</v>
      </c>
      <c r="B481" t="str">
        <f>Benchmarking!B481</f>
        <v>peg</v>
      </c>
      <c r="C481" t="str">
        <f>Benchmarking!C481</f>
        <v>Utilities</v>
      </c>
      <c r="D481" s="17">
        <f>Benchmarking!D481</f>
        <v>500</v>
      </c>
      <c r="E481" s="17">
        <f>Benchmarking!E481</f>
        <v>300</v>
      </c>
      <c r="F481" s="17">
        <f>Benchmarking!F481</f>
        <v>205</v>
      </c>
      <c r="G481" s="17">
        <f>Benchmarking!G481</f>
        <v>1005</v>
      </c>
      <c r="H481" t="str">
        <f t="shared" si="84"/>
        <v>Environmental</v>
      </c>
      <c r="I481" t="str">
        <f t="shared" si="85"/>
        <v>Governance</v>
      </c>
      <c r="J481" s="19">
        <f t="shared" si="86"/>
        <v>200</v>
      </c>
      <c r="K481" s="19">
        <f t="shared" si="87"/>
        <v>95</v>
      </c>
      <c r="L481" s="19">
        <f t="shared" si="88"/>
        <v>295</v>
      </c>
      <c r="M481" s="17">
        <f t="shared" si="89"/>
        <v>295</v>
      </c>
      <c r="N481" s="22">
        <f t="shared" si="90"/>
        <v>0.47229916897506924</v>
      </c>
      <c r="O481" s="22">
        <f t="shared" si="91"/>
        <v>8.3102493074792241E-2</v>
      </c>
      <c r="P481" s="22">
        <f t="shared" si="92"/>
        <v>0.38919667590027701</v>
      </c>
      <c r="Q481" t="str">
        <f t="shared" si="93"/>
        <v/>
      </c>
      <c r="S481">
        <f t="shared" si="94"/>
        <v>295.00095190000002</v>
      </c>
      <c r="T481" s="23">
        <f t="shared" si="95"/>
        <v>0.39014857590027702</v>
      </c>
    </row>
    <row r="482" spans="1:20" ht="15" customHeight="1" x14ac:dyDescent="0.35">
      <c r="A482" t="str">
        <f>Benchmarking!A482</f>
        <v>ONEOK Inc</v>
      </c>
      <c r="B482" t="str">
        <f>Benchmarking!B482</f>
        <v>oke</v>
      </c>
      <c r="C482" t="str">
        <f>Benchmarking!C482</f>
        <v>Energy</v>
      </c>
      <c r="D482" s="17">
        <f>Benchmarking!D482</f>
        <v>581</v>
      </c>
      <c r="E482" s="17">
        <f>Benchmarking!E482</f>
        <v>326</v>
      </c>
      <c r="F482" s="17">
        <f>Benchmarking!F482</f>
        <v>355</v>
      </c>
      <c r="G482" s="17">
        <f>Benchmarking!G482</f>
        <v>1262</v>
      </c>
      <c r="H482" t="str">
        <f t="shared" si="84"/>
        <v>Environmental</v>
      </c>
      <c r="I482" t="str">
        <f t="shared" si="85"/>
        <v>Social</v>
      </c>
      <c r="J482" s="19">
        <f t="shared" si="86"/>
        <v>255</v>
      </c>
      <c r="K482" s="19">
        <f t="shared" si="87"/>
        <v>-29</v>
      </c>
      <c r="L482" s="19">
        <f t="shared" si="88"/>
        <v>226</v>
      </c>
      <c r="M482" s="17">
        <f t="shared" si="89"/>
        <v>255</v>
      </c>
      <c r="N482" s="22">
        <f t="shared" si="90"/>
        <v>0.945983379501385</v>
      </c>
      <c r="O482" s="22">
        <f t="shared" si="91"/>
        <v>0.78116343490304707</v>
      </c>
      <c r="P482" s="22">
        <f t="shared" si="92"/>
        <v>0.16481994459833793</v>
      </c>
      <c r="Q482" t="str">
        <f t="shared" si="93"/>
        <v/>
      </c>
      <c r="S482">
        <f t="shared" si="94"/>
        <v>255.0009518</v>
      </c>
      <c r="T482" s="23">
        <f t="shared" si="95"/>
        <v>0.16577174459833793</v>
      </c>
    </row>
    <row r="483" spans="1:20" ht="15" customHeight="1" x14ac:dyDescent="0.35">
      <c r="A483" t="str">
        <f>Benchmarking!A483</f>
        <v>NRG Energy Inc</v>
      </c>
      <c r="B483" t="str">
        <f>Benchmarking!B483</f>
        <v>nrg</v>
      </c>
      <c r="C483" t="str">
        <f>Benchmarking!C483</f>
        <v>Utilities</v>
      </c>
      <c r="D483" s="17">
        <f>Benchmarking!D483</f>
        <v>371</v>
      </c>
      <c r="E483" s="17">
        <f>Benchmarking!E483</f>
        <v>327</v>
      </c>
      <c r="F483" s="17">
        <f>Benchmarking!F483</f>
        <v>218</v>
      </c>
      <c r="G483" s="17">
        <f>Benchmarking!G483</f>
        <v>916</v>
      </c>
      <c r="H483" t="str">
        <f t="shared" si="84"/>
        <v>Environmental</v>
      </c>
      <c r="I483" t="str">
        <f t="shared" si="85"/>
        <v>Governance</v>
      </c>
      <c r="J483" s="19">
        <f t="shared" si="86"/>
        <v>44</v>
      </c>
      <c r="K483" s="19">
        <f t="shared" si="87"/>
        <v>109</v>
      </c>
      <c r="L483" s="19">
        <f t="shared" si="88"/>
        <v>153</v>
      </c>
      <c r="M483" s="17">
        <f t="shared" si="89"/>
        <v>153</v>
      </c>
      <c r="N483" s="22">
        <f t="shared" si="90"/>
        <v>0.38642659279778391</v>
      </c>
      <c r="O483" s="22">
        <f t="shared" si="91"/>
        <v>0.18559556786703602</v>
      </c>
      <c r="P483" s="22">
        <f t="shared" si="92"/>
        <v>0.20083102493074789</v>
      </c>
      <c r="Q483" t="str">
        <f t="shared" si="93"/>
        <v/>
      </c>
      <c r="S483">
        <f t="shared" si="94"/>
        <v>153.0009517</v>
      </c>
      <c r="T483" s="23">
        <f t="shared" si="95"/>
        <v>0.20178272493074789</v>
      </c>
    </row>
    <row r="484" spans="1:20" ht="15" customHeight="1" x14ac:dyDescent="0.35">
      <c r="A484" t="str">
        <f>Benchmarking!A484</f>
        <v>Loews Corp</v>
      </c>
      <c r="B484" t="str">
        <f>Benchmarking!B484</f>
        <v>l</v>
      </c>
      <c r="C484" t="str">
        <f>Benchmarking!C484</f>
        <v>Insurance</v>
      </c>
      <c r="D484" s="17">
        <f>Benchmarking!D484</f>
        <v>505</v>
      </c>
      <c r="E484" s="17">
        <f>Benchmarking!E484</f>
        <v>303</v>
      </c>
      <c r="F484" s="17">
        <f>Benchmarking!F484</f>
        <v>313</v>
      </c>
      <c r="G484" s="17">
        <f>Benchmarking!G484</f>
        <v>1121</v>
      </c>
      <c r="H484" t="str">
        <f t="shared" si="84"/>
        <v>Environmental</v>
      </c>
      <c r="I484" t="str">
        <f t="shared" si="85"/>
        <v>Social</v>
      </c>
      <c r="J484" s="19">
        <f t="shared" si="86"/>
        <v>202</v>
      </c>
      <c r="K484" s="19">
        <f t="shared" si="87"/>
        <v>-10</v>
      </c>
      <c r="L484" s="19">
        <f t="shared" si="88"/>
        <v>192</v>
      </c>
      <c r="M484" s="17">
        <f t="shared" si="89"/>
        <v>202</v>
      </c>
      <c r="N484" s="22">
        <f t="shared" si="90"/>
        <v>0.66897506925207761</v>
      </c>
      <c r="O484" s="22">
        <f t="shared" si="91"/>
        <v>0.52493074792243766</v>
      </c>
      <c r="P484" s="22">
        <f t="shared" si="92"/>
        <v>0.14404432132963996</v>
      </c>
      <c r="Q484" t="str">
        <f t="shared" si="93"/>
        <v/>
      </c>
      <c r="S484">
        <f t="shared" si="94"/>
        <v>202.00095160000001</v>
      </c>
      <c r="T484" s="23">
        <f t="shared" si="95"/>
        <v>0.14499592132963995</v>
      </c>
    </row>
    <row r="485" spans="1:20" ht="15" customHeight="1" x14ac:dyDescent="0.35">
      <c r="A485" t="str">
        <f>Benchmarking!A485</f>
        <v>Omnicom Group Inc</v>
      </c>
      <c r="B485" t="str">
        <f>Benchmarking!B485</f>
        <v>omc</v>
      </c>
      <c r="C485" t="str">
        <f>Benchmarking!C485</f>
        <v>Media</v>
      </c>
      <c r="D485" s="17">
        <f>Benchmarking!D485</f>
        <v>543</v>
      </c>
      <c r="E485" s="17">
        <f>Benchmarking!E485</f>
        <v>333</v>
      </c>
      <c r="F485" s="17">
        <f>Benchmarking!F485</f>
        <v>305</v>
      </c>
      <c r="G485" s="17">
        <f>Benchmarking!G485</f>
        <v>1181</v>
      </c>
      <c r="H485" t="str">
        <f t="shared" si="84"/>
        <v>Environmental</v>
      </c>
      <c r="I485" t="str">
        <f t="shared" si="85"/>
        <v>Governance</v>
      </c>
      <c r="J485" s="19">
        <f t="shared" si="86"/>
        <v>210</v>
      </c>
      <c r="K485" s="19">
        <f t="shared" si="87"/>
        <v>28</v>
      </c>
      <c r="L485" s="19">
        <f t="shared" si="88"/>
        <v>238</v>
      </c>
      <c r="M485" s="17">
        <f t="shared" si="89"/>
        <v>238</v>
      </c>
      <c r="N485" s="22">
        <f t="shared" si="90"/>
        <v>0.85457063711911352</v>
      </c>
      <c r="O485" s="22">
        <f t="shared" si="91"/>
        <v>0.63296398891966754</v>
      </c>
      <c r="P485" s="22">
        <f t="shared" si="92"/>
        <v>0.22160664819944598</v>
      </c>
      <c r="Q485" t="str">
        <f t="shared" si="93"/>
        <v/>
      </c>
      <c r="S485">
        <f t="shared" si="94"/>
        <v>238.00095150000001</v>
      </c>
      <c r="T485" s="23">
        <f t="shared" si="95"/>
        <v>0.22255814819944597</v>
      </c>
    </row>
    <row r="486" spans="1:20" ht="15" customHeight="1" x14ac:dyDescent="0.35">
      <c r="A486" t="str">
        <f>Benchmarking!A486</f>
        <v>Oracle Corp</v>
      </c>
      <c r="B486" t="str">
        <f>Benchmarking!B486</f>
        <v>orcl</v>
      </c>
      <c r="C486" t="str">
        <f>Benchmarking!C486</f>
        <v>Technology</v>
      </c>
      <c r="D486" s="17">
        <f>Benchmarking!D486</f>
        <v>500</v>
      </c>
      <c r="E486" s="17">
        <f>Benchmarking!E486</f>
        <v>300</v>
      </c>
      <c r="F486" s="17">
        <f>Benchmarking!F486</f>
        <v>200</v>
      </c>
      <c r="G486" s="17">
        <f>Benchmarking!G486</f>
        <v>1000</v>
      </c>
      <c r="H486" t="str">
        <f t="shared" si="84"/>
        <v>Environmental</v>
      </c>
      <c r="I486" t="str">
        <f t="shared" si="85"/>
        <v>Governance</v>
      </c>
      <c r="J486" s="19">
        <f t="shared" si="86"/>
        <v>200</v>
      </c>
      <c r="K486" s="19">
        <f t="shared" si="87"/>
        <v>100</v>
      </c>
      <c r="L486" s="19">
        <f t="shared" si="88"/>
        <v>300</v>
      </c>
      <c r="M486" s="17">
        <f t="shared" si="89"/>
        <v>300</v>
      </c>
      <c r="N486" s="22">
        <f t="shared" si="90"/>
        <v>0.45567867036011078</v>
      </c>
      <c r="O486" s="22">
        <f t="shared" si="91"/>
        <v>2.7700831024930748E-3</v>
      </c>
      <c r="P486" s="22">
        <f t="shared" si="92"/>
        <v>0.45290858725761773</v>
      </c>
      <c r="Q486" t="str">
        <f t="shared" si="93"/>
        <v/>
      </c>
      <c r="S486">
        <f t="shared" si="94"/>
        <v>300.00095140000002</v>
      </c>
      <c r="T486" s="23">
        <f t="shared" si="95"/>
        <v>0.45385998725761773</v>
      </c>
    </row>
    <row r="487" spans="1:20" ht="15" customHeight="1" x14ac:dyDescent="0.35">
      <c r="A487" t="str">
        <f>Benchmarking!A487</f>
        <v>Realty Income Corp</v>
      </c>
      <c r="B487" t="str">
        <f>Benchmarking!B487</f>
        <v>o</v>
      </c>
      <c r="C487" t="str">
        <f>Benchmarking!C487</f>
        <v>Real Estate</v>
      </c>
      <c r="D487" s="17">
        <f>Benchmarking!D487</f>
        <v>500</v>
      </c>
      <c r="E487" s="17">
        <f>Benchmarking!E487</f>
        <v>300</v>
      </c>
      <c r="F487" s="17">
        <f>Benchmarking!F487</f>
        <v>300</v>
      </c>
      <c r="G487" s="17">
        <f>Benchmarking!G487</f>
        <v>1100</v>
      </c>
      <c r="H487" t="str">
        <f t="shared" si="84"/>
        <v>Environmental</v>
      </c>
      <c r="I487" t="str">
        <f t="shared" si="85"/>
        <v>Social</v>
      </c>
      <c r="J487" s="19">
        <f t="shared" si="86"/>
        <v>200</v>
      </c>
      <c r="K487" s="19">
        <f t="shared" si="87"/>
        <v>0</v>
      </c>
      <c r="L487" s="19">
        <f t="shared" si="88"/>
        <v>200</v>
      </c>
      <c r="M487" s="17">
        <f t="shared" si="89"/>
        <v>200</v>
      </c>
      <c r="N487" s="22">
        <f t="shared" si="90"/>
        <v>0.56925207756232687</v>
      </c>
      <c r="O487" s="22">
        <f t="shared" si="91"/>
        <v>0.36565096952908588</v>
      </c>
      <c r="P487" s="22">
        <f t="shared" si="92"/>
        <v>0.203601108033241</v>
      </c>
      <c r="Q487" t="str">
        <f t="shared" si="93"/>
        <v/>
      </c>
      <c r="S487">
        <f t="shared" si="94"/>
        <v>200.0009513</v>
      </c>
      <c r="T487" s="23">
        <f t="shared" si="95"/>
        <v>0.20455240803324098</v>
      </c>
    </row>
    <row r="488" spans="1:20" ht="15" customHeight="1" x14ac:dyDescent="0.35">
      <c r="A488" t="str">
        <f>Benchmarking!A488</f>
        <v>Domino's Pizza Inc</v>
      </c>
      <c r="B488" t="str">
        <f>Benchmarking!B488</f>
        <v>dpz</v>
      </c>
      <c r="C488" t="str">
        <f>Benchmarking!C488</f>
        <v>Hotels Restaurants &amp; Leisure</v>
      </c>
      <c r="D488" s="17">
        <f>Benchmarking!D488</f>
        <v>205</v>
      </c>
      <c r="E488" s="17">
        <f>Benchmarking!E488</f>
        <v>205</v>
      </c>
      <c r="F488" s="17">
        <f>Benchmarking!F488</f>
        <v>200</v>
      </c>
      <c r="G488" s="17">
        <f>Benchmarking!G488</f>
        <v>610</v>
      </c>
      <c r="H488" t="str">
        <f t="shared" si="84"/>
        <v>Environmental</v>
      </c>
      <c r="I488" t="str">
        <f t="shared" si="85"/>
        <v>Governance</v>
      </c>
      <c r="J488" s="19">
        <f t="shared" si="86"/>
        <v>0</v>
      </c>
      <c r="K488" s="19">
        <f t="shared" si="87"/>
        <v>5</v>
      </c>
      <c r="L488" s="19">
        <f t="shared" si="88"/>
        <v>5</v>
      </c>
      <c r="M488" s="17">
        <f t="shared" si="89"/>
        <v>5</v>
      </c>
      <c r="N488" s="22">
        <f t="shared" si="90"/>
        <v>2.6315789473684209E-2</v>
      </c>
      <c r="O488" s="22">
        <f t="shared" si="91"/>
        <v>2.7700831024930748E-3</v>
      </c>
      <c r="P488" s="22">
        <f t="shared" si="92"/>
        <v>2.3545706371191133E-2</v>
      </c>
      <c r="Q488" t="str">
        <f t="shared" si="93"/>
        <v/>
      </c>
      <c r="S488">
        <f t="shared" si="94"/>
        <v>5.0009512000000003</v>
      </c>
      <c r="T488" s="23">
        <f t="shared" si="95"/>
        <v>2.4496906371191132E-2</v>
      </c>
    </row>
    <row r="489" spans="1:20" ht="15" customHeight="1" x14ac:dyDescent="0.35">
      <c r="A489" t="str">
        <f>Benchmarking!A489</f>
        <v>AT&amp;T Inc</v>
      </c>
      <c r="B489" t="str">
        <f>Benchmarking!B489</f>
        <v>t</v>
      </c>
      <c r="C489" t="str">
        <f>Benchmarking!C489</f>
        <v>Telecommunication</v>
      </c>
      <c r="D489" s="17">
        <f>Benchmarking!D489</f>
        <v>210</v>
      </c>
      <c r="E489" s="17">
        <f>Benchmarking!E489</f>
        <v>200</v>
      </c>
      <c r="F489" s="17">
        <f>Benchmarking!F489</f>
        <v>305</v>
      </c>
      <c r="G489" s="17">
        <f>Benchmarking!G489</f>
        <v>715</v>
      </c>
      <c r="H489" t="str">
        <f t="shared" si="84"/>
        <v>Governance</v>
      </c>
      <c r="I489" t="str">
        <f t="shared" si="85"/>
        <v>Social</v>
      </c>
      <c r="J489" s="19">
        <f t="shared" si="86"/>
        <v>10</v>
      </c>
      <c r="K489" s="19">
        <f t="shared" si="87"/>
        <v>-105</v>
      </c>
      <c r="L489" s="19">
        <f t="shared" si="88"/>
        <v>-95</v>
      </c>
      <c r="M489" s="17">
        <f t="shared" si="89"/>
        <v>105</v>
      </c>
      <c r="N489" s="22">
        <f t="shared" si="90"/>
        <v>0.18005540166204986</v>
      </c>
      <c r="O489" s="22">
        <f t="shared" si="91"/>
        <v>2.7700831024930748E-3</v>
      </c>
      <c r="P489" s="22">
        <f t="shared" si="92"/>
        <v>0.17728531855955679</v>
      </c>
      <c r="Q489" t="str">
        <f t="shared" si="93"/>
        <v/>
      </c>
      <c r="S489">
        <f t="shared" si="94"/>
        <v>105.00095109999999</v>
      </c>
      <c r="T489" s="23">
        <f t="shared" si="95"/>
        <v>0.1782364185595568</v>
      </c>
    </row>
    <row r="490" spans="1:20" ht="15" customHeight="1" x14ac:dyDescent="0.35">
      <c r="A490" t="str">
        <f>Benchmarking!A490</f>
        <v>Union Pacific Corp</v>
      </c>
      <c r="B490" t="str">
        <f>Benchmarking!B490</f>
        <v>unp</v>
      </c>
      <c r="C490" t="str">
        <f>Benchmarking!C490</f>
        <v>Road &amp; Rail</v>
      </c>
      <c r="D490" s="17">
        <f>Benchmarking!D490</f>
        <v>290</v>
      </c>
      <c r="E490" s="17">
        <f>Benchmarking!E490</f>
        <v>257</v>
      </c>
      <c r="F490" s="17">
        <f>Benchmarking!F490</f>
        <v>245</v>
      </c>
      <c r="G490" s="17">
        <f>Benchmarking!G490</f>
        <v>792</v>
      </c>
      <c r="H490" t="str">
        <f t="shared" si="84"/>
        <v>Environmental</v>
      </c>
      <c r="I490" t="str">
        <f t="shared" si="85"/>
        <v>Governance</v>
      </c>
      <c r="J490" s="19">
        <f t="shared" si="86"/>
        <v>33</v>
      </c>
      <c r="K490" s="19">
        <f t="shared" si="87"/>
        <v>12</v>
      </c>
      <c r="L490" s="19">
        <f t="shared" si="88"/>
        <v>45</v>
      </c>
      <c r="M490" s="17">
        <f t="shared" si="89"/>
        <v>45</v>
      </c>
      <c r="N490" s="22">
        <f t="shared" si="90"/>
        <v>0.28116343490304707</v>
      </c>
      <c r="O490" s="22">
        <f t="shared" si="91"/>
        <v>0.27839335180055402</v>
      </c>
      <c r="P490" s="22">
        <f t="shared" si="92"/>
        <v>2.7700831024930483E-3</v>
      </c>
      <c r="Q490" t="str">
        <f t="shared" si="93"/>
        <v/>
      </c>
      <c r="S490">
        <f t="shared" si="94"/>
        <v>45.000951000000001</v>
      </c>
      <c r="T490" s="23">
        <f t="shared" si="95"/>
        <v>3.7210831024930484E-3</v>
      </c>
    </row>
    <row r="491" spans="1:20" ht="15" customHeight="1" x14ac:dyDescent="0.35">
      <c r="A491" t="str">
        <f>Benchmarking!A491</f>
        <v>Newmont Corporation</v>
      </c>
      <c r="B491" t="str">
        <f>Benchmarking!B491</f>
        <v>nem</v>
      </c>
      <c r="C491" t="str">
        <f>Benchmarking!C491</f>
        <v>Metals &amp; Mining</v>
      </c>
      <c r="D491" s="17">
        <f>Benchmarking!D491</f>
        <v>675</v>
      </c>
      <c r="E491" s="17">
        <f>Benchmarking!E491</f>
        <v>389</v>
      </c>
      <c r="F491" s="17">
        <f>Benchmarking!F491</f>
        <v>355</v>
      </c>
      <c r="G491" s="17">
        <f>Benchmarking!G491</f>
        <v>1419</v>
      </c>
      <c r="H491" t="str">
        <f t="shared" si="84"/>
        <v>Environmental</v>
      </c>
      <c r="I491" t="str">
        <f t="shared" si="85"/>
        <v>Governance</v>
      </c>
      <c r="J491" s="19">
        <f t="shared" si="86"/>
        <v>286</v>
      </c>
      <c r="K491" s="19">
        <f t="shared" si="87"/>
        <v>34</v>
      </c>
      <c r="L491" s="19">
        <f t="shared" si="88"/>
        <v>320</v>
      </c>
      <c r="M491" s="17">
        <f t="shared" si="89"/>
        <v>320</v>
      </c>
      <c r="N491" s="22">
        <f t="shared" si="90"/>
        <v>0.99168975069252074</v>
      </c>
      <c r="O491" s="22">
        <f t="shared" si="91"/>
        <v>0.96537396121883656</v>
      </c>
      <c r="P491" s="22">
        <f t="shared" si="92"/>
        <v>2.6315789473684181E-2</v>
      </c>
      <c r="Q491" t="str">
        <f t="shared" si="93"/>
        <v/>
      </c>
      <c r="S491">
        <f t="shared" si="94"/>
        <v>320.00095090000002</v>
      </c>
      <c r="T491" s="23">
        <f t="shared" si="95"/>
        <v>2.7266689473684182E-2</v>
      </c>
    </row>
    <row r="492" spans="1:20" ht="15" customHeight="1" x14ac:dyDescent="0.35">
      <c r="A492" t="str">
        <f>Benchmarking!A492</f>
        <v>FedEx Corp</v>
      </c>
      <c r="B492" t="str">
        <f>Benchmarking!B492</f>
        <v>fdx</v>
      </c>
      <c r="C492" t="str">
        <f>Benchmarking!C492</f>
        <v>Logistics &amp; Transportation</v>
      </c>
      <c r="D492" s="17">
        <f>Benchmarking!D492</f>
        <v>335</v>
      </c>
      <c r="E492" s="17">
        <f>Benchmarking!E492</f>
        <v>278</v>
      </c>
      <c r="F492" s="17">
        <f>Benchmarking!F492</f>
        <v>255</v>
      </c>
      <c r="G492" s="17">
        <f>Benchmarking!G492</f>
        <v>868</v>
      </c>
      <c r="H492" t="str">
        <f t="shared" si="84"/>
        <v>Environmental</v>
      </c>
      <c r="I492" t="str">
        <f t="shared" si="85"/>
        <v>Governance</v>
      </c>
      <c r="J492" s="19">
        <f t="shared" si="86"/>
        <v>57</v>
      </c>
      <c r="K492" s="19">
        <f t="shared" si="87"/>
        <v>23</v>
      </c>
      <c r="L492" s="19">
        <f t="shared" si="88"/>
        <v>80</v>
      </c>
      <c r="M492" s="17">
        <f t="shared" si="89"/>
        <v>80</v>
      </c>
      <c r="N492" s="22">
        <f t="shared" si="90"/>
        <v>0.34903047091412742</v>
      </c>
      <c r="O492" s="22">
        <f t="shared" si="91"/>
        <v>0.31024930747922436</v>
      </c>
      <c r="P492" s="22">
        <f t="shared" si="92"/>
        <v>3.8781163434903065E-2</v>
      </c>
      <c r="Q492" t="str">
        <f t="shared" si="93"/>
        <v/>
      </c>
      <c r="S492">
        <f t="shared" si="94"/>
        <v>80.000950799999998</v>
      </c>
      <c r="T492" s="23">
        <f t="shared" si="95"/>
        <v>3.9731963434903067E-2</v>
      </c>
    </row>
    <row r="493" spans="1:20" ht="15" customHeight="1" x14ac:dyDescent="0.35">
      <c r="A493" t="str">
        <f>Benchmarking!A493</f>
        <v>Nike Inc</v>
      </c>
      <c r="B493" t="str">
        <f>Benchmarking!B493</f>
        <v>nke</v>
      </c>
      <c r="C493" t="str">
        <f>Benchmarking!C493</f>
        <v>Textiles Apparel &amp; Luxury Goods</v>
      </c>
      <c r="D493" s="17">
        <f>Benchmarking!D493</f>
        <v>205</v>
      </c>
      <c r="E493" s="17">
        <f>Benchmarking!E493</f>
        <v>275</v>
      </c>
      <c r="F493" s="17">
        <f>Benchmarking!F493</f>
        <v>200</v>
      </c>
      <c r="G493" s="17">
        <f>Benchmarking!G493</f>
        <v>680</v>
      </c>
      <c r="H493" t="str">
        <f t="shared" si="84"/>
        <v>Social</v>
      </c>
      <c r="I493" t="str">
        <f t="shared" si="85"/>
        <v>Governance</v>
      </c>
      <c r="J493" s="19">
        <f t="shared" si="86"/>
        <v>-70</v>
      </c>
      <c r="K493" s="19">
        <f t="shared" si="87"/>
        <v>75</v>
      </c>
      <c r="L493" s="19">
        <f t="shared" si="88"/>
        <v>5</v>
      </c>
      <c r="M493" s="17">
        <f t="shared" si="89"/>
        <v>75</v>
      </c>
      <c r="N493" s="22">
        <f t="shared" si="90"/>
        <v>0.1440443213296399</v>
      </c>
      <c r="O493" s="22">
        <f t="shared" si="91"/>
        <v>2.7700831024930748E-3</v>
      </c>
      <c r="P493" s="22">
        <f t="shared" si="92"/>
        <v>0.14127423822714683</v>
      </c>
      <c r="Q493" t="str">
        <f t="shared" si="93"/>
        <v/>
      </c>
      <c r="S493">
        <f t="shared" si="94"/>
        <v>75.000950700000004</v>
      </c>
      <c r="T493" s="23">
        <f t="shared" si="95"/>
        <v>0.14222493822714682</v>
      </c>
    </row>
    <row r="494" spans="1:20" ht="15" customHeight="1" x14ac:dyDescent="0.35">
      <c r="A494" t="str">
        <f>Benchmarking!A494</f>
        <v>Ford Motor Co</v>
      </c>
      <c r="B494" t="str">
        <f>Benchmarking!B494</f>
        <v>f</v>
      </c>
      <c r="C494" t="str">
        <f>Benchmarking!C494</f>
        <v>Automobiles</v>
      </c>
      <c r="D494" s="17">
        <f>Benchmarking!D494</f>
        <v>292</v>
      </c>
      <c r="E494" s="17">
        <f>Benchmarking!E494</f>
        <v>246</v>
      </c>
      <c r="F494" s="17">
        <f>Benchmarking!F494</f>
        <v>215</v>
      </c>
      <c r="G494" s="17">
        <f>Benchmarking!G494</f>
        <v>753</v>
      </c>
      <c r="H494" t="str">
        <f t="shared" si="84"/>
        <v>Environmental</v>
      </c>
      <c r="I494" t="str">
        <f t="shared" si="85"/>
        <v>Governance</v>
      </c>
      <c r="J494" s="19">
        <f t="shared" si="86"/>
        <v>46</v>
      </c>
      <c r="K494" s="19">
        <f t="shared" si="87"/>
        <v>31</v>
      </c>
      <c r="L494" s="19">
        <f t="shared" si="88"/>
        <v>77</v>
      </c>
      <c r="M494" s="17">
        <f t="shared" si="89"/>
        <v>77</v>
      </c>
      <c r="N494" s="22">
        <f t="shared" si="90"/>
        <v>0.23961218836565096</v>
      </c>
      <c r="O494" s="22">
        <f t="shared" si="91"/>
        <v>0.15373961218836565</v>
      </c>
      <c r="P494" s="22">
        <f t="shared" si="92"/>
        <v>8.5872576177285304E-2</v>
      </c>
      <c r="Q494" t="str">
        <f t="shared" si="93"/>
        <v/>
      </c>
      <c r="S494">
        <f t="shared" si="94"/>
        <v>77.000950599999996</v>
      </c>
      <c r="T494" s="23">
        <f t="shared" si="95"/>
        <v>8.6823176177285299E-2</v>
      </c>
    </row>
    <row r="495" spans="1:20" ht="15" customHeight="1" x14ac:dyDescent="0.35">
      <c r="A495" t="str">
        <f>Benchmarking!A495</f>
        <v>Lockheed Martin Corp</v>
      </c>
      <c r="B495" t="str">
        <f>Benchmarking!B495</f>
        <v>lmt</v>
      </c>
      <c r="C495" t="str">
        <f>Benchmarking!C495</f>
        <v>Aerospace &amp; Defense</v>
      </c>
      <c r="D495" s="17">
        <f>Benchmarking!D495</f>
        <v>510</v>
      </c>
      <c r="E495" s="17">
        <f>Benchmarking!E495</f>
        <v>324</v>
      </c>
      <c r="F495" s="17">
        <f>Benchmarking!F495</f>
        <v>320</v>
      </c>
      <c r="G495" s="17">
        <f>Benchmarking!G495</f>
        <v>1154</v>
      </c>
      <c r="H495" t="str">
        <f t="shared" si="84"/>
        <v>Environmental</v>
      </c>
      <c r="I495" t="str">
        <f t="shared" si="85"/>
        <v>Governance</v>
      </c>
      <c r="J495" s="19">
        <f t="shared" si="86"/>
        <v>186</v>
      </c>
      <c r="K495" s="19">
        <f t="shared" si="87"/>
        <v>4</v>
      </c>
      <c r="L495" s="19">
        <f t="shared" si="88"/>
        <v>190</v>
      </c>
      <c r="M495" s="17">
        <f t="shared" si="89"/>
        <v>190</v>
      </c>
      <c r="N495" s="22">
        <f t="shared" si="90"/>
        <v>0.78116343490304707</v>
      </c>
      <c r="O495" s="22">
        <f t="shared" si="91"/>
        <v>0.66620498614958445</v>
      </c>
      <c r="P495" s="22">
        <f t="shared" si="92"/>
        <v>0.11495844875346262</v>
      </c>
      <c r="Q495" t="str">
        <f t="shared" si="93"/>
        <v/>
      </c>
      <c r="S495">
        <f t="shared" si="94"/>
        <v>190.00095049999999</v>
      </c>
      <c r="T495" s="23">
        <f t="shared" si="95"/>
        <v>0.11590894875346261</v>
      </c>
    </row>
    <row r="496" spans="1:20" ht="15" customHeight="1" x14ac:dyDescent="0.35">
      <c r="A496" t="str">
        <f>Benchmarking!A496</f>
        <v>Republic Services Inc</v>
      </c>
      <c r="B496" t="str">
        <f>Benchmarking!B496</f>
        <v>rsg</v>
      </c>
      <c r="C496" t="str">
        <f>Benchmarking!C496</f>
        <v>Commercial Services &amp; Supplies</v>
      </c>
      <c r="D496" s="17">
        <f>Benchmarking!D496</f>
        <v>293</v>
      </c>
      <c r="E496" s="17">
        <f>Benchmarking!E496</f>
        <v>235</v>
      </c>
      <c r="F496" s="17">
        <f>Benchmarking!F496</f>
        <v>216</v>
      </c>
      <c r="G496" s="17">
        <f>Benchmarking!G496</f>
        <v>744</v>
      </c>
      <c r="H496" t="str">
        <f t="shared" si="84"/>
        <v>Environmental</v>
      </c>
      <c r="I496" t="str">
        <f t="shared" si="85"/>
        <v>Governance</v>
      </c>
      <c r="J496" s="19">
        <f t="shared" si="86"/>
        <v>58</v>
      </c>
      <c r="K496" s="19">
        <f t="shared" si="87"/>
        <v>19</v>
      </c>
      <c r="L496" s="19">
        <f t="shared" si="88"/>
        <v>77</v>
      </c>
      <c r="M496" s="17">
        <f t="shared" si="89"/>
        <v>77</v>
      </c>
      <c r="N496" s="22">
        <f t="shared" si="90"/>
        <v>0.21745152354570638</v>
      </c>
      <c r="O496" s="22">
        <f t="shared" si="91"/>
        <v>0.18421052631578946</v>
      </c>
      <c r="P496" s="22">
        <f t="shared" si="92"/>
        <v>3.3240997229916913E-2</v>
      </c>
      <c r="Q496" t="str">
        <f t="shared" si="93"/>
        <v/>
      </c>
      <c r="S496">
        <f t="shared" si="94"/>
        <v>77.000950399999994</v>
      </c>
      <c r="T496" s="23">
        <f t="shared" si="95"/>
        <v>3.419139722991691E-2</v>
      </c>
    </row>
    <row r="497" spans="1:20" ht="15" customHeight="1" x14ac:dyDescent="0.35">
      <c r="A497" t="str">
        <f>Benchmarking!A497</f>
        <v>Enphase Energy Inc</v>
      </c>
      <c r="B497" t="str">
        <f>Benchmarking!B497</f>
        <v>enph</v>
      </c>
      <c r="C497" t="str">
        <f>Benchmarking!C497</f>
        <v>Semiconductors</v>
      </c>
      <c r="D497" s="17">
        <f>Benchmarking!D497</f>
        <v>565</v>
      </c>
      <c r="E497" s="17">
        <f>Benchmarking!E497</f>
        <v>316</v>
      </c>
      <c r="F497" s="17">
        <f>Benchmarking!F497</f>
        <v>300</v>
      </c>
      <c r="G497" s="17">
        <f>Benchmarking!G497</f>
        <v>1181</v>
      </c>
      <c r="H497" t="str">
        <f t="shared" si="84"/>
        <v>Environmental</v>
      </c>
      <c r="I497" t="str">
        <f t="shared" si="85"/>
        <v>Governance</v>
      </c>
      <c r="J497" s="19">
        <f t="shared" si="86"/>
        <v>249</v>
      </c>
      <c r="K497" s="19">
        <f t="shared" si="87"/>
        <v>16</v>
      </c>
      <c r="L497" s="19">
        <f t="shared" si="88"/>
        <v>265</v>
      </c>
      <c r="M497" s="17">
        <f t="shared" si="89"/>
        <v>265</v>
      </c>
      <c r="N497" s="22">
        <f t="shared" si="90"/>
        <v>0.85457063711911352</v>
      </c>
      <c r="O497" s="22">
        <f t="shared" si="91"/>
        <v>0.39335180055401664</v>
      </c>
      <c r="P497" s="22">
        <f t="shared" si="92"/>
        <v>0.46121883656509688</v>
      </c>
      <c r="Q497" t="str">
        <f t="shared" si="93"/>
        <v>High ESG / weak pillar (analytical flag - not an ESG rating) - warrants investigation</v>
      </c>
      <c r="S497">
        <f t="shared" si="94"/>
        <v>265.0009503</v>
      </c>
      <c r="T497" s="23">
        <f t="shared" si="95"/>
        <v>0.46216913656509689</v>
      </c>
    </row>
    <row r="498" spans="1:20" ht="15" customHeight="1" x14ac:dyDescent="0.35">
      <c r="A498" t="str">
        <f>Benchmarking!A498</f>
        <v>Exelon Corp</v>
      </c>
      <c r="B498" t="str">
        <f>Benchmarking!B498</f>
        <v>exc</v>
      </c>
      <c r="C498" t="str">
        <f>Benchmarking!C498</f>
        <v>Utilities</v>
      </c>
      <c r="D498" s="17">
        <f>Benchmarking!D498</f>
        <v>694</v>
      </c>
      <c r="E498" s="17">
        <f>Benchmarking!E498</f>
        <v>403</v>
      </c>
      <c r="F498" s="17">
        <f>Benchmarking!F498</f>
        <v>316</v>
      </c>
      <c r="G498" s="17">
        <f>Benchmarking!G498</f>
        <v>1413</v>
      </c>
      <c r="H498" t="str">
        <f t="shared" si="84"/>
        <v>Environmental</v>
      </c>
      <c r="I498" t="str">
        <f t="shared" si="85"/>
        <v>Governance</v>
      </c>
      <c r="J498" s="19">
        <f t="shared" si="86"/>
        <v>291</v>
      </c>
      <c r="K498" s="19">
        <f t="shared" si="87"/>
        <v>87</v>
      </c>
      <c r="L498" s="19">
        <f t="shared" si="88"/>
        <v>378</v>
      </c>
      <c r="M498" s="17">
        <f t="shared" si="89"/>
        <v>378</v>
      </c>
      <c r="N498" s="22">
        <f t="shared" si="90"/>
        <v>0.9889196675900277</v>
      </c>
      <c r="O498" s="22">
        <f t="shared" si="91"/>
        <v>0.88227146814404434</v>
      </c>
      <c r="P498" s="22">
        <f t="shared" si="92"/>
        <v>0.10664819944598336</v>
      </c>
      <c r="Q498" t="str">
        <f t="shared" si="93"/>
        <v/>
      </c>
      <c r="S498">
        <f t="shared" si="94"/>
        <v>378.00095019999998</v>
      </c>
      <c r="T498" s="23">
        <f t="shared" si="95"/>
        <v>0.10759839944598336</v>
      </c>
    </row>
    <row r="499" spans="1:20" ht="15" customHeight="1" x14ac:dyDescent="0.35">
      <c r="A499" t="str">
        <f>Benchmarking!A499</f>
        <v>Expeditors International of Washington Inc</v>
      </c>
      <c r="B499" t="str">
        <f>Benchmarking!B499</f>
        <v>expd</v>
      </c>
      <c r="C499" t="str">
        <f>Benchmarking!C499</f>
        <v>Logistics &amp; Transportation</v>
      </c>
      <c r="D499" s="17">
        <f>Benchmarking!D499</f>
        <v>510</v>
      </c>
      <c r="E499" s="17">
        <f>Benchmarking!E499</f>
        <v>302</v>
      </c>
      <c r="F499" s="17">
        <f>Benchmarking!F499</f>
        <v>300</v>
      </c>
      <c r="G499" s="17">
        <f>Benchmarking!G499</f>
        <v>1112</v>
      </c>
      <c r="H499" t="str">
        <f t="shared" si="84"/>
        <v>Environmental</v>
      </c>
      <c r="I499" t="str">
        <f t="shared" si="85"/>
        <v>Governance</v>
      </c>
      <c r="J499" s="19">
        <f t="shared" si="86"/>
        <v>208</v>
      </c>
      <c r="K499" s="19">
        <f t="shared" si="87"/>
        <v>2</v>
      </c>
      <c r="L499" s="19">
        <f t="shared" si="88"/>
        <v>210</v>
      </c>
      <c r="M499" s="17">
        <f t="shared" si="89"/>
        <v>210</v>
      </c>
      <c r="N499" s="22">
        <f t="shared" si="90"/>
        <v>0.64265927977839332</v>
      </c>
      <c r="O499" s="22">
        <f t="shared" si="91"/>
        <v>0.39335180055401664</v>
      </c>
      <c r="P499" s="22">
        <f t="shared" si="92"/>
        <v>0.24930747922437668</v>
      </c>
      <c r="Q499" t="str">
        <f t="shared" si="93"/>
        <v/>
      </c>
      <c r="S499">
        <f t="shared" si="94"/>
        <v>210.00095010000001</v>
      </c>
      <c r="T499" s="23">
        <f t="shared" si="95"/>
        <v>0.25025757922437669</v>
      </c>
    </row>
    <row r="500" spans="1:20" ht="15" customHeight="1" x14ac:dyDescent="0.35">
      <c r="A500" t="str">
        <f>Benchmarking!A500</f>
        <v>Expedia Group Inc</v>
      </c>
      <c r="B500" t="str">
        <f>Benchmarking!B500</f>
        <v>expe</v>
      </c>
      <c r="C500" t="str">
        <f>Benchmarking!C500</f>
        <v>Hotels Restaurants &amp; Leisure</v>
      </c>
      <c r="D500" s="17">
        <f>Benchmarking!D500</f>
        <v>225</v>
      </c>
      <c r="E500" s="17">
        <f>Benchmarking!E500</f>
        <v>242</v>
      </c>
      <c r="F500" s="17">
        <f>Benchmarking!F500</f>
        <v>305</v>
      </c>
      <c r="G500" s="17">
        <f>Benchmarking!G500</f>
        <v>772</v>
      </c>
      <c r="H500" t="str">
        <f t="shared" si="84"/>
        <v>Governance</v>
      </c>
      <c r="I500" t="str">
        <f t="shared" si="85"/>
        <v>Environmental</v>
      </c>
      <c r="J500" s="19">
        <f t="shared" si="86"/>
        <v>-17</v>
      </c>
      <c r="K500" s="19">
        <f t="shared" si="87"/>
        <v>-63</v>
      </c>
      <c r="L500" s="19">
        <f t="shared" si="88"/>
        <v>-80</v>
      </c>
      <c r="M500" s="17">
        <f t="shared" si="89"/>
        <v>80</v>
      </c>
      <c r="N500" s="22">
        <f t="shared" si="90"/>
        <v>0.26869806094182824</v>
      </c>
      <c r="O500" s="22">
        <f t="shared" si="91"/>
        <v>0.17036011080332411</v>
      </c>
      <c r="P500" s="22">
        <f t="shared" si="92"/>
        <v>9.8337950138504132E-2</v>
      </c>
      <c r="Q500" t="str">
        <f t="shared" si="93"/>
        <v/>
      </c>
      <c r="S500">
        <f t="shared" si="94"/>
        <v>80.000950000000003</v>
      </c>
      <c r="T500" s="23">
        <f t="shared" si="95"/>
        <v>9.9287950138504139E-2</v>
      </c>
    </row>
    <row r="501" spans="1:20" ht="15" customHeight="1" x14ac:dyDescent="0.35">
      <c r="A501" t="str">
        <f>Benchmarking!A501</f>
        <v>Fastenal Co</v>
      </c>
      <c r="B501" t="str">
        <f>Benchmarking!B501</f>
        <v>fast</v>
      </c>
      <c r="C501" t="str">
        <f>Benchmarking!C501</f>
        <v>Trading Companies &amp; Distributors</v>
      </c>
      <c r="D501" s="17">
        <f>Benchmarking!D501</f>
        <v>230</v>
      </c>
      <c r="E501" s="17">
        <f>Benchmarking!E501</f>
        <v>302</v>
      </c>
      <c r="F501" s="17">
        <f>Benchmarking!F501</f>
        <v>200</v>
      </c>
      <c r="G501" s="17">
        <f>Benchmarking!G501</f>
        <v>732</v>
      </c>
      <c r="H501" t="str">
        <f t="shared" si="84"/>
        <v>Social</v>
      </c>
      <c r="I501" t="str">
        <f t="shared" si="85"/>
        <v>Governance</v>
      </c>
      <c r="J501" s="19">
        <f t="shared" si="86"/>
        <v>-72</v>
      </c>
      <c r="K501" s="19">
        <f t="shared" si="87"/>
        <v>102</v>
      </c>
      <c r="L501" s="19">
        <f t="shared" si="88"/>
        <v>30</v>
      </c>
      <c r="M501" s="17">
        <f t="shared" si="89"/>
        <v>102</v>
      </c>
      <c r="N501" s="22">
        <f t="shared" si="90"/>
        <v>0.1994459833795014</v>
      </c>
      <c r="O501" s="22">
        <f t="shared" si="91"/>
        <v>2.7700831024930748E-3</v>
      </c>
      <c r="P501" s="22">
        <f t="shared" si="92"/>
        <v>0.19667590027700832</v>
      </c>
      <c r="Q501" t="str">
        <f t="shared" si="93"/>
        <v/>
      </c>
      <c r="S501">
        <f t="shared" si="94"/>
        <v>102.00094989999999</v>
      </c>
      <c r="T501" s="23">
        <f t="shared" si="95"/>
        <v>0.19762580027700832</v>
      </c>
    </row>
    <row r="502" spans="1:20" ht="15" customHeight="1" x14ac:dyDescent="0.35">
      <c r="A502" t="str">
        <f>Benchmarking!A502</f>
        <v>F5 Inc</v>
      </c>
      <c r="B502" t="str">
        <f>Benchmarking!B502</f>
        <v>ffiv</v>
      </c>
      <c r="C502" t="str">
        <f>Benchmarking!C502</f>
        <v>Communications</v>
      </c>
      <c r="D502" s="17">
        <f>Benchmarking!D502</f>
        <v>200</v>
      </c>
      <c r="E502" s="17">
        <f>Benchmarking!E502</f>
        <v>221</v>
      </c>
      <c r="F502" s="17">
        <f>Benchmarking!F502</f>
        <v>215</v>
      </c>
      <c r="G502" s="17">
        <f>Benchmarking!G502</f>
        <v>636</v>
      </c>
      <c r="H502" t="str">
        <f t="shared" si="84"/>
        <v>Social</v>
      </c>
      <c r="I502" t="str">
        <f t="shared" si="85"/>
        <v>Environmental</v>
      </c>
      <c r="J502" s="19">
        <f t="shared" si="86"/>
        <v>-21</v>
      </c>
      <c r="K502" s="19">
        <f t="shared" si="87"/>
        <v>6</v>
      </c>
      <c r="L502" s="19">
        <f t="shared" si="88"/>
        <v>-15</v>
      </c>
      <c r="M502" s="17">
        <f t="shared" si="89"/>
        <v>21</v>
      </c>
      <c r="N502" s="22">
        <f t="shared" si="90"/>
        <v>7.2022160664819951E-2</v>
      </c>
      <c r="O502" s="22">
        <f t="shared" si="91"/>
        <v>1.3850415512465374E-3</v>
      </c>
      <c r="P502" s="22">
        <f t="shared" si="92"/>
        <v>7.0637119113573413E-2</v>
      </c>
      <c r="Q502" t="str">
        <f t="shared" si="93"/>
        <v/>
      </c>
      <c r="S502">
        <f t="shared" si="94"/>
        <v>21.000949800000001</v>
      </c>
      <c r="T502" s="23">
        <f t="shared" si="95"/>
        <v>7.1586919113573413E-2</v>
      </c>
    </row>
    <row r="503" spans="1:20" ht="15" customHeight="1" x14ac:dyDescent="0.35">
      <c r="A503" t="str">
        <f>Benchmarking!A503</f>
        <v>Fiserv Inc</v>
      </c>
      <c r="B503" t="str">
        <f>Benchmarking!B503</f>
        <v>fisv</v>
      </c>
      <c r="C503" t="str">
        <f>Benchmarking!C503</f>
        <v>Technology</v>
      </c>
      <c r="D503" s="17">
        <f>Benchmarking!D503</f>
        <v>395</v>
      </c>
      <c r="E503" s="17">
        <f>Benchmarking!E503</f>
        <v>302</v>
      </c>
      <c r="F503" s="17">
        <f>Benchmarking!F503</f>
        <v>310</v>
      </c>
      <c r="G503" s="17">
        <f>Benchmarking!G503</f>
        <v>1007</v>
      </c>
      <c r="H503" t="str">
        <f t="shared" si="84"/>
        <v>Environmental</v>
      </c>
      <c r="I503" t="str">
        <f t="shared" si="85"/>
        <v>Social</v>
      </c>
      <c r="J503" s="19">
        <f t="shared" si="86"/>
        <v>93</v>
      </c>
      <c r="K503" s="19">
        <f t="shared" si="87"/>
        <v>-8</v>
      </c>
      <c r="L503" s="19">
        <f t="shared" si="88"/>
        <v>85</v>
      </c>
      <c r="M503" s="17">
        <f t="shared" si="89"/>
        <v>93</v>
      </c>
      <c r="N503" s="22">
        <f t="shared" si="90"/>
        <v>0.47506925207756234</v>
      </c>
      <c r="O503" s="22">
        <f t="shared" si="91"/>
        <v>0.44736842105263158</v>
      </c>
      <c r="P503" s="22">
        <f t="shared" si="92"/>
        <v>2.7700831024930761E-2</v>
      </c>
      <c r="Q503" t="str">
        <f t="shared" si="93"/>
        <v/>
      </c>
      <c r="S503">
        <f t="shared" si="94"/>
        <v>93.000949700000007</v>
      </c>
      <c r="T503" s="23">
        <f t="shared" si="95"/>
        <v>2.8650531024930762E-2</v>
      </c>
    </row>
    <row r="504" spans="1:20" ht="15" customHeight="1" x14ac:dyDescent="0.35">
      <c r="A504" t="str">
        <f>Benchmarking!A504</f>
        <v>Equinix Inc</v>
      </c>
      <c r="B504" t="str">
        <f>Benchmarking!B504</f>
        <v>eqix</v>
      </c>
      <c r="C504" t="str">
        <f>Benchmarking!C504</f>
        <v>Real Estate</v>
      </c>
      <c r="D504" s="17">
        <f>Benchmarking!D504</f>
        <v>515</v>
      </c>
      <c r="E504" s="17">
        <f>Benchmarking!E504</f>
        <v>323</v>
      </c>
      <c r="F504" s="17">
        <f>Benchmarking!F504</f>
        <v>315</v>
      </c>
      <c r="G504" s="17">
        <f>Benchmarking!G504</f>
        <v>1153</v>
      </c>
      <c r="H504" t="str">
        <f t="shared" si="84"/>
        <v>Environmental</v>
      </c>
      <c r="I504" t="str">
        <f t="shared" si="85"/>
        <v>Governance</v>
      </c>
      <c r="J504" s="19">
        <f t="shared" si="86"/>
        <v>192</v>
      </c>
      <c r="K504" s="19">
        <f t="shared" si="87"/>
        <v>8</v>
      </c>
      <c r="L504" s="19">
        <f t="shared" si="88"/>
        <v>200</v>
      </c>
      <c r="M504" s="17">
        <f t="shared" si="89"/>
        <v>200</v>
      </c>
      <c r="N504" s="22">
        <f t="shared" si="90"/>
        <v>0.7770083102493075</v>
      </c>
      <c r="O504" s="22">
        <f t="shared" si="91"/>
        <v>0.70914127423822715</v>
      </c>
      <c r="P504" s="22">
        <f t="shared" si="92"/>
        <v>6.7867036011080351E-2</v>
      </c>
      <c r="Q504" t="str">
        <f t="shared" si="93"/>
        <v/>
      </c>
      <c r="S504">
        <f t="shared" si="94"/>
        <v>200.00094960000001</v>
      </c>
      <c r="T504" s="23">
        <f t="shared" si="95"/>
        <v>6.8816636011080345E-2</v>
      </c>
    </row>
    <row r="505" spans="1:20" ht="15" customHeight="1" x14ac:dyDescent="0.35">
      <c r="A505" t="str">
        <f>Benchmarking!A505</f>
        <v>Fortinet Inc</v>
      </c>
      <c r="B505" t="str">
        <f>Benchmarking!B505</f>
        <v>ftnt</v>
      </c>
      <c r="C505" t="str">
        <f>Benchmarking!C505</f>
        <v>Technology</v>
      </c>
      <c r="D505" s="17">
        <f>Benchmarking!D505</f>
        <v>500</v>
      </c>
      <c r="E505" s="17">
        <f>Benchmarking!E505</f>
        <v>306</v>
      </c>
      <c r="F505" s="17">
        <f>Benchmarking!F505</f>
        <v>305</v>
      </c>
      <c r="G505" s="17">
        <f>Benchmarking!G505</f>
        <v>1111</v>
      </c>
      <c r="H505" t="str">
        <f t="shared" si="84"/>
        <v>Environmental</v>
      </c>
      <c r="I505" t="str">
        <f t="shared" si="85"/>
        <v>Governance</v>
      </c>
      <c r="J505" s="19">
        <f t="shared" si="86"/>
        <v>194</v>
      </c>
      <c r="K505" s="19">
        <f t="shared" si="87"/>
        <v>1</v>
      </c>
      <c r="L505" s="19">
        <f t="shared" si="88"/>
        <v>195</v>
      </c>
      <c r="M505" s="17">
        <f t="shared" si="89"/>
        <v>195</v>
      </c>
      <c r="N505" s="22">
        <f t="shared" si="90"/>
        <v>0.6412742382271468</v>
      </c>
      <c r="O505" s="22">
        <f t="shared" si="91"/>
        <v>0.51246537396121883</v>
      </c>
      <c r="P505" s="22">
        <f t="shared" si="92"/>
        <v>0.12880886426592797</v>
      </c>
      <c r="Q505" t="str">
        <f t="shared" si="93"/>
        <v/>
      </c>
      <c r="S505">
        <f t="shared" si="94"/>
        <v>195.00094949999999</v>
      </c>
      <c r="T505" s="23">
        <f t="shared" si="95"/>
        <v>0.12975836426592796</v>
      </c>
    </row>
    <row r="506" spans="1:20" ht="15" customHeight="1" x14ac:dyDescent="0.35">
      <c r="A506" t="str">
        <f>Benchmarking!A506</f>
        <v>ETSY Inc</v>
      </c>
      <c r="B506" t="str">
        <f>Benchmarking!B506</f>
        <v>etsy</v>
      </c>
      <c r="C506" t="str">
        <f>Benchmarking!C506</f>
        <v>Retail</v>
      </c>
      <c r="D506" s="17">
        <f>Benchmarking!D506</f>
        <v>235</v>
      </c>
      <c r="E506" s="17">
        <f>Benchmarking!E506</f>
        <v>241</v>
      </c>
      <c r="F506" s="17">
        <f>Benchmarking!F506</f>
        <v>235</v>
      </c>
      <c r="G506" s="17">
        <f>Benchmarking!G506</f>
        <v>711</v>
      </c>
      <c r="H506" t="str">
        <f t="shared" si="84"/>
        <v>Social</v>
      </c>
      <c r="I506" t="str">
        <f t="shared" si="85"/>
        <v>Environmental</v>
      </c>
      <c r="J506" s="19">
        <f t="shared" si="86"/>
        <v>-6</v>
      </c>
      <c r="K506" s="19">
        <f t="shared" si="87"/>
        <v>6</v>
      </c>
      <c r="L506" s="19">
        <f t="shared" si="88"/>
        <v>0</v>
      </c>
      <c r="M506" s="17">
        <f t="shared" si="89"/>
        <v>6</v>
      </c>
      <c r="N506" s="22">
        <f t="shared" si="90"/>
        <v>0.17590027700831026</v>
      </c>
      <c r="O506" s="22">
        <f t="shared" si="91"/>
        <v>0.22160664819944598</v>
      </c>
      <c r="P506" s="22">
        <f t="shared" si="92"/>
        <v>-4.5706371191135714E-2</v>
      </c>
      <c r="Q506" t="str">
        <f t="shared" si="93"/>
        <v/>
      </c>
      <c r="S506">
        <f t="shared" si="94"/>
        <v>6.0009493999999997</v>
      </c>
      <c r="T506" s="23">
        <f t="shared" si="95"/>
        <v>-4.4756971191135711E-2</v>
      </c>
    </row>
    <row r="507" spans="1:20" ht="15" customHeight="1" x14ac:dyDescent="0.35">
      <c r="A507" t="str">
        <f>Benchmarking!A507</f>
        <v>Franklin Resources Inc</v>
      </c>
      <c r="B507" t="str">
        <f>Benchmarking!B507</f>
        <v>ben</v>
      </c>
      <c r="C507" t="str">
        <f>Benchmarking!C507</f>
        <v>Financial Services</v>
      </c>
      <c r="D507" s="17">
        <f>Benchmarking!D507</f>
        <v>321</v>
      </c>
      <c r="E507" s="17">
        <f>Benchmarking!E507</f>
        <v>349</v>
      </c>
      <c r="F507" s="17">
        <f>Benchmarking!F507</f>
        <v>310</v>
      </c>
      <c r="G507" s="17">
        <f>Benchmarking!G507</f>
        <v>980</v>
      </c>
      <c r="H507" t="str">
        <f t="shared" si="84"/>
        <v>Social</v>
      </c>
      <c r="I507" t="str">
        <f t="shared" si="85"/>
        <v>Governance</v>
      </c>
      <c r="J507" s="19">
        <f t="shared" si="86"/>
        <v>-28</v>
      </c>
      <c r="K507" s="19">
        <f t="shared" si="87"/>
        <v>39</v>
      </c>
      <c r="L507" s="19">
        <f t="shared" si="88"/>
        <v>11</v>
      </c>
      <c r="M507" s="17">
        <f t="shared" si="89"/>
        <v>39</v>
      </c>
      <c r="N507" s="22">
        <f t="shared" si="90"/>
        <v>0.44321329639889195</v>
      </c>
      <c r="O507" s="22">
        <f t="shared" si="91"/>
        <v>0.37257617728531855</v>
      </c>
      <c r="P507" s="22">
        <f t="shared" si="92"/>
        <v>7.0637119113573399E-2</v>
      </c>
      <c r="Q507" t="str">
        <f t="shared" si="93"/>
        <v/>
      </c>
      <c r="S507">
        <f t="shared" si="94"/>
        <v>39.000949300000002</v>
      </c>
      <c r="T507" s="23">
        <f t="shared" si="95"/>
        <v>7.1586419113573399E-2</v>
      </c>
    </row>
    <row r="508" spans="1:20" ht="15" customHeight="1" x14ac:dyDescent="0.35">
      <c r="A508" t="str">
        <f>Benchmarking!A508</f>
        <v>Digital Realty Trust Inc</v>
      </c>
      <c r="B508" t="str">
        <f>Benchmarking!B508</f>
        <v>dlr</v>
      </c>
      <c r="C508" t="str">
        <f>Benchmarking!C508</f>
        <v>Real Estate</v>
      </c>
      <c r="D508" s="17">
        <f>Benchmarking!D508</f>
        <v>540</v>
      </c>
      <c r="E508" s="17">
        <f>Benchmarking!E508</f>
        <v>317</v>
      </c>
      <c r="F508" s="17">
        <f>Benchmarking!F508</f>
        <v>300</v>
      </c>
      <c r="G508" s="17">
        <f>Benchmarking!G508</f>
        <v>1157</v>
      </c>
      <c r="H508" t="str">
        <f t="shared" si="84"/>
        <v>Environmental</v>
      </c>
      <c r="I508" t="str">
        <f t="shared" si="85"/>
        <v>Governance</v>
      </c>
      <c r="J508" s="19">
        <f t="shared" si="86"/>
        <v>223</v>
      </c>
      <c r="K508" s="19">
        <f t="shared" si="87"/>
        <v>17</v>
      </c>
      <c r="L508" s="19">
        <f t="shared" si="88"/>
        <v>240</v>
      </c>
      <c r="M508" s="17">
        <f t="shared" si="89"/>
        <v>240</v>
      </c>
      <c r="N508" s="22">
        <f t="shared" si="90"/>
        <v>0.78947368421052633</v>
      </c>
      <c r="O508" s="22">
        <f t="shared" si="91"/>
        <v>0.39335180055401664</v>
      </c>
      <c r="P508" s="22">
        <f t="shared" si="92"/>
        <v>0.39612188365650969</v>
      </c>
      <c r="Q508" t="str">
        <f t="shared" si="93"/>
        <v/>
      </c>
      <c r="S508">
        <f t="shared" si="94"/>
        <v>240.00094920000001</v>
      </c>
      <c r="T508" s="23">
        <f t="shared" si="95"/>
        <v>0.39707108365650967</v>
      </c>
    </row>
    <row r="509" spans="1:20" ht="15" customHeight="1" x14ac:dyDescent="0.35">
      <c r="A509" t="str">
        <f>Benchmarking!A509</f>
        <v>Danaher Corp</v>
      </c>
      <c r="B509" t="str">
        <f>Benchmarking!B509</f>
        <v>dhr</v>
      </c>
      <c r="C509" t="str">
        <f>Benchmarking!C509</f>
        <v>Life Sciences Tools &amp; Services</v>
      </c>
      <c r="D509" s="17">
        <f>Benchmarking!D509</f>
        <v>530</v>
      </c>
      <c r="E509" s="17">
        <f>Benchmarking!E509</f>
        <v>344</v>
      </c>
      <c r="F509" s="17">
        <f>Benchmarking!F509</f>
        <v>385</v>
      </c>
      <c r="G509" s="17">
        <f>Benchmarking!G509</f>
        <v>1259</v>
      </c>
      <c r="H509" t="str">
        <f t="shared" si="84"/>
        <v>Environmental</v>
      </c>
      <c r="I509" t="str">
        <f t="shared" si="85"/>
        <v>Social</v>
      </c>
      <c r="J509" s="19">
        <f t="shared" si="86"/>
        <v>186</v>
      </c>
      <c r="K509" s="19">
        <f t="shared" si="87"/>
        <v>-41</v>
      </c>
      <c r="L509" s="19">
        <f t="shared" si="88"/>
        <v>145</v>
      </c>
      <c r="M509" s="17">
        <f t="shared" si="89"/>
        <v>186</v>
      </c>
      <c r="N509" s="22">
        <f t="shared" si="90"/>
        <v>0.94321329639889195</v>
      </c>
      <c r="O509" s="22">
        <f t="shared" si="91"/>
        <v>0.79501385041551242</v>
      </c>
      <c r="P509" s="22">
        <f t="shared" si="92"/>
        <v>0.14819944598337953</v>
      </c>
      <c r="Q509" t="str">
        <f t="shared" si="93"/>
        <v/>
      </c>
      <c r="S509">
        <f t="shared" si="94"/>
        <v>186.00094910000001</v>
      </c>
      <c r="T509" s="23">
        <f t="shared" si="95"/>
        <v>0.14914854598337954</v>
      </c>
    </row>
    <row r="510" spans="1:20" ht="15" customHeight="1" x14ac:dyDescent="0.35">
      <c r="A510" t="str">
        <f>Benchmarking!A510</f>
        <v>Equifax Inc</v>
      </c>
      <c r="B510" t="str">
        <f>Benchmarking!B510</f>
        <v>efx</v>
      </c>
      <c r="C510" t="str">
        <f>Benchmarking!C510</f>
        <v>Professional Services</v>
      </c>
      <c r="D510" s="17">
        <f>Benchmarking!D510</f>
        <v>390</v>
      </c>
      <c r="E510" s="17">
        <f>Benchmarking!E510</f>
        <v>300</v>
      </c>
      <c r="F510" s="17">
        <f>Benchmarking!F510</f>
        <v>305</v>
      </c>
      <c r="G510" s="17">
        <f>Benchmarking!G510</f>
        <v>995</v>
      </c>
      <c r="H510" t="str">
        <f t="shared" si="84"/>
        <v>Environmental</v>
      </c>
      <c r="I510" t="str">
        <f t="shared" si="85"/>
        <v>Social</v>
      </c>
      <c r="J510" s="19">
        <f t="shared" si="86"/>
        <v>90</v>
      </c>
      <c r="K510" s="19">
        <f t="shared" si="87"/>
        <v>-5</v>
      </c>
      <c r="L510" s="19">
        <f t="shared" si="88"/>
        <v>85</v>
      </c>
      <c r="M510" s="17">
        <f t="shared" si="89"/>
        <v>90</v>
      </c>
      <c r="N510" s="22">
        <f t="shared" si="90"/>
        <v>0.45152354570637121</v>
      </c>
      <c r="O510" s="22">
        <f t="shared" si="91"/>
        <v>0.36565096952908588</v>
      </c>
      <c r="P510" s="22">
        <f t="shared" si="92"/>
        <v>8.5872576177285331E-2</v>
      </c>
      <c r="Q510" t="str">
        <f t="shared" si="93"/>
        <v/>
      </c>
      <c r="S510">
        <f t="shared" si="94"/>
        <v>90.000949000000006</v>
      </c>
      <c r="T510" s="23">
        <f t="shared" si="95"/>
        <v>8.6821576177285337E-2</v>
      </c>
    </row>
    <row r="511" spans="1:20" ht="15" customHeight="1" x14ac:dyDescent="0.35">
      <c r="A511" t="str">
        <f>Benchmarking!A511</f>
        <v>Estee Lauder Companies Inc</v>
      </c>
      <c r="B511" t="str">
        <f>Benchmarking!B511</f>
        <v>el</v>
      </c>
      <c r="C511" t="str">
        <f>Benchmarking!C511</f>
        <v>Consumer products</v>
      </c>
      <c r="D511" s="17">
        <f>Benchmarking!D511</f>
        <v>500</v>
      </c>
      <c r="E511" s="17">
        <f>Benchmarking!E511</f>
        <v>300</v>
      </c>
      <c r="F511" s="17">
        <f>Benchmarking!F511</f>
        <v>300</v>
      </c>
      <c r="G511" s="17">
        <f>Benchmarking!G511</f>
        <v>1100</v>
      </c>
      <c r="H511" t="str">
        <f t="shared" si="84"/>
        <v>Environmental</v>
      </c>
      <c r="I511" t="str">
        <f t="shared" si="85"/>
        <v>Social</v>
      </c>
      <c r="J511" s="19">
        <f t="shared" si="86"/>
        <v>200</v>
      </c>
      <c r="K511" s="19">
        <f t="shared" si="87"/>
        <v>0</v>
      </c>
      <c r="L511" s="19">
        <f t="shared" si="88"/>
        <v>200</v>
      </c>
      <c r="M511" s="17">
        <f t="shared" si="89"/>
        <v>200</v>
      </c>
      <c r="N511" s="22">
        <f t="shared" si="90"/>
        <v>0.56925207756232687</v>
      </c>
      <c r="O511" s="22">
        <f t="shared" si="91"/>
        <v>0.36565096952908588</v>
      </c>
      <c r="P511" s="22">
        <f t="shared" si="92"/>
        <v>0.203601108033241</v>
      </c>
      <c r="Q511" t="str">
        <f t="shared" si="93"/>
        <v/>
      </c>
      <c r="S511">
        <f t="shared" si="94"/>
        <v>200.0009489</v>
      </c>
      <c r="T511" s="23">
        <f t="shared" si="95"/>
        <v>0.204550008033241</v>
      </c>
    </row>
    <row r="512" spans="1:20" ht="15" customHeight="1" x14ac:dyDescent="0.35">
      <c r="A512" t="str">
        <f>Benchmarking!A512</f>
        <v>Eastman Chemical Co</v>
      </c>
      <c r="B512" t="str">
        <f>Benchmarking!B512</f>
        <v>emn</v>
      </c>
      <c r="C512" t="str">
        <f>Benchmarking!C512</f>
        <v>Chemicals</v>
      </c>
      <c r="D512" s="17">
        <f>Benchmarking!D512</f>
        <v>583</v>
      </c>
      <c r="E512" s="17">
        <f>Benchmarking!E512</f>
        <v>365</v>
      </c>
      <c r="F512" s="17">
        <f>Benchmarking!F512</f>
        <v>310</v>
      </c>
      <c r="G512" s="17">
        <f>Benchmarking!G512</f>
        <v>1258</v>
      </c>
      <c r="H512" t="str">
        <f t="shared" si="84"/>
        <v>Environmental</v>
      </c>
      <c r="I512" t="str">
        <f t="shared" si="85"/>
        <v>Governance</v>
      </c>
      <c r="J512" s="19">
        <f t="shared" si="86"/>
        <v>218</v>
      </c>
      <c r="K512" s="19">
        <f t="shared" si="87"/>
        <v>55</v>
      </c>
      <c r="L512" s="19">
        <f t="shared" si="88"/>
        <v>273</v>
      </c>
      <c r="M512" s="17">
        <f t="shared" si="89"/>
        <v>273</v>
      </c>
      <c r="N512" s="22">
        <f t="shared" si="90"/>
        <v>0.94182825484764543</v>
      </c>
      <c r="O512" s="22">
        <f t="shared" si="91"/>
        <v>0.74653739612188363</v>
      </c>
      <c r="P512" s="22">
        <f t="shared" si="92"/>
        <v>0.1952908587257618</v>
      </c>
      <c r="Q512" t="str">
        <f t="shared" si="93"/>
        <v/>
      </c>
      <c r="S512">
        <f t="shared" si="94"/>
        <v>273.0009488</v>
      </c>
      <c r="T512" s="23">
        <f t="shared" si="95"/>
        <v>0.1962396587257618</v>
      </c>
    </row>
    <row r="513" spans="1:20" ht="15" customHeight="1" x14ac:dyDescent="0.35">
      <c r="A513" t="str">
        <f>Benchmarking!A513</f>
        <v>Emerson Electric Co</v>
      </c>
      <c r="B513" t="str">
        <f>Benchmarking!B513</f>
        <v>emr</v>
      </c>
      <c r="C513" t="str">
        <f>Benchmarking!C513</f>
        <v>Electrical Equipment</v>
      </c>
      <c r="D513" s="17">
        <f>Benchmarking!D513</f>
        <v>605</v>
      </c>
      <c r="E513" s="17">
        <f>Benchmarking!E513</f>
        <v>323</v>
      </c>
      <c r="F513" s="17">
        <f>Benchmarking!F513</f>
        <v>315</v>
      </c>
      <c r="G513" s="17">
        <f>Benchmarking!G513</f>
        <v>1243</v>
      </c>
      <c r="H513" t="str">
        <f t="shared" si="84"/>
        <v>Environmental</v>
      </c>
      <c r="I513" t="str">
        <f t="shared" si="85"/>
        <v>Governance</v>
      </c>
      <c r="J513" s="19">
        <f t="shared" si="86"/>
        <v>282</v>
      </c>
      <c r="K513" s="19">
        <f t="shared" si="87"/>
        <v>8</v>
      </c>
      <c r="L513" s="19">
        <f t="shared" si="88"/>
        <v>290</v>
      </c>
      <c r="M513" s="17">
        <f t="shared" si="89"/>
        <v>290</v>
      </c>
      <c r="N513" s="22">
        <f t="shared" si="90"/>
        <v>0.92659279778393355</v>
      </c>
      <c r="O513" s="22">
        <f t="shared" si="91"/>
        <v>0.75069252077562332</v>
      </c>
      <c r="P513" s="22">
        <f t="shared" si="92"/>
        <v>0.17590027700831024</v>
      </c>
      <c r="Q513" t="str">
        <f t="shared" si="93"/>
        <v/>
      </c>
      <c r="S513">
        <f t="shared" si="94"/>
        <v>290.00094869999998</v>
      </c>
      <c r="T513" s="23">
        <f t="shared" si="95"/>
        <v>0.17684897700831023</v>
      </c>
    </row>
    <row r="514" spans="1:20" ht="15" customHeight="1" x14ac:dyDescent="0.35">
      <c r="A514" t="str">
        <f>Benchmarking!A514</f>
        <v>EOG Resources Inc</v>
      </c>
      <c r="B514" t="str">
        <f>Benchmarking!B514</f>
        <v>eog</v>
      </c>
      <c r="C514" t="str">
        <f>Benchmarking!C514</f>
        <v>Energy</v>
      </c>
      <c r="D514" s="17">
        <f>Benchmarking!D514</f>
        <v>550</v>
      </c>
      <c r="E514" s="17">
        <f>Benchmarking!E514</f>
        <v>252</v>
      </c>
      <c r="F514" s="17">
        <f>Benchmarking!F514</f>
        <v>240</v>
      </c>
      <c r="G514" s="17">
        <f>Benchmarking!G514</f>
        <v>1042</v>
      </c>
      <c r="H514" t="str">
        <f t="shared" si="84"/>
        <v>Environmental</v>
      </c>
      <c r="I514" t="str">
        <f t="shared" si="85"/>
        <v>Governance</v>
      </c>
      <c r="J514" s="19">
        <f t="shared" si="86"/>
        <v>298</v>
      </c>
      <c r="K514" s="19">
        <f t="shared" si="87"/>
        <v>12</v>
      </c>
      <c r="L514" s="19">
        <f t="shared" si="88"/>
        <v>310</v>
      </c>
      <c r="M514" s="17">
        <f t="shared" si="89"/>
        <v>310</v>
      </c>
      <c r="N514" s="22">
        <f t="shared" si="90"/>
        <v>0.49861495844875348</v>
      </c>
      <c r="O514" s="22">
        <f t="shared" si="91"/>
        <v>0.27008310249307477</v>
      </c>
      <c r="P514" s="22">
        <f t="shared" si="92"/>
        <v>0.22853185595567871</v>
      </c>
      <c r="Q514" t="str">
        <f t="shared" si="93"/>
        <v/>
      </c>
      <c r="S514">
        <f t="shared" si="94"/>
        <v>310.00094860000002</v>
      </c>
      <c r="T514" s="23">
        <f t="shared" si="95"/>
        <v>0.2294804559556787</v>
      </c>
    </row>
    <row r="515" spans="1:20" ht="15" customHeight="1" x14ac:dyDescent="0.35">
      <c r="A515" t="str">
        <f>Benchmarking!A515</f>
        <v>Equity Residential</v>
      </c>
      <c r="B515" t="str">
        <f>Benchmarking!B515</f>
        <v>eqr</v>
      </c>
      <c r="C515" t="str">
        <f>Benchmarking!C515</f>
        <v>Real Estate</v>
      </c>
      <c r="D515" s="17">
        <f>Benchmarking!D515</f>
        <v>235</v>
      </c>
      <c r="E515" s="17">
        <f>Benchmarking!E515</f>
        <v>208</v>
      </c>
      <c r="F515" s="17">
        <f>Benchmarking!F515</f>
        <v>210</v>
      </c>
      <c r="G515" s="17">
        <f>Benchmarking!G515</f>
        <v>653</v>
      </c>
      <c r="H515" t="str">
        <f t="shared" si="84"/>
        <v>Environmental</v>
      </c>
      <c r="I515" t="str">
        <f t="shared" si="85"/>
        <v>Social</v>
      </c>
      <c r="J515" s="19">
        <f t="shared" si="86"/>
        <v>27</v>
      </c>
      <c r="K515" s="19">
        <f t="shared" si="87"/>
        <v>-2</v>
      </c>
      <c r="L515" s="19">
        <f t="shared" si="88"/>
        <v>25</v>
      </c>
      <c r="M515" s="17">
        <f t="shared" si="89"/>
        <v>27</v>
      </c>
      <c r="N515" s="22">
        <f t="shared" si="90"/>
        <v>9.9722991689750698E-2</v>
      </c>
      <c r="O515" s="22">
        <f t="shared" si="91"/>
        <v>9.833795013850416E-2</v>
      </c>
      <c r="P515" s="22">
        <f t="shared" si="92"/>
        <v>1.385041551246538E-3</v>
      </c>
      <c r="Q515" t="str">
        <f t="shared" si="93"/>
        <v/>
      </c>
      <c r="S515">
        <f t="shared" si="94"/>
        <v>27.0009485</v>
      </c>
      <c r="T515" s="23">
        <f t="shared" si="95"/>
        <v>2.3335415512465382E-3</v>
      </c>
    </row>
    <row r="516" spans="1:20" ht="15" customHeight="1" x14ac:dyDescent="0.35">
      <c r="A516" t="str">
        <f>Benchmarking!A516</f>
        <v>Eversource Energy</v>
      </c>
      <c r="B516" t="str">
        <f>Benchmarking!B516</f>
        <v>es</v>
      </c>
      <c r="C516" t="str">
        <f>Benchmarking!C516</f>
        <v>Utilities</v>
      </c>
      <c r="D516" s="17">
        <f>Benchmarking!D516</f>
        <v>576</v>
      </c>
      <c r="E516" s="17">
        <f>Benchmarking!E516</f>
        <v>409</v>
      </c>
      <c r="F516" s="17">
        <f>Benchmarking!F516</f>
        <v>310</v>
      </c>
      <c r="G516" s="17">
        <f>Benchmarking!G516</f>
        <v>1295</v>
      </c>
      <c r="H516" t="str">
        <f t="shared" ref="H516:H579" si="96">IF(AND(D516&gt;=E516,D516&gt;=F516),"Environmental",IF(AND(E516&gt;=D516,E516&gt;=F516),"Social","Governance"))</f>
        <v>Environmental</v>
      </c>
      <c r="I516" t="str">
        <f t="shared" ref="I516:I579" si="97">IF(AND(D516&lt;=E516,D516&lt;=F516),"Environmental",IF(AND(E516&lt;=D516,E516&lt;=F516),"Social","Governance"))</f>
        <v>Governance</v>
      </c>
      <c r="J516" s="19">
        <f t="shared" ref="J516:J579" si="98">D516-E516</f>
        <v>167</v>
      </c>
      <c r="K516" s="19">
        <f t="shared" ref="K516:K579" si="99">E516-F516</f>
        <v>99</v>
      </c>
      <c r="L516" s="19">
        <f t="shared" ref="L516:L579" si="100">D516-F516</f>
        <v>266</v>
      </c>
      <c r="M516" s="17">
        <f t="shared" ref="M516:M579" si="101">MAX(D516:F516)-MIN(D516:F516)</f>
        <v>266</v>
      </c>
      <c r="N516" s="22">
        <f t="shared" ref="N516:N579" si="102">RANK(G516,$G$4:$G$725,1)/COUNT($G$4:$G$725)</f>
        <v>0.96675900277008309</v>
      </c>
      <c r="O516" s="22">
        <f t="shared" ref="O516:O579" si="103">MIN(RANK(D516,$D$4:$D$725,1)/COUNT($D$4:$D$725),RANK(E516,$E$4:$E$725,1)/COUNT($E$4:$E$725),RANK(F516,$F$4:$F$725,1)/COUNT($F$4:$F$725))</f>
        <v>0.74653739612188363</v>
      </c>
      <c r="P516" s="22">
        <f t="shared" ref="P516:P579" si="104">N516-O516</f>
        <v>0.22022160664819945</v>
      </c>
      <c r="Q516" t="str">
        <f t="shared" ref="Q516:Q579" si="105">IF(AND(N516&gt;=0.7,P516&gt;=0.4),"High ESG / weak pillar (analytical flag - not an ESG rating) - warrants investigation","")</f>
        <v/>
      </c>
      <c r="S516">
        <f t="shared" ref="S516:S579" si="106">M516+(10000-ROW())/10000000</f>
        <v>266.00094840000003</v>
      </c>
      <c r="T516" s="23">
        <f t="shared" ref="T516:T579" si="107">P516+(10000-ROW())/10000000</f>
        <v>0.22117000664819944</v>
      </c>
    </row>
    <row r="517" spans="1:20" ht="15" customHeight="1" x14ac:dyDescent="0.35">
      <c r="A517" t="str">
        <f>Benchmarking!A517</f>
        <v>Essex Property Trust Inc</v>
      </c>
      <c r="B517" t="str">
        <f>Benchmarking!B517</f>
        <v>ess</v>
      </c>
      <c r="C517" t="str">
        <f>Benchmarking!C517</f>
        <v>Real Estate</v>
      </c>
      <c r="D517" s="17">
        <f>Benchmarking!D517</f>
        <v>377</v>
      </c>
      <c r="E517" s="17">
        <f>Benchmarking!E517</f>
        <v>304</v>
      </c>
      <c r="F517" s="17">
        <f>Benchmarking!F517</f>
        <v>210</v>
      </c>
      <c r="G517" s="17">
        <f>Benchmarking!G517</f>
        <v>891</v>
      </c>
      <c r="H517" t="str">
        <f t="shared" si="96"/>
        <v>Environmental</v>
      </c>
      <c r="I517" t="str">
        <f t="shared" si="97"/>
        <v>Governance</v>
      </c>
      <c r="J517" s="19">
        <f t="shared" si="98"/>
        <v>73</v>
      </c>
      <c r="K517" s="19">
        <f t="shared" si="99"/>
        <v>94</v>
      </c>
      <c r="L517" s="19">
        <f t="shared" si="100"/>
        <v>167</v>
      </c>
      <c r="M517" s="17">
        <f t="shared" si="101"/>
        <v>167</v>
      </c>
      <c r="N517" s="22">
        <f t="shared" si="102"/>
        <v>0.36149584487534625</v>
      </c>
      <c r="O517" s="22">
        <f t="shared" si="103"/>
        <v>0.12049861495844875</v>
      </c>
      <c r="P517" s="22">
        <f t="shared" si="104"/>
        <v>0.24099722991689748</v>
      </c>
      <c r="Q517" t="str">
        <f t="shared" si="105"/>
        <v/>
      </c>
      <c r="S517">
        <f t="shared" si="106"/>
        <v>167.0009483</v>
      </c>
      <c r="T517" s="23">
        <f t="shared" si="107"/>
        <v>0.24194552991689749</v>
      </c>
    </row>
    <row r="518" spans="1:20" ht="15" customHeight="1" x14ac:dyDescent="0.35">
      <c r="A518" t="str">
        <f>Benchmarking!A518</f>
        <v>Fifth Third Bancorp</v>
      </c>
      <c r="B518" t="str">
        <f>Benchmarking!B518</f>
        <v>fitb</v>
      </c>
      <c r="C518" t="str">
        <f>Benchmarking!C518</f>
        <v>Banking</v>
      </c>
      <c r="D518" s="17">
        <f>Benchmarking!D518</f>
        <v>313</v>
      </c>
      <c r="E518" s="17">
        <f>Benchmarking!E518</f>
        <v>300</v>
      </c>
      <c r="F518" s="17">
        <f>Benchmarking!F518</f>
        <v>215</v>
      </c>
      <c r="G518" s="17">
        <f>Benchmarking!G518</f>
        <v>828</v>
      </c>
      <c r="H518" t="str">
        <f t="shared" si="96"/>
        <v>Environmental</v>
      </c>
      <c r="I518" t="str">
        <f t="shared" si="97"/>
        <v>Governance</v>
      </c>
      <c r="J518" s="19">
        <f t="shared" si="98"/>
        <v>13</v>
      </c>
      <c r="K518" s="19">
        <f t="shared" si="99"/>
        <v>85</v>
      </c>
      <c r="L518" s="19">
        <f t="shared" si="100"/>
        <v>98</v>
      </c>
      <c r="M518" s="17">
        <f t="shared" si="101"/>
        <v>98</v>
      </c>
      <c r="N518" s="22">
        <f t="shared" si="102"/>
        <v>0.32132963988919666</v>
      </c>
      <c r="O518" s="22">
        <f t="shared" si="103"/>
        <v>0.15373961218836565</v>
      </c>
      <c r="P518" s="22">
        <f t="shared" si="104"/>
        <v>0.16759002770083101</v>
      </c>
      <c r="Q518" t="str">
        <f t="shared" si="105"/>
        <v/>
      </c>
      <c r="S518">
        <f t="shared" si="106"/>
        <v>98.000948199999996</v>
      </c>
      <c r="T518" s="23">
        <f t="shared" si="107"/>
        <v>0.16853822770083102</v>
      </c>
    </row>
    <row r="519" spans="1:20" ht="15" customHeight="1" x14ac:dyDescent="0.35">
      <c r="A519" t="str">
        <f>Benchmarking!A519</f>
        <v>Entergy Corp</v>
      </c>
      <c r="B519" t="str">
        <f>Benchmarking!B519</f>
        <v>etr</v>
      </c>
      <c r="C519" t="str">
        <f>Benchmarking!C519</f>
        <v>Utilities</v>
      </c>
      <c r="D519" s="17">
        <f>Benchmarking!D519</f>
        <v>653</v>
      </c>
      <c r="E519" s="17">
        <f>Benchmarking!E519</f>
        <v>380</v>
      </c>
      <c r="F519" s="17">
        <f>Benchmarking!F519</f>
        <v>310</v>
      </c>
      <c r="G519" s="17">
        <f>Benchmarking!G519</f>
        <v>1343</v>
      </c>
      <c r="H519" t="str">
        <f t="shared" si="96"/>
        <v>Environmental</v>
      </c>
      <c r="I519" t="str">
        <f t="shared" si="97"/>
        <v>Governance</v>
      </c>
      <c r="J519" s="19">
        <f t="shared" si="98"/>
        <v>273</v>
      </c>
      <c r="K519" s="19">
        <f t="shared" si="99"/>
        <v>70</v>
      </c>
      <c r="L519" s="19">
        <f t="shared" si="100"/>
        <v>343</v>
      </c>
      <c r="M519" s="17">
        <f t="shared" si="101"/>
        <v>343</v>
      </c>
      <c r="N519" s="22">
        <f t="shared" si="102"/>
        <v>0.97506925207756234</v>
      </c>
      <c r="O519" s="22">
        <f t="shared" si="103"/>
        <v>0.74653739612188363</v>
      </c>
      <c r="P519" s="22">
        <f t="shared" si="104"/>
        <v>0.22853185595567871</v>
      </c>
      <c r="Q519" t="str">
        <f t="shared" si="105"/>
        <v/>
      </c>
      <c r="S519">
        <f t="shared" si="106"/>
        <v>343.00094810000002</v>
      </c>
      <c r="T519" s="23">
        <f t="shared" si="107"/>
        <v>0.22947995595567872</v>
      </c>
    </row>
    <row r="520" spans="1:20" ht="15" customHeight="1" x14ac:dyDescent="0.35">
      <c r="A520" t="str">
        <f>Benchmarking!A520</f>
        <v>Extra Space Storage Inc</v>
      </c>
      <c r="B520" t="str">
        <f>Benchmarking!B520</f>
        <v>exr</v>
      </c>
      <c r="C520" t="str">
        <f>Benchmarking!C520</f>
        <v>Real Estate</v>
      </c>
      <c r="D520" s="17">
        <f>Benchmarking!D520</f>
        <v>572</v>
      </c>
      <c r="E520" s="17">
        <f>Benchmarking!E520</f>
        <v>289</v>
      </c>
      <c r="F520" s="17">
        <f>Benchmarking!F520</f>
        <v>225</v>
      </c>
      <c r="G520" s="17">
        <f>Benchmarking!G520</f>
        <v>1086</v>
      </c>
      <c r="H520" t="str">
        <f t="shared" si="96"/>
        <v>Environmental</v>
      </c>
      <c r="I520" t="str">
        <f t="shared" si="97"/>
        <v>Governance</v>
      </c>
      <c r="J520" s="19">
        <f t="shared" si="98"/>
        <v>283</v>
      </c>
      <c r="K520" s="19">
        <f t="shared" si="99"/>
        <v>64</v>
      </c>
      <c r="L520" s="19">
        <f t="shared" si="100"/>
        <v>347</v>
      </c>
      <c r="M520" s="17">
        <f t="shared" si="101"/>
        <v>347</v>
      </c>
      <c r="N520" s="22">
        <f t="shared" si="102"/>
        <v>0.54709141274238227</v>
      </c>
      <c r="O520" s="22">
        <f t="shared" si="103"/>
        <v>0.21606648199445982</v>
      </c>
      <c r="P520" s="22">
        <f t="shared" si="104"/>
        <v>0.33102493074792244</v>
      </c>
      <c r="Q520" t="str">
        <f t="shared" si="105"/>
        <v/>
      </c>
      <c r="S520">
        <f t="shared" si="106"/>
        <v>347.00094799999999</v>
      </c>
      <c r="T520" s="23">
        <f t="shared" si="107"/>
        <v>0.33197293074792245</v>
      </c>
    </row>
    <row r="521" spans="1:20" ht="15" customHeight="1" x14ac:dyDescent="0.35">
      <c r="A521" t="str">
        <f>Benchmarking!A521</f>
        <v>Edwards Lifesciences Corp</v>
      </c>
      <c r="B521" t="str">
        <f>Benchmarking!B521</f>
        <v>ew</v>
      </c>
      <c r="C521" t="str">
        <f>Benchmarking!C521</f>
        <v>Health Care</v>
      </c>
      <c r="D521" s="17">
        <f>Benchmarking!D521</f>
        <v>290</v>
      </c>
      <c r="E521" s="17">
        <f>Benchmarking!E521</f>
        <v>333</v>
      </c>
      <c r="F521" s="17">
        <f>Benchmarking!F521</f>
        <v>305</v>
      </c>
      <c r="G521" s="17">
        <f>Benchmarking!G521</f>
        <v>928</v>
      </c>
      <c r="H521" t="str">
        <f t="shared" si="96"/>
        <v>Social</v>
      </c>
      <c r="I521" t="str">
        <f t="shared" si="97"/>
        <v>Environmental</v>
      </c>
      <c r="J521" s="19">
        <f t="shared" si="98"/>
        <v>-43</v>
      </c>
      <c r="K521" s="19">
        <f t="shared" si="99"/>
        <v>28</v>
      </c>
      <c r="L521" s="19">
        <f t="shared" si="100"/>
        <v>-15</v>
      </c>
      <c r="M521" s="17">
        <f t="shared" si="101"/>
        <v>43</v>
      </c>
      <c r="N521" s="22">
        <f t="shared" si="102"/>
        <v>0.39335180055401664</v>
      </c>
      <c r="O521" s="22">
        <f t="shared" si="103"/>
        <v>0.33102493074792244</v>
      </c>
      <c r="P521" s="22">
        <f t="shared" si="104"/>
        <v>6.2326869806094198E-2</v>
      </c>
      <c r="Q521" t="str">
        <f t="shared" si="105"/>
        <v/>
      </c>
      <c r="S521">
        <f t="shared" si="106"/>
        <v>43.0009479</v>
      </c>
      <c r="T521" s="23">
        <f t="shared" si="107"/>
        <v>6.32747698060942E-2</v>
      </c>
    </row>
    <row r="522" spans="1:20" ht="15" customHeight="1" x14ac:dyDescent="0.35">
      <c r="A522" t="str">
        <f>Benchmarking!A522</f>
        <v>Fox Corp</v>
      </c>
      <c r="B522" t="str">
        <f>Benchmarking!B522</f>
        <v>foxa</v>
      </c>
      <c r="C522" t="str">
        <f>Benchmarking!C522</f>
        <v>Media</v>
      </c>
      <c r="D522" s="17">
        <f>Benchmarking!D522</f>
        <v>295</v>
      </c>
      <c r="E522" s="17">
        <f>Benchmarking!E522</f>
        <v>330</v>
      </c>
      <c r="F522" s="17">
        <f>Benchmarking!F522</f>
        <v>315</v>
      </c>
      <c r="G522" s="17">
        <f>Benchmarking!G522</f>
        <v>940</v>
      </c>
      <c r="H522" t="str">
        <f t="shared" si="96"/>
        <v>Social</v>
      </c>
      <c r="I522" t="str">
        <f t="shared" si="97"/>
        <v>Environmental</v>
      </c>
      <c r="J522" s="19">
        <f t="shared" si="98"/>
        <v>-35</v>
      </c>
      <c r="K522" s="19">
        <f t="shared" si="99"/>
        <v>15</v>
      </c>
      <c r="L522" s="19">
        <f t="shared" si="100"/>
        <v>-20</v>
      </c>
      <c r="M522" s="17">
        <f t="shared" si="101"/>
        <v>35</v>
      </c>
      <c r="N522" s="22">
        <f t="shared" si="102"/>
        <v>0.40858725761772852</v>
      </c>
      <c r="O522" s="22">
        <f t="shared" si="103"/>
        <v>0.34487534626038779</v>
      </c>
      <c r="P522" s="22">
        <f t="shared" si="104"/>
        <v>6.3711911357340723E-2</v>
      </c>
      <c r="Q522" t="str">
        <f t="shared" si="105"/>
        <v/>
      </c>
      <c r="S522">
        <f t="shared" si="106"/>
        <v>35.000947799999999</v>
      </c>
      <c r="T522" s="23">
        <f t="shared" si="107"/>
        <v>6.4659711357340721E-2</v>
      </c>
    </row>
    <row r="523" spans="1:20" ht="15" customHeight="1" x14ac:dyDescent="0.35">
      <c r="A523" t="str">
        <f>Benchmarking!A523</f>
        <v>Freeport-McMoRan Inc</v>
      </c>
      <c r="B523" t="str">
        <f>Benchmarking!B523</f>
        <v>fcx</v>
      </c>
      <c r="C523" t="str">
        <f>Benchmarking!C523</f>
        <v>Metals &amp; Mining</v>
      </c>
      <c r="D523" s="17">
        <f>Benchmarking!D523</f>
        <v>608</v>
      </c>
      <c r="E523" s="17">
        <f>Benchmarking!E523</f>
        <v>313</v>
      </c>
      <c r="F523" s="17">
        <f>Benchmarking!F523</f>
        <v>305</v>
      </c>
      <c r="G523" s="17">
        <f>Benchmarking!G523</f>
        <v>1226</v>
      </c>
      <c r="H523" t="str">
        <f t="shared" si="96"/>
        <v>Environmental</v>
      </c>
      <c r="I523" t="str">
        <f t="shared" si="97"/>
        <v>Governance</v>
      </c>
      <c r="J523" s="19">
        <f t="shared" si="98"/>
        <v>295</v>
      </c>
      <c r="K523" s="19">
        <f t="shared" si="99"/>
        <v>8</v>
      </c>
      <c r="L523" s="19">
        <f t="shared" si="100"/>
        <v>303</v>
      </c>
      <c r="M523" s="17">
        <f t="shared" si="101"/>
        <v>303</v>
      </c>
      <c r="N523" s="22">
        <f t="shared" si="102"/>
        <v>0.91412742382271472</v>
      </c>
      <c r="O523" s="22">
        <f t="shared" si="103"/>
        <v>0.63296398891966754</v>
      </c>
      <c r="P523" s="22">
        <f t="shared" si="104"/>
        <v>0.28116343490304718</v>
      </c>
      <c r="Q523" t="str">
        <f t="shared" si="105"/>
        <v/>
      </c>
      <c r="S523">
        <f t="shared" si="106"/>
        <v>303.00094769999998</v>
      </c>
      <c r="T523" s="23">
        <f t="shared" si="107"/>
        <v>0.28211113490304718</v>
      </c>
    </row>
    <row r="524" spans="1:20" ht="15" customHeight="1" x14ac:dyDescent="0.35">
      <c r="A524" t="str">
        <f>Benchmarking!A524</f>
        <v>FirstEnergy Corp</v>
      </c>
      <c r="B524" t="str">
        <f>Benchmarking!B524</f>
        <v>fe</v>
      </c>
      <c r="C524" t="str">
        <f>Benchmarking!C524</f>
        <v>Utilities</v>
      </c>
      <c r="D524" s="17">
        <f>Benchmarking!D524</f>
        <v>510</v>
      </c>
      <c r="E524" s="17">
        <f>Benchmarking!E524</f>
        <v>304</v>
      </c>
      <c r="F524" s="17">
        <f>Benchmarking!F524</f>
        <v>300</v>
      </c>
      <c r="G524" s="17">
        <f>Benchmarking!G524</f>
        <v>1114</v>
      </c>
      <c r="H524" t="str">
        <f t="shared" si="96"/>
        <v>Environmental</v>
      </c>
      <c r="I524" t="str">
        <f t="shared" si="97"/>
        <v>Governance</v>
      </c>
      <c r="J524" s="19">
        <f t="shared" si="98"/>
        <v>206</v>
      </c>
      <c r="K524" s="19">
        <f t="shared" si="99"/>
        <v>4</v>
      </c>
      <c r="L524" s="19">
        <f t="shared" si="100"/>
        <v>210</v>
      </c>
      <c r="M524" s="17">
        <f t="shared" si="101"/>
        <v>210</v>
      </c>
      <c r="N524" s="22">
        <f t="shared" si="102"/>
        <v>0.64819944598337953</v>
      </c>
      <c r="O524" s="22">
        <f t="shared" si="103"/>
        <v>0.39335180055401664</v>
      </c>
      <c r="P524" s="22">
        <f t="shared" si="104"/>
        <v>0.25484764542936289</v>
      </c>
      <c r="Q524" t="str">
        <f t="shared" si="105"/>
        <v/>
      </c>
      <c r="S524">
        <f t="shared" si="106"/>
        <v>210.00094759999999</v>
      </c>
      <c r="T524" s="23">
        <f t="shared" si="107"/>
        <v>0.25579524542936288</v>
      </c>
    </row>
    <row r="525" spans="1:20" ht="15" customHeight="1" x14ac:dyDescent="0.35">
      <c r="A525" t="str">
        <f>Benchmarking!A525</f>
        <v>Fleetcor Technologies Inc</v>
      </c>
      <c r="B525" t="str">
        <f>Benchmarking!B525</f>
        <v>flt</v>
      </c>
      <c r="C525" t="str">
        <f>Benchmarking!C525</f>
        <v>Technology</v>
      </c>
      <c r="D525" s="17">
        <f>Benchmarking!D525</f>
        <v>410</v>
      </c>
      <c r="E525" s="17">
        <f>Benchmarking!E525</f>
        <v>302</v>
      </c>
      <c r="F525" s="17">
        <f>Benchmarking!F525</f>
        <v>300</v>
      </c>
      <c r="G525" s="17">
        <f>Benchmarking!G525</f>
        <v>1012</v>
      </c>
      <c r="H525" t="str">
        <f t="shared" si="96"/>
        <v>Environmental</v>
      </c>
      <c r="I525" t="str">
        <f t="shared" si="97"/>
        <v>Governance</v>
      </c>
      <c r="J525" s="19">
        <f t="shared" si="98"/>
        <v>108</v>
      </c>
      <c r="K525" s="19">
        <f t="shared" si="99"/>
        <v>2</v>
      </c>
      <c r="L525" s="19">
        <f t="shared" si="100"/>
        <v>110</v>
      </c>
      <c r="M525" s="17">
        <f t="shared" si="101"/>
        <v>110</v>
      </c>
      <c r="N525" s="22">
        <f t="shared" si="102"/>
        <v>0.4806094182825485</v>
      </c>
      <c r="O525" s="22">
        <f t="shared" si="103"/>
        <v>0.39335180055401664</v>
      </c>
      <c r="P525" s="22">
        <f t="shared" si="104"/>
        <v>8.7257617728531855E-2</v>
      </c>
      <c r="Q525" t="str">
        <f t="shared" si="105"/>
        <v/>
      </c>
      <c r="S525">
        <f t="shared" si="106"/>
        <v>110.0009475</v>
      </c>
      <c r="T525" s="23">
        <f t="shared" si="107"/>
        <v>8.8205117728531859E-2</v>
      </c>
    </row>
    <row r="526" spans="1:20" ht="15" customHeight="1" x14ac:dyDescent="0.35">
      <c r="A526" t="str">
        <f>Benchmarking!A526</f>
        <v>Fidelity National Information Services Inc</v>
      </c>
      <c r="B526" t="str">
        <f>Benchmarking!B526</f>
        <v>fis</v>
      </c>
      <c r="C526" t="str">
        <f>Benchmarking!C526</f>
        <v>Technology</v>
      </c>
      <c r="D526" s="17">
        <f>Benchmarking!D526</f>
        <v>530</v>
      </c>
      <c r="E526" s="17">
        <f>Benchmarking!E526</f>
        <v>298</v>
      </c>
      <c r="F526" s="17">
        <f>Benchmarking!F526</f>
        <v>310</v>
      </c>
      <c r="G526" s="17">
        <f>Benchmarking!G526</f>
        <v>1138</v>
      </c>
      <c r="H526" t="str">
        <f t="shared" si="96"/>
        <v>Environmental</v>
      </c>
      <c r="I526" t="str">
        <f t="shared" si="97"/>
        <v>Social</v>
      </c>
      <c r="J526" s="19">
        <f t="shared" si="98"/>
        <v>232</v>
      </c>
      <c r="K526" s="19">
        <f t="shared" si="99"/>
        <v>-12</v>
      </c>
      <c r="L526" s="19">
        <f t="shared" si="100"/>
        <v>220</v>
      </c>
      <c r="M526" s="17">
        <f t="shared" si="101"/>
        <v>232</v>
      </c>
      <c r="N526" s="22">
        <f t="shared" si="102"/>
        <v>0.72437673130193903</v>
      </c>
      <c r="O526" s="22">
        <f t="shared" si="103"/>
        <v>0.3587257617728532</v>
      </c>
      <c r="P526" s="22">
        <f t="shared" si="104"/>
        <v>0.36565096952908582</v>
      </c>
      <c r="Q526" t="str">
        <f t="shared" si="105"/>
        <v/>
      </c>
      <c r="S526">
        <f t="shared" si="106"/>
        <v>232.0009474</v>
      </c>
      <c r="T526" s="23">
        <f t="shared" si="107"/>
        <v>0.36659836952908581</v>
      </c>
    </row>
    <row r="527" spans="1:20" ht="15" customHeight="1" x14ac:dyDescent="0.35">
      <c r="A527" t="str">
        <f>Benchmarking!A527</f>
        <v>First Republic Bank</v>
      </c>
      <c r="B527" t="str">
        <f>Benchmarking!B527</f>
        <v>frc</v>
      </c>
      <c r="C527" t="str">
        <f>Benchmarking!C527</f>
        <v>Banking</v>
      </c>
      <c r="D527" s="17">
        <f>Benchmarking!D527</f>
        <v>370</v>
      </c>
      <c r="E527" s="17">
        <f>Benchmarking!E527</f>
        <v>331</v>
      </c>
      <c r="F527" s="17">
        <f>Benchmarking!F527</f>
        <v>288</v>
      </c>
      <c r="G527" s="17">
        <f>Benchmarking!G527</f>
        <v>989</v>
      </c>
      <c r="H527" t="str">
        <f t="shared" si="96"/>
        <v>Environmental</v>
      </c>
      <c r="I527" t="str">
        <f t="shared" si="97"/>
        <v>Governance</v>
      </c>
      <c r="J527" s="19">
        <f t="shared" si="98"/>
        <v>39</v>
      </c>
      <c r="K527" s="19">
        <f t="shared" si="99"/>
        <v>43</v>
      </c>
      <c r="L527" s="19">
        <f t="shared" si="100"/>
        <v>82</v>
      </c>
      <c r="M527" s="17">
        <f t="shared" si="101"/>
        <v>82</v>
      </c>
      <c r="N527" s="22">
        <f t="shared" si="102"/>
        <v>0.44598337950138506</v>
      </c>
      <c r="O527" s="22">
        <f t="shared" si="103"/>
        <v>0.37396121883656508</v>
      </c>
      <c r="P527" s="22">
        <f t="shared" si="104"/>
        <v>7.2022160664819979E-2</v>
      </c>
      <c r="Q527" t="str">
        <f t="shared" si="105"/>
        <v/>
      </c>
      <c r="S527">
        <f t="shared" si="106"/>
        <v>82.000947300000007</v>
      </c>
      <c r="T527" s="23">
        <f t="shared" si="107"/>
        <v>7.2969460664819977E-2</v>
      </c>
    </row>
    <row r="528" spans="1:20" ht="15" customHeight="1" x14ac:dyDescent="0.35">
      <c r="A528" t="str">
        <f>Benchmarking!A528</f>
        <v>FMC Corp</v>
      </c>
      <c r="B528" t="str">
        <f>Benchmarking!B528</f>
        <v>fmc</v>
      </c>
      <c r="C528" t="str">
        <f>Benchmarking!C528</f>
        <v>Chemicals</v>
      </c>
      <c r="D528" s="17">
        <f>Benchmarking!D528</f>
        <v>510</v>
      </c>
      <c r="E528" s="17">
        <f>Benchmarking!E528</f>
        <v>307</v>
      </c>
      <c r="F528" s="17">
        <f>Benchmarking!F528</f>
        <v>315</v>
      </c>
      <c r="G528" s="17">
        <f>Benchmarking!G528</f>
        <v>1132</v>
      </c>
      <c r="H528" t="str">
        <f t="shared" si="96"/>
        <v>Environmental</v>
      </c>
      <c r="I528" t="str">
        <f t="shared" si="97"/>
        <v>Social</v>
      </c>
      <c r="J528" s="19">
        <f t="shared" si="98"/>
        <v>203</v>
      </c>
      <c r="K528" s="19">
        <f t="shared" si="99"/>
        <v>-8</v>
      </c>
      <c r="L528" s="19">
        <f t="shared" si="100"/>
        <v>195</v>
      </c>
      <c r="M528" s="17">
        <f t="shared" si="101"/>
        <v>203</v>
      </c>
      <c r="N528" s="22">
        <f t="shared" si="102"/>
        <v>0.71052631578947367</v>
      </c>
      <c r="O528" s="22">
        <f t="shared" si="103"/>
        <v>0.5983379501385041</v>
      </c>
      <c r="P528" s="22">
        <f t="shared" si="104"/>
        <v>0.11218836565096957</v>
      </c>
      <c r="Q528" t="str">
        <f t="shared" si="105"/>
        <v/>
      </c>
      <c r="S528">
        <f t="shared" si="106"/>
        <v>203.00094720000001</v>
      </c>
      <c r="T528" s="23">
        <f t="shared" si="107"/>
        <v>0.11313556565096956</v>
      </c>
    </row>
    <row r="529" spans="1:20" ht="15" customHeight="1" x14ac:dyDescent="0.35">
      <c r="A529" t="str">
        <f>Benchmarking!A529</f>
        <v>Federal Realty Investment Trust</v>
      </c>
      <c r="B529" t="str">
        <f>Benchmarking!B529</f>
        <v>frt</v>
      </c>
      <c r="C529" t="str">
        <f>Benchmarking!C529</f>
        <v>Real Estate</v>
      </c>
      <c r="D529" s="17">
        <f>Benchmarking!D529</f>
        <v>525</v>
      </c>
      <c r="E529" s="17">
        <f>Benchmarking!E529</f>
        <v>302</v>
      </c>
      <c r="F529" s="17">
        <f>Benchmarking!F529</f>
        <v>300</v>
      </c>
      <c r="G529" s="17">
        <f>Benchmarking!G529</f>
        <v>1127</v>
      </c>
      <c r="H529" t="str">
        <f t="shared" si="96"/>
        <v>Environmental</v>
      </c>
      <c r="I529" t="str">
        <f t="shared" si="97"/>
        <v>Governance</v>
      </c>
      <c r="J529" s="19">
        <f t="shared" si="98"/>
        <v>223</v>
      </c>
      <c r="K529" s="19">
        <f t="shared" si="99"/>
        <v>2</v>
      </c>
      <c r="L529" s="19">
        <f t="shared" si="100"/>
        <v>225</v>
      </c>
      <c r="M529" s="17">
        <f t="shared" si="101"/>
        <v>225</v>
      </c>
      <c r="N529" s="22">
        <f t="shared" si="102"/>
        <v>0.68144044321329644</v>
      </c>
      <c r="O529" s="22">
        <f t="shared" si="103"/>
        <v>0.39335180055401664</v>
      </c>
      <c r="P529" s="22">
        <f t="shared" si="104"/>
        <v>0.2880886426592798</v>
      </c>
      <c r="Q529" t="str">
        <f t="shared" si="105"/>
        <v/>
      </c>
      <c r="S529">
        <f t="shared" si="106"/>
        <v>225.00094709999999</v>
      </c>
      <c r="T529" s="23">
        <f t="shared" si="107"/>
        <v>0.28903574265927978</v>
      </c>
    </row>
    <row r="530" spans="1:20" ht="15" customHeight="1" x14ac:dyDescent="0.35">
      <c r="A530" t="str">
        <f>Benchmarking!A530</f>
        <v>Fortive Corp</v>
      </c>
      <c r="B530" t="str">
        <f>Benchmarking!B530</f>
        <v>ftv</v>
      </c>
      <c r="C530" t="str">
        <f>Benchmarking!C530</f>
        <v>Machinery</v>
      </c>
      <c r="D530" s="17">
        <f>Benchmarking!D530</f>
        <v>540</v>
      </c>
      <c r="E530" s="17">
        <f>Benchmarking!E530</f>
        <v>326</v>
      </c>
      <c r="F530" s="17">
        <f>Benchmarking!F530</f>
        <v>305</v>
      </c>
      <c r="G530" s="17">
        <f>Benchmarking!G530</f>
        <v>1171</v>
      </c>
      <c r="H530" t="str">
        <f t="shared" si="96"/>
        <v>Environmental</v>
      </c>
      <c r="I530" t="str">
        <f t="shared" si="97"/>
        <v>Governance</v>
      </c>
      <c r="J530" s="19">
        <f t="shared" si="98"/>
        <v>214</v>
      </c>
      <c r="K530" s="19">
        <f t="shared" si="99"/>
        <v>21</v>
      </c>
      <c r="L530" s="19">
        <f t="shared" si="100"/>
        <v>235</v>
      </c>
      <c r="M530" s="17">
        <f t="shared" si="101"/>
        <v>235</v>
      </c>
      <c r="N530" s="22">
        <f t="shared" si="102"/>
        <v>0.82825484764542934</v>
      </c>
      <c r="O530" s="22">
        <f t="shared" si="103"/>
        <v>0.63296398891966754</v>
      </c>
      <c r="P530" s="22">
        <f t="shared" si="104"/>
        <v>0.1952908587257618</v>
      </c>
      <c r="Q530" t="str">
        <f t="shared" si="105"/>
        <v/>
      </c>
      <c r="S530">
        <f t="shared" si="106"/>
        <v>235.000947</v>
      </c>
      <c r="T530" s="23">
        <f t="shared" si="107"/>
        <v>0.1962378587257618</v>
      </c>
    </row>
    <row r="531" spans="1:20" ht="15" customHeight="1" x14ac:dyDescent="0.35">
      <c r="A531" t="str">
        <f>Benchmarking!A531</f>
        <v>Gap Inc</v>
      </c>
      <c r="B531" t="str">
        <f>Benchmarking!B531</f>
        <v>gps</v>
      </c>
      <c r="C531" t="str">
        <f>Benchmarking!C531</f>
        <v>Retail</v>
      </c>
      <c r="D531" s="17">
        <f>Benchmarking!D531</f>
        <v>515</v>
      </c>
      <c r="E531" s="17">
        <f>Benchmarking!E531</f>
        <v>349</v>
      </c>
      <c r="F531" s="17">
        <f>Benchmarking!F531</f>
        <v>300</v>
      </c>
      <c r="G531" s="17">
        <f>Benchmarking!G531</f>
        <v>1164</v>
      </c>
      <c r="H531" t="str">
        <f t="shared" si="96"/>
        <v>Environmental</v>
      </c>
      <c r="I531" t="str">
        <f t="shared" si="97"/>
        <v>Governance</v>
      </c>
      <c r="J531" s="19">
        <f t="shared" si="98"/>
        <v>166</v>
      </c>
      <c r="K531" s="19">
        <f t="shared" si="99"/>
        <v>49</v>
      </c>
      <c r="L531" s="19">
        <f t="shared" si="100"/>
        <v>215</v>
      </c>
      <c r="M531" s="17">
        <f t="shared" si="101"/>
        <v>215</v>
      </c>
      <c r="N531" s="22">
        <f t="shared" si="102"/>
        <v>0.80886426592797789</v>
      </c>
      <c r="O531" s="22">
        <f t="shared" si="103"/>
        <v>0.39335180055401664</v>
      </c>
      <c r="P531" s="22">
        <f t="shared" si="104"/>
        <v>0.41551246537396125</v>
      </c>
      <c r="Q531" t="str">
        <f t="shared" si="105"/>
        <v>High ESG / weak pillar (analytical flag - not an ESG rating) - warrants investigation</v>
      </c>
      <c r="S531">
        <f t="shared" si="106"/>
        <v>215.0009469</v>
      </c>
      <c r="T531" s="23">
        <f t="shared" si="107"/>
        <v>0.41645936537396122</v>
      </c>
    </row>
    <row r="532" spans="1:20" ht="15" customHeight="1" x14ac:dyDescent="0.35">
      <c r="A532" t="str">
        <f>Benchmarking!A532</f>
        <v>Garmin Ltd</v>
      </c>
      <c r="B532" t="str">
        <f>Benchmarking!B532</f>
        <v>grmn</v>
      </c>
      <c r="C532" t="str">
        <f>Benchmarking!C532</f>
        <v>Consumer products</v>
      </c>
      <c r="D532" s="17">
        <f>Benchmarking!D532</f>
        <v>205</v>
      </c>
      <c r="E532" s="17">
        <f>Benchmarking!E532</f>
        <v>242</v>
      </c>
      <c r="F532" s="17">
        <f>Benchmarking!F532</f>
        <v>200</v>
      </c>
      <c r="G532" s="17">
        <f>Benchmarking!G532</f>
        <v>647</v>
      </c>
      <c r="H532" t="str">
        <f t="shared" si="96"/>
        <v>Social</v>
      </c>
      <c r="I532" t="str">
        <f t="shared" si="97"/>
        <v>Governance</v>
      </c>
      <c r="J532" s="19">
        <f t="shared" si="98"/>
        <v>-37</v>
      </c>
      <c r="K532" s="19">
        <f t="shared" si="99"/>
        <v>42</v>
      </c>
      <c r="L532" s="19">
        <f t="shared" si="100"/>
        <v>5</v>
      </c>
      <c r="M532" s="17">
        <f t="shared" si="101"/>
        <v>42</v>
      </c>
      <c r="N532" s="22">
        <f t="shared" si="102"/>
        <v>8.8642659279778394E-2</v>
      </c>
      <c r="O532" s="22">
        <f t="shared" si="103"/>
        <v>2.7700831024930748E-3</v>
      </c>
      <c r="P532" s="22">
        <f t="shared" si="104"/>
        <v>8.5872576177285317E-2</v>
      </c>
      <c r="Q532" t="str">
        <f t="shared" si="105"/>
        <v/>
      </c>
      <c r="S532">
        <f t="shared" si="106"/>
        <v>42.000946800000001</v>
      </c>
      <c r="T532" s="23">
        <f t="shared" si="107"/>
        <v>8.6819376177285315E-2</v>
      </c>
    </row>
    <row r="533" spans="1:20" ht="15" customHeight="1" x14ac:dyDescent="0.35">
      <c r="A533" t="str">
        <f>Benchmarking!A533</f>
        <v>Gartner Inc</v>
      </c>
      <c r="B533" t="str">
        <f>Benchmarking!B533</f>
        <v>it</v>
      </c>
      <c r="C533" t="str">
        <f>Benchmarking!C533</f>
        <v>Technology</v>
      </c>
      <c r="D533" s="17">
        <f>Benchmarking!D533</f>
        <v>500</v>
      </c>
      <c r="E533" s="17">
        <f>Benchmarking!E533</f>
        <v>316</v>
      </c>
      <c r="F533" s="17">
        <f>Benchmarking!F533</f>
        <v>315</v>
      </c>
      <c r="G533" s="17">
        <f>Benchmarking!G533</f>
        <v>1131</v>
      </c>
      <c r="H533" t="str">
        <f t="shared" si="96"/>
        <v>Environmental</v>
      </c>
      <c r="I533" t="str">
        <f t="shared" si="97"/>
        <v>Governance</v>
      </c>
      <c r="J533" s="19">
        <f t="shared" si="98"/>
        <v>184</v>
      </c>
      <c r="K533" s="19">
        <f t="shared" si="99"/>
        <v>1</v>
      </c>
      <c r="L533" s="19">
        <f t="shared" si="100"/>
        <v>185</v>
      </c>
      <c r="M533" s="17">
        <f t="shared" si="101"/>
        <v>185</v>
      </c>
      <c r="N533" s="22">
        <f t="shared" si="102"/>
        <v>0.70360110803324105</v>
      </c>
      <c r="O533" s="22">
        <f t="shared" si="103"/>
        <v>0.51246537396121883</v>
      </c>
      <c r="P533" s="22">
        <f t="shared" si="104"/>
        <v>0.19113573407202222</v>
      </c>
      <c r="Q533" t="str">
        <f t="shared" si="105"/>
        <v/>
      </c>
      <c r="S533">
        <f t="shared" si="106"/>
        <v>185.00094669999999</v>
      </c>
      <c r="T533" s="23">
        <f t="shared" si="107"/>
        <v>0.19208243407202222</v>
      </c>
    </row>
    <row r="534" spans="1:20" ht="15" customHeight="1" x14ac:dyDescent="0.35">
      <c r="A534" t="str">
        <f>Benchmarking!A534</f>
        <v>Eli Lilly and Co</v>
      </c>
      <c r="B534" t="str">
        <f>Benchmarking!B534</f>
        <v>lly</v>
      </c>
      <c r="C534" t="str">
        <f>Benchmarking!C534</f>
        <v>Pharmaceuticals</v>
      </c>
      <c r="D534" s="17">
        <f>Benchmarking!D534</f>
        <v>510</v>
      </c>
      <c r="E534" s="17">
        <f>Benchmarking!E534</f>
        <v>360</v>
      </c>
      <c r="F534" s="17">
        <f>Benchmarking!F534</f>
        <v>310</v>
      </c>
      <c r="G534" s="17">
        <f>Benchmarking!G534</f>
        <v>1180</v>
      </c>
      <c r="H534" t="str">
        <f t="shared" si="96"/>
        <v>Environmental</v>
      </c>
      <c r="I534" t="str">
        <f t="shared" si="97"/>
        <v>Governance</v>
      </c>
      <c r="J534" s="19">
        <f t="shared" si="98"/>
        <v>150</v>
      </c>
      <c r="K534" s="19">
        <f t="shared" si="99"/>
        <v>50</v>
      </c>
      <c r="L534" s="19">
        <f t="shared" si="100"/>
        <v>200</v>
      </c>
      <c r="M534" s="17">
        <f t="shared" si="101"/>
        <v>200</v>
      </c>
      <c r="N534" s="22">
        <f t="shared" si="102"/>
        <v>0.85180055401662047</v>
      </c>
      <c r="O534" s="22">
        <f t="shared" si="103"/>
        <v>0.66620498614958445</v>
      </c>
      <c r="P534" s="22">
        <f t="shared" si="104"/>
        <v>0.18559556786703602</v>
      </c>
      <c r="Q534" t="str">
        <f t="shared" si="105"/>
        <v/>
      </c>
      <c r="S534">
        <f t="shared" si="106"/>
        <v>200.00094659999999</v>
      </c>
      <c r="T534" s="23">
        <f t="shared" si="107"/>
        <v>0.18654216786703601</v>
      </c>
    </row>
    <row r="535" spans="1:20" ht="15" customHeight="1" x14ac:dyDescent="0.35">
      <c r="A535" t="str">
        <f>Benchmarking!A535</f>
        <v>Everest Re Group Ltd</v>
      </c>
      <c r="B535" t="str">
        <f>Benchmarking!B535</f>
        <v>re</v>
      </c>
      <c r="C535" t="str">
        <f>Benchmarking!C535</f>
        <v>Insurance</v>
      </c>
      <c r="D535" s="17">
        <f>Benchmarking!D535</f>
        <v>505</v>
      </c>
      <c r="E535" s="17">
        <f>Benchmarking!E535</f>
        <v>276</v>
      </c>
      <c r="F535" s="17">
        <f>Benchmarking!F535</f>
        <v>305</v>
      </c>
      <c r="G535" s="17">
        <f>Benchmarking!G535</f>
        <v>1086</v>
      </c>
      <c r="H535" t="str">
        <f t="shared" si="96"/>
        <v>Environmental</v>
      </c>
      <c r="I535" t="str">
        <f t="shared" si="97"/>
        <v>Social</v>
      </c>
      <c r="J535" s="19">
        <f t="shared" si="98"/>
        <v>229</v>
      </c>
      <c r="K535" s="19">
        <f t="shared" si="99"/>
        <v>-29</v>
      </c>
      <c r="L535" s="19">
        <f t="shared" si="100"/>
        <v>200</v>
      </c>
      <c r="M535" s="17">
        <f t="shared" si="101"/>
        <v>229</v>
      </c>
      <c r="N535" s="22">
        <f t="shared" si="102"/>
        <v>0.54709141274238227</v>
      </c>
      <c r="O535" s="22">
        <f t="shared" si="103"/>
        <v>0.32409972299168976</v>
      </c>
      <c r="P535" s="22">
        <f t="shared" si="104"/>
        <v>0.2229916897506925</v>
      </c>
      <c r="Q535" t="str">
        <f t="shared" si="105"/>
        <v/>
      </c>
      <c r="S535">
        <f t="shared" si="106"/>
        <v>229.0009465</v>
      </c>
      <c r="T535" s="23">
        <f t="shared" si="107"/>
        <v>0.22393818975069249</v>
      </c>
    </row>
    <row r="536" spans="1:20" ht="15" customHeight="1" x14ac:dyDescent="0.35">
      <c r="A536" t="str">
        <f>Benchmarking!A536</f>
        <v>Evergy Inc</v>
      </c>
      <c r="B536" t="str">
        <f>Benchmarking!B536</f>
        <v>evrg</v>
      </c>
      <c r="C536" t="str">
        <f>Benchmarking!C536</f>
        <v>Utilities</v>
      </c>
      <c r="D536" s="17">
        <f>Benchmarking!D536</f>
        <v>555</v>
      </c>
      <c r="E536" s="17">
        <f>Benchmarking!E536</f>
        <v>310</v>
      </c>
      <c r="F536" s="17">
        <f>Benchmarking!F536</f>
        <v>300</v>
      </c>
      <c r="G536" s="17">
        <f>Benchmarking!G536</f>
        <v>1165</v>
      </c>
      <c r="H536" t="str">
        <f t="shared" si="96"/>
        <v>Environmental</v>
      </c>
      <c r="I536" t="str">
        <f t="shared" si="97"/>
        <v>Governance</v>
      </c>
      <c r="J536" s="19">
        <f t="shared" si="98"/>
        <v>245</v>
      </c>
      <c r="K536" s="19">
        <f t="shared" si="99"/>
        <v>10</v>
      </c>
      <c r="L536" s="19">
        <f t="shared" si="100"/>
        <v>255</v>
      </c>
      <c r="M536" s="17">
        <f t="shared" si="101"/>
        <v>255</v>
      </c>
      <c r="N536" s="22">
        <f t="shared" si="102"/>
        <v>0.81163434903047094</v>
      </c>
      <c r="O536" s="22">
        <f t="shared" si="103"/>
        <v>0.39335180055401664</v>
      </c>
      <c r="P536" s="22">
        <f t="shared" si="104"/>
        <v>0.4182825484764543</v>
      </c>
      <c r="Q536" t="str">
        <f t="shared" si="105"/>
        <v>High ESG / weak pillar (analytical flag - not an ESG rating) - warrants investigation</v>
      </c>
      <c r="S536">
        <f t="shared" si="106"/>
        <v>255.0009464</v>
      </c>
      <c r="T536" s="23">
        <f t="shared" si="107"/>
        <v>0.41922894847645431</v>
      </c>
    </row>
    <row r="537" spans="1:20" ht="15" customHeight="1" x14ac:dyDescent="0.35">
      <c r="A537" t="str">
        <f>Benchmarking!A537</f>
        <v>Fortune Brands Home &amp; Security Inc</v>
      </c>
      <c r="B537" t="str">
        <f>Benchmarking!B537</f>
        <v>fbhs</v>
      </c>
      <c r="C537" t="str">
        <f>Benchmarking!C537</f>
        <v>Building</v>
      </c>
      <c r="D537" s="17">
        <f>Benchmarking!D537</f>
        <v>510</v>
      </c>
      <c r="E537" s="17">
        <f>Benchmarking!E537</f>
        <v>302</v>
      </c>
      <c r="F537" s="17">
        <f>Benchmarking!F537</f>
        <v>300</v>
      </c>
      <c r="G537" s="17">
        <f>Benchmarking!G537</f>
        <v>1112</v>
      </c>
      <c r="H537" t="str">
        <f t="shared" si="96"/>
        <v>Environmental</v>
      </c>
      <c r="I537" t="str">
        <f t="shared" si="97"/>
        <v>Governance</v>
      </c>
      <c r="J537" s="19">
        <f t="shared" si="98"/>
        <v>208</v>
      </c>
      <c r="K537" s="19">
        <f t="shared" si="99"/>
        <v>2</v>
      </c>
      <c r="L537" s="19">
        <f t="shared" si="100"/>
        <v>210</v>
      </c>
      <c r="M537" s="17">
        <f t="shared" si="101"/>
        <v>210</v>
      </c>
      <c r="N537" s="22">
        <f t="shared" si="102"/>
        <v>0.64265927977839332</v>
      </c>
      <c r="O537" s="22">
        <f t="shared" si="103"/>
        <v>0.39335180055401664</v>
      </c>
      <c r="P537" s="22">
        <f t="shared" si="104"/>
        <v>0.24930747922437668</v>
      </c>
      <c r="Q537" t="str">
        <f t="shared" si="105"/>
        <v/>
      </c>
      <c r="S537">
        <f t="shared" si="106"/>
        <v>210.00094630000001</v>
      </c>
      <c r="T537" s="23">
        <f t="shared" si="107"/>
        <v>0.25025377922437669</v>
      </c>
    </row>
    <row r="538" spans="1:20" ht="15" customHeight="1" x14ac:dyDescent="0.35">
      <c r="A538" t="str">
        <f>Benchmarking!A538</f>
        <v>Gilead Sciences Inc</v>
      </c>
      <c r="B538" t="str">
        <f>Benchmarking!B538</f>
        <v>gild</v>
      </c>
      <c r="C538" t="str">
        <f>Benchmarking!C538</f>
        <v>Biotechnology</v>
      </c>
      <c r="D538" s="17">
        <f>Benchmarking!D538</f>
        <v>500</v>
      </c>
      <c r="E538" s="17">
        <f>Benchmarking!E538</f>
        <v>303</v>
      </c>
      <c r="F538" s="17">
        <f>Benchmarking!F538</f>
        <v>300</v>
      </c>
      <c r="G538" s="17">
        <f>Benchmarking!G538</f>
        <v>1103</v>
      </c>
      <c r="H538" t="str">
        <f t="shared" si="96"/>
        <v>Environmental</v>
      </c>
      <c r="I538" t="str">
        <f t="shared" si="97"/>
        <v>Governance</v>
      </c>
      <c r="J538" s="19">
        <f t="shared" si="98"/>
        <v>197</v>
      </c>
      <c r="K538" s="19">
        <f t="shared" si="99"/>
        <v>3</v>
      </c>
      <c r="L538" s="19">
        <f t="shared" si="100"/>
        <v>200</v>
      </c>
      <c r="M538" s="17">
        <f t="shared" si="101"/>
        <v>200</v>
      </c>
      <c r="N538" s="22">
        <f t="shared" si="102"/>
        <v>0.61634349030470914</v>
      </c>
      <c r="O538" s="22">
        <f t="shared" si="103"/>
        <v>0.39335180055401664</v>
      </c>
      <c r="P538" s="22">
        <f t="shared" si="104"/>
        <v>0.2229916897506925</v>
      </c>
      <c r="Q538" t="str">
        <f t="shared" si="105"/>
        <v/>
      </c>
      <c r="S538">
        <f t="shared" si="106"/>
        <v>200.00094619999999</v>
      </c>
      <c r="T538" s="23">
        <f t="shared" si="107"/>
        <v>0.22393788975069251</v>
      </c>
    </row>
    <row r="539" spans="1:20" ht="15" customHeight="1" x14ac:dyDescent="0.35">
      <c r="A539" t="str">
        <f>Benchmarking!A539</f>
        <v>Hologic Inc</v>
      </c>
      <c r="B539" t="str">
        <f>Benchmarking!B539</f>
        <v>holx</v>
      </c>
      <c r="C539" t="str">
        <f>Benchmarking!C539</f>
        <v>Health Care</v>
      </c>
      <c r="D539" s="17">
        <f>Benchmarking!D539</f>
        <v>515</v>
      </c>
      <c r="E539" s="17">
        <f>Benchmarking!E539</f>
        <v>324</v>
      </c>
      <c r="F539" s="17">
        <f>Benchmarking!F539</f>
        <v>315</v>
      </c>
      <c r="G539" s="17">
        <f>Benchmarking!G539</f>
        <v>1154</v>
      </c>
      <c r="H539" t="str">
        <f t="shared" si="96"/>
        <v>Environmental</v>
      </c>
      <c r="I539" t="str">
        <f t="shared" si="97"/>
        <v>Governance</v>
      </c>
      <c r="J539" s="19">
        <f t="shared" si="98"/>
        <v>191</v>
      </c>
      <c r="K539" s="19">
        <f t="shared" si="99"/>
        <v>9</v>
      </c>
      <c r="L539" s="19">
        <f t="shared" si="100"/>
        <v>200</v>
      </c>
      <c r="M539" s="17">
        <f t="shared" si="101"/>
        <v>200</v>
      </c>
      <c r="N539" s="22">
        <f t="shared" si="102"/>
        <v>0.78116343490304707</v>
      </c>
      <c r="O539" s="22">
        <f t="shared" si="103"/>
        <v>0.70914127423822715</v>
      </c>
      <c r="P539" s="22">
        <f t="shared" si="104"/>
        <v>7.2022160664819923E-2</v>
      </c>
      <c r="Q539" t="str">
        <f t="shared" si="105"/>
        <v/>
      </c>
      <c r="S539">
        <f t="shared" si="106"/>
        <v>200.00094609999999</v>
      </c>
      <c r="T539" s="23">
        <f t="shared" si="107"/>
        <v>7.2968260664819928E-2</v>
      </c>
    </row>
    <row r="540" spans="1:20" ht="15" customHeight="1" x14ac:dyDescent="0.35">
      <c r="A540" t="str">
        <f>Benchmarking!A540</f>
        <v>Henry Schein Inc</v>
      </c>
      <c r="B540" t="str">
        <f>Benchmarking!B540</f>
        <v>hsic</v>
      </c>
      <c r="C540" t="str">
        <f>Benchmarking!C540</f>
        <v>Health Care</v>
      </c>
      <c r="D540" s="17">
        <f>Benchmarking!D540</f>
        <v>210</v>
      </c>
      <c r="E540" s="17">
        <f>Benchmarking!E540</f>
        <v>205</v>
      </c>
      <c r="F540" s="17">
        <f>Benchmarking!F540</f>
        <v>200</v>
      </c>
      <c r="G540" s="17">
        <f>Benchmarking!G540</f>
        <v>615</v>
      </c>
      <c r="H540" t="str">
        <f t="shared" si="96"/>
        <v>Environmental</v>
      </c>
      <c r="I540" t="str">
        <f t="shared" si="97"/>
        <v>Governance</v>
      </c>
      <c r="J540" s="19">
        <f t="shared" si="98"/>
        <v>5</v>
      </c>
      <c r="K540" s="19">
        <f t="shared" si="99"/>
        <v>5</v>
      </c>
      <c r="L540" s="19">
        <f t="shared" si="100"/>
        <v>10</v>
      </c>
      <c r="M540" s="17">
        <f t="shared" si="101"/>
        <v>10</v>
      </c>
      <c r="N540" s="22">
        <f t="shared" si="102"/>
        <v>2.9085872576177285E-2</v>
      </c>
      <c r="O540" s="22">
        <f t="shared" si="103"/>
        <v>2.7700831024930748E-3</v>
      </c>
      <c r="P540" s="22">
        <f t="shared" si="104"/>
        <v>2.6315789473684209E-2</v>
      </c>
      <c r="Q540" t="str">
        <f t="shared" si="105"/>
        <v/>
      </c>
      <c r="S540">
        <f t="shared" si="106"/>
        <v>10.000946000000001</v>
      </c>
      <c r="T540" s="23">
        <f t="shared" si="107"/>
        <v>2.7261789473684208E-2</v>
      </c>
    </row>
    <row r="541" spans="1:20" ht="15" customHeight="1" x14ac:dyDescent="0.35">
      <c r="A541" t="str">
        <f>Benchmarking!A541</f>
        <v>Honeywell International Inc</v>
      </c>
      <c r="B541" t="str">
        <f>Benchmarking!B541</f>
        <v>hon</v>
      </c>
      <c r="C541" t="str">
        <f>Benchmarking!C541</f>
        <v>Industrial Conglomerates</v>
      </c>
      <c r="D541" s="17">
        <f>Benchmarking!D541</f>
        <v>545</v>
      </c>
      <c r="E541" s="17">
        <f>Benchmarking!E541</f>
        <v>344</v>
      </c>
      <c r="F541" s="17">
        <f>Benchmarking!F541</f>
        <v>308</v>
      </c>
      <c r="G541" s="17">
        <f>Benchmarking!G541</f>
        <v>1197</v>
      </c>
      <c r="H541" t="str">
        <f t="shared" si="96"/>
        <v>Environmental</v>
      </c>
      <c r="I541" t="str">
        <f t="shared" si="97"/>
        <v>Governance</v>
      </c>
      <c r="J541" s="19">
        <f t="shared" si="98"/>
        <v>201</v>
      </c>
      <c r="K541" s="19">
        <f t="shared" si="99"/>
        <v>36</v>
      </c>
      <c r="L541" s="19">
        <f t="shared" si="100"/>
        <v>237</v>
      </c>
      <c r="M541" s="17">
        <f t="shared" si="101"/>
        <v>237</v>
      </c>
      <c r="N541" s="22">
        <f t="shared" si="102"/>
        <v>0.88227146814404434</v>
      </c>
      <c r="O541" s="22">
        <f t="shared" si="103"/>
        <v>0.74099722991689754</v>
      </c>
      <c r="P541" s="22">
        <f t="shared" si="104"/>
        <v>0.1412742382271468</v>
      </c>
      <c r="Q541" t="str">
        <f t="shared" si="105"/>
        <v/>
      </c>
      <c r="S541">
        <f t="shared" si="106"/>
        <v>237.0009459</v>
      </c>
      <c r="T541" s="23">
        <f t="shared" si="107"/>
        <v>0.1422201382271468</v>
      </c>
    </row>
    <row r="542" spans="1:20" ht="15" customHeight="1" x14ac:dyDescent="0.35">
      <c r="A542" t="str">
        <f>Benchmarking!A542</f>
        <v>Host Hotels &amp; Resorts Inc</v>
      </c>
      <c r="B542" t="str">
        <f>Benchmarking!B542</f>
        <v>hst</v>
      </c>
      <c r="C542" t="str">
        <f>Benchmarking!C542</f>
        <v>Real Estate</v>
      </c>
      <c r="D542" s="17">
        <f>Benchmarking!D542</f>
        <v>510</v>
      </c>
      <c r="E542" s="17">
        <f>Benchmarking!E542</f>
        <v>318</v>
      </c>
      <c r="F542" s="17">
        <f>Benchmarking!F542</f>
        <v>318</v>
      </c>
      <c r="G542" s="17">
        <f>Benchmarking!G542</f>
        <v>1146</v>
      </c>
      <c r="H542" t="str">
        <f t="shared" si="96"/>
        <v>Environmental</v>
      </c>
      <c r="I542" t="str">
        <f t="shared" si="97"/>
        <v>Social</v>
      </c>
      <c r="J542" s="19">
        <f t="shared" si="98"/>
        <v>192</v>
      </c>
      <c r="K542" s="19">
        <f t="shared" si="99"/>
        <v>0</v>
      </c>
      <c r="L542" s="19">
        <f t="shared" si="100"/>
        <v>192</v>
      </c>
      <c r="M542" s="17">
        <f t="shared" si="101"/>
        <v>192</v>
      </c>
      <c r="N542" s="22">
        <f t="shared" si="102"/>
        <v>0.75623268698060941</v>
      </c>
      <c r="O542" s="22">
        <f t="shared" si="103"/>
        <v>0.66620498614958445</v>
      </c>
      <c r="P542" s="22">
        <f t="shared" si="104"/>
        <v>9.0027700831024959E-2</v>
      </c>
      <c r="Q542" t="str">
        <f t="shared" si="105"/>
        <v/>
      </c>
      <c r="S542">
        <f t="shared" si="106"/>
        <v>192.00094580000001</v>
      </c>
      <c r="T542" s="23">
        <f t="shared" si="107"/>
        <v>9.0973500831024956E-2</v>
      </c>
    </row>
    <row r="543" spans="1:20" ht="15" customHeight="1" x14ac:dyDescent="0.35">
      <c r="A543" t="str">
        <f>Benchmarking!A543</f>
        <v>General Dynamics Corp</v>
      </c>
      <c r="B543" t="str">
        <f>Benchmarking!B543</f>
        <v>gd</v>
      </c>
      <c r="C543" t="str">
        <f>Benchmarking!C543</f>
        <v>Aerospace &amp; Defense</v>
      </c>
      <c r="D543" s="17">
        <f>Benchmarking!D543</f>
        <v>510</v>
      </c>
      <c r="E543" s="17">
        <f>Benchmarking!E543</f>
        <v>310</v>
      </c>
      <c r="F543" s="17">
        <f>Benchmarking!F543</f>
        <v>300</v>
      </c>
      <c r="G543" s="17">
        <f>Benchmarking!G543</f>
        <v>1120</v>
      </c>
      <c r="H543" t="str">
        <f t="shared" si="96"/>
        <v>Environmental</v>
      </c>
      <c r="I543" t="str">
        <f t="shared" si="97"/>
        <v>Governance</v>
      </c>
      <c r="J543" s="19">
        <f t="shared" si="98"/>
        <v>200</v>
      </c>
      <c r="K543" s="19">
        <f t="shared" si="99"/>
        <v>10</v>
      </c>
      <c r="L543" s="19">
        <f t="shared" si="100"/>
        <v>210</v>
      </c>
      <c r="M543" s="17">
        <f t="shared" si="101"/>
        <v>210</v>
      </c>
      <c r="N543" s="22">
        <f t="shared" si="102"/>
        <v>0.66204986149584488</v>
      </c>
      <c r="O543" s="22">
        <f t="shared" si="103"/>
        <v>0.39335180055401664</v>
      </c>
      <c r="P543" s="22">
        <f t="shared" si="104"/>
        <v>0.26869806094182824</v>
      </c>
      <c r="Q543" t="str">
        <f t="shared" si="105"/>
        <v/>
      </c>
      <c r="S543">
        <f t="shared" si="106"/>
        <v>210.00094569999999</v>
      </c>
      <c r="T543" s="23">
        <f t="shared" si="107"/>
        <v>0.26964376094182824</v>
      </c>
    </row>
    <row r="544" spans="1:20" ht="15" customHeight="1" x14ac:dyDescent="0.35">
      <c r="A544" t="str">
        <f>Benchmarking!A544</f>
        <v>Hasbro Inc</v>
      </c>
      <c r="B544" t="str">
        <f>Benchmarking!B544</f>
        <v>has</v>
      </c>
      <c r="C544" t="str">
        <f>Benchmarking!C544</f>
        <v>Leisure Products</v>
      </c>
      <c r="D544" s="17">
        <f>Benchmarking!D544</f>
        <v>255</v>
      </c>
      <c r="E544" s="17">
        <f>Benchmarking!E544</f>
        <v>301</v>
      </c>
      <c r="F544" s="17">
        <f>Benchmarking!F544</f>
        <v>300</v>
      </c>
      <c r="G544" s="17">
        <f>Benchmarking!G544</f>
        <v>856</v>
      </c>
      <c r="H544" t="str">
        <f t="shared" si="96"/>
        <v>Social</v>
      </c>
      <c r="I544" t="str">
        <f t="shared" si="97"/>
        <v>Environmental</v>
      </c>
      <c r="J544" s="19">
        <f t="shared" si="98"/>
        <v>-46</v>
      </c>
      <c r="K544" s="19">
        <f t="shared" si="99"/>
        <v>1</v>
      </c>
      <c r="L544" s="19">
        <f t="shared" si="100"/>
        <v>-45</v>
      </c>
      <c r="M544" s="17">
        <f t="shared" si="101"/>
        <v>46</v>
      </c>
      <c r="N544" s="22">
        <f t="shared" si="102"/>
        <v>0.34487534626038779</v>
      </c>
      <c r="O544" s="22">
        <f t="shared" si="103"/>
        <v>0.28116343490304707</v>
      </c>
      <c r="P544" s="22">
        <f t="shared" si="104"/>
        <v>6.3711911357340723E-2</v>
      </c>
      <c r="Q544" t="str">
        <f t="shared" si="105"/>
        <v/>
      </c>
      <c r="S544">
        <f t="shared" si="106"/>
        <v>46.000945600000001</v>
      </c>
      <c r="T544" s="23">
        <f t="shared" si="107"/>
        <v>6.4657511357340727E-2</v>
      </c>
    </row>
    <row r="545" spans="1:20" ht="15" customHeight="1" x14ac:dyDescent="0.35">
      <c r="A545" t="str">
        <f>Benchmarking!A545</f>
        <v>Huntington Bancshares Inc</v>
      </c>
      <c r="B545" t="str">
        <f>Benchmarking!B545</f>
        <v>hban</v>
      </c>
      <c r="C545" t="str">
        <f>Benchmarking!C545</f>
        <v>Banking</v>
      </c>
      <c r="D545" s="17">
        <f>Benchmarking!D545</f>
        <v>308</v>
      </c>
      <c r="E545" s="17">
        <f>Benchmarking!E545</f>
        <v>300</v>
      </c>
      <c r="F545" s="17">
        <f>Benchmarking!F545</f>
        <v>300</v>
      </c>
      <c r="G545" s="17">
        <f>Benchmarking!G545</f>
        <v>908</v>
      </c>
      <c r="H545" t="str">
        <f t="shared" si="96"/>
        <v>Environmental</v>
      </c>
      <c r="I545" t="str">
        <f t="shared" si="97"/>
        <v>Social</v>
      </c>
      <c r="J545" s="19">
        <f t="shared" si="98"/>
        <v>8</v>
      </c>
      <c r="K545" s="19">
        <f t="shared" si="99"/>
        <v>0</v>
      </c>
      <c r="L545" s="19">
        <f t="shared" si="100"/>
        <v>8</v>
      </c>
      <c r="M545" s="17">
        <f t="shared" si="101"/>
        <v>8</v>
      </c>
      <c r="N545" s="22">
        <f t="shared" si="102"/>
        <v>0.38227146814404434</v>
      </c>
      <c r="O545" s="22">
        <f t="shared" si="103"/>
        <v>0.3587257617728532</v>
      </c>
      <c r="P545" s="22">
        <f t="shared" si="104"/>
        <v>2.3545706371191133E-2</v>
      </c>
      <c r="Q545" t="str">
        <f t="shared" si="105"/>
        <v/>
      </c>
      <c r="S545">
        <f t="shared" si="106"/>
        <v>8.0009455000000003</v>
      </c>
      <c r="T545" s="23">
        <f t="shared" si="107"/>
        <v>2.4491206371191131E-2</v>
      </c>
    </row>
    <row r="546" spans="1:20" ht="15" customHeight="1" x14ac:dyDescent="0.35">
      <c r="A546" t="str">
        <f>Benchmarking!A546</f>
        <v>Globe Life Inc</v>
      </c>
      <c r="B546" t="str">
        <f>Benchmarking!B546</f>
        <v>gl</v>
      </c>
      <c r="C546" t="str">
        <f>Benchmarking!C546</f>
        <v>Insurance</v>
      </c>
      <c r="D546" s="17">
        <f>Benchmarking!D546</f>
        <v>215</v>
      </c>
      <c r="E546" s="17">
        <f>Benchmarking!E546</f>
        <v>238</v>
      </c>
      <c r="F546" s="17">
        <f>Benchmarking!F546</f>
        <v>215</v>
      </c>
      <c r="G546" s="17">
        <f>Benchmarking!G546</f>
        <v>668</v>
      </c>
      <c r="H546" t="str">
        <f t="shared" si="96"/>
        <v>Social</v>
      </c>
      <c r="I546" t="str">
        <f t="shared" si="97"/>
        <v>Environmental</v>
      </c>
      <c r="J546" s="19">
        <f t="shared" si="98"/>
        <v>-23</v>
      </c>
      <c r="K546" s="19">
        <f t="shared" si="99"/>
        <v>23</v>
      </c>
      <c r="L546" s="19">
        <f t="shared" si="100"/>
        <v>0</v>
      </c>
      <c r="M546" s="17">
        <f t="shared" si="101"/>
        <v>23</v>
      </c>
      <c r="N546" s="22">
        <f t="shared" si="102"/>
        <v>0.12742382271468145</v>
      </c>
      <c r="O546" s="22">
        <f t="shared" si="103"/>
        <v>0.11911357340720222</v>
      </c>
      <c r="P546" s="22">
        <f t="shared" si="104"/>
        <v>8.3102493074792283E-3</v>
      </c>
      <c r="Q546" t="str">
        <f t="shared" si="105"/>
        <v/>
      </c>
      <c r="S546">
        <f t="shared" si="106"/>
        <v>23.000945399999999</v>
      </c>
      <c r="T546" s="23">
        <f t="shared" si="107"/>
        <v>9.2556493074792291E-3</v>
      </c>
    </row>
    <row r="547" spans="1:20" ht="15" customHeight="1" x14ac:dyDescent="0.35">
      <c r="A547" t="str">
        <f>Benchmarking!A547</f>
        <v>Genuine Parts Co</v>
      </c>
      <c r="B547" t="str">
        <f>Benchmarking!B547</f>
        <v>gpc</v>
      </c>
      <c r="C547" t="str">
        <f>Benchmarking!C547</f>
        <v>Distributors</v>
      </c>
      <c r="D547" s="17">
        <f>Benchmarking!D547</f>
        <v>535</v>
      </c>
      <c r="E547" s="17">
        <f>Benchmarking!E547</f>
        <v>225</v>
      </c>
      <c r="F547" s="17">
        <f>Benchmarking!F547</f>
        <v>305</v>
      </c>
      <c r="G547" s="17">
        <f>Benchmarking!G547</f>
        <v>1065</v>
      </c>
      <c r="H547" t="str">
        <f t="shared" si="96"/>
        <v>Environmental</v>
      </c>
      <c r="I547" t="str">
        <f t="shared" si="97"/>
        <v>Social</v>
      </c>
      <c r="J547" s="19">
        <f t="shared" si="98"/>
        <v>310</v>
      </c>
      <c r="K547" s="19">
        <f t="shared" si="99"/>
        <v>-80</v>
      </c>
      <c r="L547" s="19">
        <f t="shared" si="100"/>
        <v>230</v>
      </c>
      <c r="M547" s="17">
        <f t="shared" si="101"/>
        <v>310</v>
      </c>
      <c r="N547" s="22">
        <f t="shared" si="102"/>
        <v>0.52354570637119113</v>
      </c>
      <c r="O547" s="22">
        <f t="shared" si="103"/>
        <v>0.17451523545706371</v>
      </c>
      <c r="P547" s="22">
        <f t="shared" si="104"/>
        <v>0.34903047091412742</v>
      </c>
      <c r="Q547" t="str">
        <f t="shared" si="105"/>
        <v/>
      </c>
      <c r="S547">
        <f t="shared" si="106"/>
        <v>310.00094530000001</v>
      </c>
      <c r="T547" s="23">
        <f t="shared" si="107"/>
        <v>0.3499757709141274</v>
      </c>
    </row>
    <row r="548" spans="1:20" ht="15" customHeight="1" x14ac:dyDescent="0.35">
      <c r="A548" t="str">
        <f>Benchmarking!A548</f>
        <v>Generac Holdings Inc</v>
      </c>
      <c r="B548" t="str">
        <f>Benchmarking!B548</f>
        <v>gnrc</v>
      </c>
      <c r="C548" t="str">
        <f>Benchmarking!C548</f>
        <v>Electrical Equipment</v>
      </c>
      <c r="D548" s="17">
        <f>Benchmarking!D548</f>
        <v>535</v>
      </c>
      <c r="E548" s="17">
        <f>Benchmarking!E548</f>
        <v>311</v>
      </c>
      <c r="F548" s="17">
        <f>Benchmarking!F548</f>
        <v>250</v>
      </c>
      <c r="G548" s="17">
        <f>Benchmarking!G548</f>
        <v>1096</v>
      </c>
      <c r="H548" t="str">
        <f t="shared" si="96"/>
        <v>Environmental</v>
      </c>
      <c r="I548" t="str">
        <f t="shared" si="97"/>
        <v>Governance</v>
      </c>
      <c r="J548" s="19">
        <f t="shared" si="98"/>
        <v>224</v>
      </c>
      <c r="K548" s="19">
        <f t="shared" si="99"/>
        <v>61</v>
      </c>
      <c r="L548" s="19">
        <f t="shared" si="100"/>
        <v>285</v>
      </c>
      <c r="M548" s="17">
        <f t="shared" si="101"/>
        <v>285</v>
      </c>
      <c r="N548" s="22">
        <f t="shared" si="102"/>
        <v>0.5650969529085873</v>
      </c>
      <c r="O548" s="22">
        <f t="shared" si="103"/>
        <v>0.296398891966759</v>
      </c>
      <c r="P548" s="22">
        <f t="shared" si="104"/>
        <v>0.2686980609418283</v>
      </c>
      <c r="Q548" t="str">
        <f t="shared" si="105"/>
        <v/>
      </c>
      <c r="S548">
        <f t="shared" si="106"/>
        <v>285.00094519999999</v>
      </c>
      <c r="T548" s="23">
        <f t="shared" si="107"/>
        <v>0.26964326094182828</v>
      </c>
    </row>
    <row r="549" spans="1:20" ht="15" customHeight="1" x14ac:dyDescent="0.35">
      <c r="A549" t="str">
        <f>Benchmarking!A549</f>
        <v>Global Payments Inc</v>
      </c>
      <c r="B549" t="str">
        <f>Benchmarking!B549</f>
        <v>gpn</v>
      </c>
      <c r="C549" t="str">
        <f>Benchmarking!C549</f>
        <v>Technology</v>
      </c>
      <c r="D549" s="17">
        <f>Benchmarking!D549</f>
        <v>310</v>
      </c>
      <c r="E549" s="17">
        <f>Benchmarking!E549</f>
        <v>343</v>
      </c>
      <c r="F549" s="17">
        <f>Benchmarking!F549</f>
        <v>265</v>
      </c>
      <c r="G549" s="17">
        <f>Benchmarking!G549</f>
        <v>918</v>
      </c>
      <c r="H549" t="str">
        <f t="shared" si="96"/>
        <v>Social</v>
      </c>
      <c r="I549" t="str">
        <f t="shared" si="97"/>
        <v>Governance</v>
      </c>
      <c r="J549" s="19">
        <f t="shared" si="98"/>
        <v>-33</v>
      </c>
      <c r="K549" s="19">
        <f t="shared" si="99"/>
        <v>78</v>
      </c>
      <c r="L549" s="19">
        <f t="shared" si="100"/>
        <v>45</v>
      </c>
      <c r="M549" s="17">
        <f t="shared" si="101"/>
        <v>78</v>
      </c>
      <c r="N549" s="22">
        <f t="shared" si="102"/>
        <v>0.38781163434903049</v>
      </c>
      <c r="O549" s="22">
        <f t="shared" si="103"/>
        <v>0.33795013850415512</v>
      </c>
      <c r="P549" s="22">
        <f t="shared" si="104"/>
        <v>4.986149584487537E-2</v>
      </c>
      <c r="Q549" t="str">
        <f t="shared" si="105"/>
        <v/>
      </c>
      <c r="S549">
        <f t="shared" si="106"/>
        <v>78.000945099999996</v>
      </c>
      <c r="T549" s="23">
        <f t="shared" si="107"/>
        <v>5.0806595844875367E-2</v>
      </c>
    </row>
    <row r="550" spans="1:20" ht="15" customHeight="1" x14ac:dyDescent="0.35">
      <c r="A550" t="str">
        <f>Benchmarking!A550</f>
        <v>HCA Healthcare Inc</v>
      </c>
      <c r="B550" t="str">
        <f>Benchmarking!B550</f>
        <v>hca</v>
      </c>
      <c r="C550" t="str">
        <f>Benchmarking!C550</f>
        <v>Health Care</v>
      </c>
      <c r="D550" s="17">
        <f>Benchmarking!D550</f>
        <v>520</v>
      </c>
      <c r="E550" s="17">
        <f>Benchmarking!E550</f>
        <v>348</v>
      </c>
      <c r="F550" s="17">
        <f>Benchmarking!F550</f>
        <v>305</v>
      </c>
      <c r="G550" s="17">
        <f>Benchmarking!G550</f>
        <v>1173</v>
      </c>
      <c r="H550" t="str">
        <f t="shared" si="96"/>
        <v>Environmental</v>
      </c>
      <c r="I550" t="str">
        <f t="shared" si="97"/>
        <v>Governance</v>
      </c>
      <c r="J550" s="19">
        <f t="shared" si="98"/>
        <v>172</v>
      </c>
      <c r="K550" s="19">
        <f t="shared" si="99"/>
        <v>43</v>
      </c>
      <c r="L550" s="19">
        <f t="shared" si="100"/>
        <v>215</v>
      </c>
      <c r="M550" s="17">
        <f t="shared" si="101"/>
        <v>215</v>
      </c>
      <c r="N550" s="22">
        <f t="shared" si="102"/>
        <v>0.83240997229916902</v>
      </c>
      <c r="O550" s="22">
        <f t="shared" si="103"/>
        <v>0.63296398891966754</v>
      </c>
      <c r="P550" s="22">
        <f t="shared" si="104"/>
        <v>0.19944598337950148</v>
      </c>
      <c r="Q550" t="str">
        <f t="shared" si="105"/>
        <v/>
      </c>
      <c r="S550">
        <f t="shared" si="106"/>
        <v>215.000945</v>
      </c>
      <c r="T550" s="23">
        <f t="shared" si="107"/>
        <v>0.20039098337950148</v>
      </c>
    </row>
    <row r="551" spans="1:20" ht="15" customHeight="1" x14ac:dyDescent="0.35">
      <c r="A551" t="str">
        <f>Benchmarking!A551</f>
        <v>HanesBrands Inc</v>
      </c>
      <c r="B551" t="str">
        <f>Benchmarking!B551</f>
        <v>hbi</v>
      </c>
      <c r="C551" t="str">
        <f>Benchmarking!C551</f>
        <v>Textiles Apparel &amp; Luxury Goods</v>
      </c>
      <c r="D551" s="17">
        <f>Benchmarking!D551</f>
        <v>310</v>
      </c>
      <c r="E551" s="17">
        <f>Benchmarking!E551</f>
        <v>223</v>
      </c>
      <c r="F551" s="17">
        <f>Benchmarking!F551</f>
        <v>305</v>
      </c>
      <c r="G551" s="17">
        <f>Benchmarking!G551</f>
        <v>838</v>
      </c>
      <c r="H551" t="str">
        <f t="shared" si="96"/>
        <v>Environmental</v>
      </c>
      <c r="I551" t="str">
        <f t="shared" si="97"/>
        <v>Social</v>
      </c>
      <c r="J551" s="19">
        <f t="shared" si="98"/>
        <v>87</v>
      </c>
      <c r="K551" s="19">
        <f t="shared" si="99"/>
        <v>-82</v>
      </c>
      <c r="L551" s="19">
        <f t="shared" si="100"/>
        <v>5</v>
      </c>
      <c r="M551" s="17">
        <f t="shared" si="101"/>
        <v>87</v>
      </c>
      <c r="N551" s="22">
        <f t="shared" si="102"/>
        <v>0.32548476454293629</v>
      </c>
      <c r="O551" s="22">
        <f t="shared" si="103"/>
        <v>0.16481994459833796</v>
      </c>
      <c r="P551" s="22">
        <f t="shared" si="104"/>
        <v>0.16066481994459833</v>
      </c>
      <c r="Q551" t="str">
        <f t="shared" si="105"/>
        <v/>
      </c>
      <c r="S551">
        <f t="shared" si="106"/>
        <v>87.000944899999993</v>
      </c>
      <c r="T551" s="23">
        <f t="shared" si="107"/>
        <v>0.16160971994459833</v>
      </c>
    </row>
    <row r="552" spans="1:20" ht="15" customHeight="1" x14ac:dyDescent="0.35">
      <c r="A552" t="str">
        <f>Benchmarking!A552</f>
        <v>Huntington Ingalls Industries Inc</v>
      </c>
      <c r="B552" t="str">
        <f>Benchmarking!B552</f>
        <v>hii</v>
      </c>
      <c r="C552" t="str">
        <f>Benchmarking!C552</f>
        <v>Aerospace &amp; Defense</v>
      </c>
      <c r="D552" s="17">
        <f>Benchmarking!D552</f>
        <v>545</v>
      </c>
      <c r="E552" s="17">
        <f>Benchmarking!E552</f>
        <v>315</v>
      </c>
      <c r="F552" s="17">
        <f>Benchmarking!F552</f>
        <v>315</v>
      </c>
      <c r="G552" s="17">
        <f>Benchmarking!G552</f>
        <v>1175</v>
      </c>
      <c r="H552" t="str">
        <f t="shared" si="96"/>
        <v>Environmental</v>
      </c>
      <c r="I552" t="str">
        <f t="shared" si="97"/>
        <v>Social</v>
      </c>
      <c r="J552" s="19">
        <f t="shared" si="98"/>
        <v>230</v>
      </c>
      <c r="K552" s="19">
        <f t="shared" si="99"/>
        <v>0</v>
      </c>
      <c r="L552" s="19">
        <f t="shared" si="100"/>
        <v>230</v>
      </c>
      <c r="M552" s="17">
        <f t="shared" si="101"/>
        <v>230</v>
      </c>
      <c r="N552" s="22">
        <f t="shared" si="102"/>
        <v>0.83933518005540164</v>
      </c>
      <c r="O552" s="22">
        <f t="shared" si="103"/>
        <v>0.66897506925207761</v>
      </c>
      <c r="P552" s="22">
        <f t="shared" si="104"/>
        <v>0.17036011080332403</v>
      </c>
      <c r="Q552" t="str">
        <f t="shared" si="105"/>
        <v/>
      </c>
      <c r="S552">
        <f t="shared" si="106"/>
        <v>230.00094480000001</v>
      </c>
      <c r="T552" s="23">
        <f t="shared" si="107"/>
        <v>0.17130491080332402</v>
      </c>
    </row>
    <row r="553" spans="1:20" ht="15" customHeight="1" x14ac:dyDescent="0.35">
      <c r="A553" t="str">
        <f>Benchmarking!A553</f>
        <v>Hewlett Packard Enterprise Co</v>
      </c>
      <c r="B553" t="str">
        <f>Benchmarking!B553</f>
        <v>hpe</v>
      </c>
      <c r="C553" t="str">
        <f>Benchmarking!C553</f>
        <v>Technology</v>
      </c>
      <c r="D553" s="17">
        <f>Benchmarking!D553</f>
        <v>230</v>
      </c>
      <c r="E553" s="17">
        <f>Benchmarking!E553</f>
        <v>359</v>
      </c>
      <c r="F553" s="17">
        <f>Benchmarking!F553</f>
        <v>230</v>
      </c>
      <c r="G553" s="17">
        <f>Benchmarking!G553</f>
        <v>819</v>
      </c>
      <c r="H553" t="str">
        <f t="shared" si="96"/>
        <v>Social</v>
      </c>
      <c r="I553" t="str">
        <f t="shared" si="97"/>
        <v>Environmental</v>
      </c>
      <c r="J553" s="19">
        <f t="shared" si="98"/>
        <v>-129</v>
      </c>
      <c r="K553" s="19">
        <f t="shared" si="99"/>
        <v>129</v>
      </c>
      <c r="L553" s="19">
        <f t="shared" si="100"/>
        <v>0</v>
      </c>
      <c r="M553" s="17">
        <f t="shared" si="101"/>
        <v>129</v>
      </c>
      <c r="N553" s="22">
        <f t="shared" si="102"/>
        <v>0.30747922437673131</v>
      </c>
      <c r="O553" s="22">
        <f t="shared" si="103"/>
        <v>0.19529085872576177</v>
      </c>
      <c r="P553" s="22">
        <f t="shared" si="104"/>
        <v>0.11218836565096954</v>
      </c>
      <c r="Q553" t="str">
        <f t="shared" si="105"/>
        <v/>
      </c>
      <c r="S553">
        <f t="shared" si="106"/>
        <v>129.00094469999999</v>
      </c>
      <c r="T553" s="23">
        <f t="shared" si="107"/>
        <v>0.11313306565096955</v>
      </c>
    </row>
    <row r="554" spans="1:20" ht="15" customHeight="1" x14ac:dyDescent="0.35">
      <c r="A554" t="str">
        <f>Benchmarking!A554</f>
        <v>Hess Corp</v>
      </c>
      <c r="B554" t="str">
        <f>Benchmarking!B554</f>
        <v>hes</v>
      </c>
      <c r="C554" t="str">
        <f>Benchmarking!C554</f>
        <v>Energy</v>
      </c>
      <c r="D554" s="17">
        <f>Benchmarking!D554</f>
        <v>535</v>
      </c>
      <c r="E554" s="17">
        <f>Benchmarking!E554</f>
        <v>300</v>
      </c>
      <c r="F554" s="17">
        <f>Benchmarking!F554</f>
        <v>305</v>
      </c>
      <c r="G554" s="17">
        <f>Benchmarking!G554</f>
        <v>1140</v>
      </c>
      <c r="H554" t="str">
        <f t="shared" si="96"/>
        <v>Environmental</v>
      </c>
      <c r="I554" t="str">
        <f t="shared" si="97"/>
        <v>Social</v>
      </c>
      <c r="J554" s="19">
        <f t="shared" si="98"/>
        <v>235</v>
      </c>
      <c r="K554" s="19">
        <f t="shared" si="99"/>
        <v>-5</v>
      </c>
      <c r="L554" s="19">
        <f t="shared" si="100"/>
        <v>230</v>
      </c>
      <c r="M554" s="17">
        <f t="shared" si="101"/>
        <v>235</v>
      </c>
      <c r="N554" s="22">
        <f t="shared" si="102"/>
        <v>0.73268698060941828</v>
      </c>
      <c r="O554" s="22">
        <f t="shared" si="103"/>
        <v>0.36565096952908588</v>
      </c>
      <c r="P554" s="22">
        <f t="shared" si="104"/>
        <v>0.3670360110803324</v>
      </c>
      <c r="Q554" t="str">
        <f t="shared" si="105"/>
        <v/>
      </c>
      <c r="S554">
        <f t="shared" si="106"/>
        <v>235.0009446</v>
      </c>
      <c r="T554" s="23">
        <f t="shared" si="107"/>
        <v>0.36798061108033242</v>
      </c>
    </row>
    <row r="555" spans="1:20" ht="15" customHeight="1" x14ac:dyDescent="0.35">
      <c r="A555" t="str">
        <f>Benchmarking!A555</f>
        <v>Hilton Worldwide Holdings Inc</v>
      </c>
      <c r="B555" t="str">
        <f>Benchmarking!B555</f>
        <v>hlt</v>
      </c>
      <c r="C555" t="str">
        <f>Benchmarking!C555</f>
        <v>Hotels Restaurants &amp; Leisure</v>
      </c>
      <c r="D555" s="17">
        <f>Benchmarking!D555</f>
        <v>293</v>
      </c>
      <c r="E555" s="17">
        <f>Benchmarking!E555</f>
        <v>200</v>
      </c>
      <c r="F555" s="17">
        <f>Benchmarking!F555</f>
        <v>205</v>
      </c>
      <c r="G555" s="17">
        <f>Benchmarking!G555</f>
        <v>698</v>
      </c>
      <c r="H555" t="str">
        <f t="shared" si="96"/>
        <v>Environmental</v>
      </c>
      <c r="I555" t="str">
        <f t="shared" si="97"/>
        <v>Social</v>
      </c>
      <c r="J555" s="19">
        <f t="shared" si="98"/>
        <v>93</v>
      </c>
      <c r="K555" s="19">
        <f t="shared" si="99"/>
        <v>-5</v>
      </c>
      <c r="L555" s="19">
        <f t="shared" si="100"/>
        <v>88</v>
      </c>
      <c r="M555" s="17">
        <f t="shared" si="101"/>
        <v>93</v>
      </c>
      <c r="N555" s="22">
        <f t="shared" si="102"/>
        <v>0.16204986149584488</v>
      </c>
      <c r="O555" s="22">
        <f t="shared" si="103"/>
        <v>2.7700831024930748E-3</v>
      </c>
      <c r="P555" s="22">
        <f t="shared" si="104"/>
        <v>0.15927977839335181</v>
      </c>
      <c r="Q555" t="str">
        <f t="shared" si="105"/>
        <v/>
      </c>
      <c r="S555">
        <f t="shared" si="106"/>
        <v>93.000944500000003</v>
      </c>
      <c r="T555" s="23">
        <f t="shared" si="107"/>
        <v>0.16022427839335179</v>
      </c>
    </row>
    <row r="556" spans="1:20" ht="15" customHeight="1" x14ac:dyDescent="0.35">
      <c r="A556" t="str">
        <f>Benchmarking!A556</f>
        <v>Hormel Foods Corp</v>
      </c>
      <c r="B556" t="str">
        <f>Benchmarking!B556</f>
        <v>hrl</v>
      </c>
      <c r="C556" t="str">
        <f>Benchmarking!C556</f>
        <v>Food Products</v>
      </c>
      <c r="D556" s="17">
        <f>Benchmarking!D556</f>
        <v>570</v>
      </c>
      <c r="E556" s="17">
        <f>Benchmarking!E556</f>
        <v>322</v>
      </c>
      <c r="F556" s="17">
        <f>Benchmarking!F556</f>
        <v>300</v>
      </c>
      <c r="G556" s="17">
        <f>Benchmarking!G556</f>
        <v>1192</v>
      </c>
      <c r="H556" t="str">
        <f t="shared" si="96"/>
        <v>Environmental</v>
      </c>
      <c r="I556" t="str">
        <f t="shared" si="97"/>
        <v>Governance</v>
      </c>
      <c r="J556" s="19">
        <f t="shared" si="98"/>
        <v>248</v>
      </c>
      <c r="K556" s="19">
        <f t="shared" si="99"/>
        <v>22</v>
      </c>
      <c r="L556" s="19">
        <f t="shared" si="100"/>
        <v>270</v>
      </c>
      <c r="M556" s="17">
        <f t="shared" si="101"/>
        <v>270</v>
      </c>
      <c r="N556" s="22">
        <f t="shared" si="102"/>
        <v>0.8753462603878116</v>
      </c>
      <c r="O556" s="22">
        <f t="shared" si="103"/>
        <v>0.39335180055401664</v>
      </c>
      <c r="P556" s="22">
        <f t="shared" si="104"/>
        <v>0.48199445983379496</v>
      </c>
      <c r="Q556" t="str">
        <f t="shared" si="105"/>
        <v>High ESG / weak pillar (analytical flag - not an ESG rating) - warrants investigation</v>
      </c>
      <c r="S556">
        <f t="shared" si="106"/>
        <v>270.00094439999998</v>
      </c>
      <c r="T556" s="23">
        <f t="shared" si="107"/>
        <v>0.48293885983379498</v>
      </c>
    </row>
    <row r="557" spans="1:20" ht="15" customHeight="1" x14ac:dyDescent="0.35">
      <c r="A557" t="str">
        <f>Benchmarking!A557</f>
        <v>HP Inc</v>
      </c>
      <c r="B557" t="str">
        <f>Benchmarking!B557</f>
        <v>hpq</v>
      </c>
      <c r="C557" t="str">
        <f>Benchmarking!C557</f>
        <v>Technology</v>
      </c>
      <c r="D557" s="17">
        <f>Benchmarking!D557</f>
        <v>245</v>
      </c>
      <c r="E557" s="17">
        <f>Benchmarking!E557</f>
        <v>211</v>
      </c>
      <c r="F557" s="17">
        <f>Benchmarking!F557</f>
        <v>200</v>
      </c>
      <c r="G557" s="17">
        <f>Benchmarking!G557</f>
        <v>656</v>
      </c>
      <c r="H557" t="str">
        <f t="shared" si="96"/>
        <v>Environmental</v>
      </c>
      <c r="I557" t="str">
        <f t="shared" si="97"/>
        <v>Governance</v>
      </c>
      <c r="J557" s="19">
        <f t="shared" si="98"/>
        <v>34</v>
      </c>
      <c r="K557" s="19">
        <f t="shared" si="99"/>
        <v>11</v>
      </c>
      <c r="L557" s="19">
        <f t="shared" si="100"/>
        <v>45</v>
      </c>
      <c r="M557" s="17">
        <f t="shared" si="101"/>
        <v>45</v>
      </c>
      <c r="N557" s="22">
        <f t="shared" si="102"/>
        <v>0.10664819944598337</v>
      </c>
      <c r="O557" s="22">
        <f t="shared" si="103"/>
        <v>2.7700831024930748E-3</v>
      </c>
      <c r="P557" s="22">
        <f t="shared" si="104"/>
        <v>0.1038781163434903</v>
      </c>
      <c r="Q557" t="str">
        <f t="shared" si="105"/>
        <v/>
      </c>
      <c r="S557">
        <f t="shared" si="106"/>
        <v>45.0009443</v>
      </c>
      <c r="T557" s="23">
        <f t="shared" si="107"/>
        <v>0.10482241634349029</v>
      </c>
    </row>
    <row r="558" spans="1:20" ht="15" customHeight="1" x14ac:dyDescent="0.35">
      <c r="A558" t="str">
        <f>Benchmarking!A558</f>
        <v>Humana Inc</v>
      </c>
      <c r="B558" t="str">
        <f>Benchmarking!B558</f>
        <v>hum</v>
      </c>
      <c r="C558" t="str">
        <f>Benchmarking!C558</f>
        <v>Health Care</v>
      </c>
      <c r="D558" s="17">
        <f>Benchmarking!D558</f>
        <v>462</v>
      </c>
      <c r="E558" s="17">
        <f>Benchmarking!E558</f>
        <v>300</v>
      </c>
      <c r="F558" s="17">
        <f>Benchmarking!F558</f>
        <v>300</v>
      </c>
      <c r="G558" s="17">
        <f>Benchmarking!G558</f>
        <v>1062</v>
      </c>
      <c r="H558" t="str">
        <f t="shared" si="96"/>
        <v>Environmental</v>
      </c>
      <c r="I558" t="str">
        <f t="shared" si="97"/>
        <v>Social</v>
      </c>
      <c r="J558" s="19">
        <f t="shared" si="98"/>
        <v>162</v>
      </c>
      <c r="K558" s="19">
        <f t="shared" si="99"/>
        <v>0</v>
      </c>
      <c r="L558" s="19">
        <f t="shared" si="100"/>
        <v>162</v>
      </c>
      <c r="M558" s="17">
        <f t="shared" si="101"/>
        <v>162</v>
      </c>
      <c r="N558" s="22">
        <f t="shared" si="102"/>
        <v>0.51800554016620504</v>
      </c>
      <c r="O558" s="22">
        <f t="shared" si="103"/>
        <v>0.36565096952908588</v>
      </c>
      <c r="P558" s="22">
        <f t="shared" si="104"/>
        <v>0.15235457063711916</v>
      </c>
      <c r="Q558" t="str">
        <f t="shared" si="105"/>
        <v/>
      </c>
      <c r="S558">
        <f t="shared" si="106"/>
        <v>162.00094419999999</v>
      </c>
      <c r="T558" s="23">
        <f t="shared" si="107"/>
        <v>0.15329877063711916</v>
      </c>
    </row>
    <row r="559" spans="1:20" ht="15" customHeight="1" x14ac:dyDescent="0.35">
      <c r="A559" t="str">
        <f>Benchmarking!A559</f>
        <v>Howmet Aerospace Inc</v>
      </c>
      <c r="B559" t="str">
        <f>Benchmarking!B559</f>
        <v>hwm</v>
      </c>
      <c r="C559" t="str">
        <f>Benchmarking!C559</f>
        <v>Aerospace &amp; Defense</v>
      </c>
      <c r="D559" s="17">
        <f>Benchmarking!D559</f>
        <v>525</v>
      </c>
      <c r="E559" s="17">
        <f>Benchmarking!E559</f>
        <v>315</v>
      </c>
      <c r="F559" s="17">
        <f>Benchmarking!F559</f>
        <v>320</v>
      </c>
      <c r="G559" s="17">
        <f>Benchmarking!G559</f>
        <v>1160</v>
      </c>
      <c r="H559" t="str">
        <f t="shared" si="96"/>
        <v>Environmental</v>
      </c>
      <c r="I559" t="str">
        <f t="shared" si="97"/>
        <v>Social</v>
      </c>
      <c r="J559" s="19">
        <f t="shared" si="98"/>
        <v>210</v>
      </c>
      <c r="K559" s="19">
        <f t="shared" si="99"/>
        <v>-5</v>
      </c>
      <c r="L559" s="19">
        <f t="shared" si="100"/>
        <v>205</v>
      </c>
      <c r="M559" s="17">
        <f t="shared" si="101"/>
        <v>210</v>
      </c>
      <c r="N559" s="22">
        <f t="shared" si="102"/>
        <v>0.79639889196675895</v>
      </c>
      <c r="O559" s="22">
        <f t="shared" si="103"/>
        <v>0.66897506925207761</v>
      </c>
      <c r="P559" s="22">
        <f t="shared" si="104"/>
        <v>0.12742382271468133</v>
      </c>
      <c r="Q559" t="str">
        <f t="shared" si="105"/>
        <v/>
      </c>
      <c r="S559">
        <f t="shared" si="106"/>
        <v>210.0009441</v>
      </c>
      <c r="T559" s="23">
        <f t="shared" si="107"/>
        <v>0.12836792271468134</v>
      </c>
    </row>
    <row r="560" spans="1:20" ht="15" customHeight="1" x14ac:dyDescent="0.35">
      <c r="A560" t="str">
        <f>Benchmarking!A560</f>
        <v>Healthpeak Properties Inc</v>
      </c>
      <c r="B560" t="str">
        <f>Benchmarking!B560</f>
        <v>peak</v>
      </c>
      <c r="C560" t="str">
        <f>Benchmarking!C560</f>
        <v>Real Estate</v>
      </c>
      <c r="D560" s="17">
        <f>Benchmarking!D560</f>
        <v>535</v>
      </c>
      <c r="E560" s="17">
        <f>Benchmarking!E560</f>
        <v>331</v>
      </c>
      <c r="F560" s="17">
        <f>Benchmarking!F560</f>
        <v>335</v>
      </c>
      <c r="G560" s="17">
        <f>Benchmarking!G560</f>
        <v>1201</v>
      </c>
      <c r="H560" t="str">
        <f t="shared" si="96"/>
        <v>Environmental</v>
      </c>
      <c r="I560" t="str">
        <f t="shared" si="97"/>
        <v>Social</v>
      </c>
      <c r="J560" s="19">
        <f t="shared" si="98"/>
        <v>204</v>
      </c>
      <c r="K560" s="19">
        <f t="shared" si="99"/>
        <v>-4</v>
      </c>
      <c r="L560" s="19">
        <f t="shared" si="100"/>
        <v>200</v>
      </c>
      <c r="M560" s="17">
        <f t="shared" si="101"/>
        <v>204</v>
      </c>
      <c r="N560" s="22">
        <f t="shared" si="102"/>
        <v>0.88781163434903043</v>
      </c>
      <c r="O560" s="22">
        <f t="shared" si="103"/>
        <v>0.81578947368421051</v>
      </c>
      <c r="P560" s="22">
        <f t="shared" si="104"/>
        <v>7.2022160664819923E-2</v>
      </c>
      <c r="Q560" t="str">
        <f t="shared" si="105"/>
        <v/>
      </c>
      <c r="S560">
        <f t="shared" si="106"/>
        <v>204.000944</v>
      </c>
      <c r="T560" s="23">
        <f t="shared" si="107"/>
        <v>7.2966160664819923E-2</v>
      </c>
    </row>
    <row r="561" spans="1:20" ht="15" customHeight="1" x14ac:dyDescent="0.35">
      <c r="A561" t="str">
        <f>Benchmarking!A561</f>
        <v>General Mills Inc</v>
      </c>
      <c r="B561" t="str">
        <f>Benchmarking!B561</f>
        <v>gis</v>
      </c>
      <c r="C561" t="str">
        <f>Benchmarking!C561</f>
        <v>Food Products</v>
      </c>
      <c r="D561" s="17">
        <f>Benchmarking!D561</f>
        <v>585</v>
      </c>
      <c r="E561" s="17">
        <f>Benchmarking!E561</f>
        <v>326</v>
      </c>
      <c r="F561" s="17">
        <f>Benchmarking!F561</f>
        <v>365</v>
      </c>
      <c r="G561" s="17">
        <f>Benchmarking!G561</f>
        <v>1276</v>
      </c>
      <c r="H561" t="str">
        <f t="shared" si="96"/>
        <v>Environmental</v>
      </c>
      <c r="I561" t="str">
        <f t="shared" si="97"/>
        <v>Social</v>
      </c>
      <c r="J561" s="19">
        <f t="shared" si="98"/>
        <v>259</v>
      </c>
      <c r="K561" s="19">
        <f t="shared" si="99"/>
        <v>-39</v>
      </c>
      <c r="L561" s="19">
        <f t="shared" si="100"/>
        <v>220</v>
      </c>
      <c r="M561" s="17">
        <f t="shared" si="101"/>
        <v>259</v>
      </c>
      <c r="N561" s="22">
        <f t="shared" si="102"/>
        <v>0.95567867036011078</v>
      </c>
      <c r="O561" s="22">
        <f t="shared" si="103"/>
        <v>0.78116343490304707</v>
      </c>
      <c r="P561" s="22">
        <f t="shared" si="104"/>
        <v>0.17451523545706371</v>
      </c>
      <c r="Q561" t="str">
        <f t="shared" si="105"/>
        <v/>
      </c>
      <c r="S561">
        <f t="shared" si="106"/>
        <v>259.00094389999998</v>
      </c>
      <c r="T561" s="23">
        <f t="shared" si="107"/>
        <v>0.17545913545706371</v>
      </c>
    </row>
    <row r="562" spans="1:20" ht="15" customHeight="1" x14ac:dyDescent="0.35">
      <c r="A562" t="str">
        <f>Benchmarking!A562</f>
        <v>General Electric Co</v>
      </c>
      <c r="B562" t="str">
        <f>Benchmarking!B562</f>
        <v>ge</v>
      </c>
      <c r="C562" t="str">
        <f>Benchmarking!C562</f>
        <v>Industrial Conglomerates</v>
      </c>
      <c r="D562" s="17">
        <f>Benchmarking!D562</f>
        <v>533</v>
      </c>
      <c r="E562" s="17">
        <f>Benchmarking!E562</f>
        <v>300</v>
      </c>
      <c r="F562" s="17">
        <f>Benchmarking!F562</f>
        <v>300</v>
      </c>
      <c r="G562" s="17">
        <f>Benchmarking!G562</f>
        <v>1133</v>
      </c>
      <c r="H562" t="str">
        <f t="shared" si="96"/>
        <v>Environmental</v>
      </c>
      <c r="I562" t="str">
        <f t="shared" si="97"/>
        <v>Social</v>
      </c>
      <c r="J562" s="19">
        <f t="shared" si="98"/>
        <v>233</v>
      </c>
      <c r="K562" s="19">
        <f t="shared" si="99"/>
        <v>0</v>
      </c>
      <c r="L562" s="19">
        <f t="shared" si="100"/>
        <v>233</v>
      </c>
      <c r="M562" s="17">
        <f t="shared" si="101"/>
        <v>233</v>
      </c>
      <c r="N562" s="22">
        <f t="shared" si="102"/>
        <v>0.7119113573407202</v>
      </c>
      <c r="O562" s="22">
        <f t="shared" si="103"/>
        <v>0.36565096952908588</v>
      </c>
      <c r="P562" s="22">
        <f t="shared" si="104"/>
        <v>0.34626038781163432</v>
      </c>
      <c r="Q562" t="str">
        <f t="shared" si="105"/>
        <v/>
      </c>
      <c r="S562">
        <f t="shared" si="106"/>
        <v>233.00094379999999</v>
      </c>
      <c r="T562" s="23">
        <f t="shared" si="107"/>
        <v>0.34720418781163431</v>
      </c>
    </row>
    <row r="563" spans="1:20" ht="15" customHeight="1" x14ac:dyDescent="0.35">
      <c r="A563" t="str">
        <f>Benchmarking!A563</f>
        <v>Spotify Technology SA</v>
      </c>
      <c r="B563" t="str">
        <f>Benchmarking!B563</f>
        <v>spot</v>
      </c>
      <c r="C563" t="str">
        <f>Benchmarking!C563</f>
        <v>Media</v>
      </c>
      <c r="D563" s="17">
        <f>Benchmarking!D563</f>
        <v>500</v>
      </c>
      <c r="E563" s="17">
        <f>Benchmarking!E563</f>
        <v>283</v>
      </c>
      <c r="F563" s="17">
        <f>Benchmarking!F563</f>
        <v>255</v>
      </c>
      <c r="G563" s="17">
        <f>Benchmarking!G563</f>
        <v>1038</v>
      </c>
      <c r="H563" t="str">
        <f t="shared" si="96"/>
        <v>Environmental</v>
      </c>
      <c r="I563" t="str">
        <f t="shared" si="97"/>
        <v>Governance</v>
      </c>
      <c r="J563" s="19">
        <f t="shared" si="98"/>
        <v>217</v>
      </c>
      <c r="K563" s="19">
        <f t="shared" si="99"/>
        <v>28</v>
      </c>
      <c r="L563" s="19">
        <f t="shared" si="100"/>
        <v>245</v>
      </c>
      <c r="M563" s="17">
        <f t="shared" si="101"/>
        <v>245</v>
      </c>
      <c r="N563" s="22">
        <f t="shared" si="102"/>
        <v>0.49584487534626037</v>
      </c>
      <c r="O563" s="22">
        <f t="shared" si="103"/>
        <v>0.31024930747922436</v>
      </c>
      <c r="P563" s="22">
        <f t="shared" si="104"/>
        <v>0.18559556786703602</v>
      </c>
      <c r="Q563" t="str">
        <f t="shared" si="105"/>
        <v/>
      </c>
      <c r="S563">
        <f t="shared" si="106"/>
        <v>245.00094369999999</v>
      </c>
      <c r="T563" s="23">
        <f t="shared" si="107"/>
        <v>0.18653926786703601</v>
      </c>
    </row>
    <row r="564" spans="1:20" ht="15" customHeight="1" x14ac:dyDescent="0.35">
      <c r="A564" t="str">
        <f>Benchmarking!A564</f>
        <v>Triton International Ltd</v>
      </c>
      <c r="B564" t="str">
        <f>Benchmarking!B564</f>
        <v>trtn</v>
      </c>
      <c r="C564" t="str">
        <f>Benchmarking!C564</f>
        <v>Trading Companies &amp; Distributors</v>
      </c>
      <c r="D564" s="17">
        <f>Benchmarking!D564</f>
        <v>477</v>
      </c>
      <c r="E564" s="17">
        <f>Benchmarking!E564</f>
        <v>306</v>
      </c>
      <c r="F564" s="17">
        <f>Benchmarking!F564</f>
        <v>300</v>
      </c>
      <c r="G564" s="17">
        <f>Benchmarking!G564</f>
        <v>1083</v>
      </c>
      <c r="H564" t="str">
        <f t="shared" si="96"/>
        <v>Environmental</v>
      </c>
      <c r="I564" t="str">
        <f t="shared" si="97"/>
        <v>Governance</v>
      </c>
      <c r="J564" s="19">
        <f t="shared" si="98"/>
        <v>171</v>
      </c>
      <c r="K564" s="19">
        <f t="shared" si="99"/>
        <v>6</v>
      </c>
      <c r="L564" s="19">
        <f t="shared" si="100"/>
        <v>177</v>
      </c>
      <c r="M564" s="17">
        <f t="shared" si="101"/>
        <v>177</v>
      </c>
      <c r="N564" s="22">
        <f t="shared" si="102"/>
        <v>0.54432132963988922</v>
      </c>
      <c r="O564" s="22">
        <f t="shared" si="103"/>
        <v>0.39335180055401664</v>
      </c>
      <c r="P564" s="22">
        <f t="shared" si="104"/>
        <v>0.15096952908587258</v>
      </c>
      <c r="Q564" t="str">
        <f t="shared" si="105"/>
        <v/>
      </c>
      <c r="S564">
        <f t="shared" si="106"/>
        <v>177.0009436</v>
      </c>
      <c r="T564" s="23">
        <f t="shared" si="107"/>
        <v>0.15191312908587257</v>
      </c>
    </row>
    <row r="565" spans="1:20" ht="15" customHeight="1" x14ac:dyDescent="0.35">
      <c r="A565" t="str">
        <f>Benchmarking!A565</f>
        <v>TPG RE Finance Trust Inc</v>
      </c>
      <c r="B565" t="str">
        <f>Benchmarking!B565</f>
        <v>trtx</v>
      </c>
      <c r="C565" t="str">
        <f>Benchmarking!C565</f>
        <v>Real Estate</v>
      </c>
      <c r="D565" s="17">
        <f>Benchmarking!D565</f>
        <v>230</v>
      </c>
      <c r="E565" s="17">
        <f>Benchmarking!E565</f>
        <v>239</v>
      </c>
      <c r="F565" s="17">
        <f>Benchmarking!F565</f>
        <v>300</v>
      </c>
      <c r="G565" s="17">
        <f>Benchmarking!G565</f>
        <v>769</v>
      </c>
      <c r="H565" t="str">
        <f t="shared" si="96"/>
        <v>Governance</v>
      </c>
      <c r="I565" t="str">
        <f t="shared" si="97"/>
        <v>Environmental</v>
      </c>
      <c r="J565" s="19">
        <f t="shared" si="98"/>
        <v>-9</v>
      </c>
      <c r="K565" s="19">
        <f t="shared" si="99"/>
        <v>-61</v>
      </c>
      <c r="L565" s="19">
        <f t="shared" si="100"/>
        <v>-70</v>
      </c>
      <c r="M565" s="17">
        <f t="shared" si="101"/>
        <v>70</v>
      </c>
      <c r="N565" s="22">
        <f t="shared" si="102"/>
        <v>0.25900277008310252</v>
      </c>
      <c r="O565" s="22">
        <f t="shared" si="103"/>
        <v>0.19529085872576177</v>
      </c>
      <c r="P565" s="22">
        <f t="shared" si="104"/>
        <v>6.371191135734075E-2</v>
      </c>
      <c r="Q565" t="str">
        <f t="shared" si="105"/>
        <v/>
      </c>
      <c r="S565">
        <f t="shared" si="106"/>
        <v>70.000943500000005</v>
      </c>
      <c r="T565" s="23">
        <f t="shared" si="107"/>
        <v>6.465541135734075E-2</v>
      </c>
    </row>
    <row r="566" spans="1:20" ht="15" customHeight="1" x14ac:dyDescent="0.35">
      <c r="A566" t="str">
        <f>Benchmarking!A566</f>
        <v>TransUnion</v>
      </c>
      <c r="B566" t="str">
        <f>Benchmarking!B566</f>
        <v>tru</v>
      </c>
      <c r="C566" t="str">
        <f>Benchmarking!C566</f>
        <v>Professional Services</v>
      </c>
      <c r="D566" s="17">
        <f>Benchmarking!D566</f>
        <v>510</v>
      </c>
      <c r="E566" s="17">
        <f>Benchmarking!E566</f>
        <v>313</v>
      </c>
      <c r="F566" s="17">
        <f>Benchmarking!F566</f>
        <v>310</v>
      </c>
      <c r="G566" s="17">
        <f>Benchmarking!G566</f>
        <v>1133</v>
      </c>
      <c r="H566" t="str">
        <f t="shared" si="96"/>
        <v>Environmental</v>
      </c>
      <c r="I566" t="str">
        <f t="shared" si="97"/>
        <v>Governance</v>
      </c>
      <c r="J566" s="19">
        <f t="shared" si="98"/>
        <v>197</v>
      </c>
      <c r="K566" s="19">
        <f t="shared" si="99"/>
        <v>3</v>
      </c>
      <c r="L566" s="19">
        <f t="shared" si="100"/>
        <v>200</v>
      </c>
      <c r="M566" s="17">
        <f t="shared" si="101"/>
        <v>200</v>
      </c>
      <c r="N566" s="22">
        <f t="shared" si="102"/>
        <v>0.7119113573407202</v>
      </c>
      <c r="O566" s="22">
        <f t="shared" si="103"/>
        <v>0.65373961218836563</v>
      </c>
      <c r="P566" s="22">
        <f t="shared" si="104"/>
        <v>5.817174515235457E-2</v>
      </c>
      <c r="Q566" t="str">
        <f t="shared" si="105"/>
        <v/>
      </c>
      <c r="S566">
        <f t="shared" si="106"/>
        <v>200.00094340000001</v>
      </c>
      <c r="T566" s="23">
        <f t="shared" si="107"/>
        <v>5.9115145152354567E-2</v>
      </c>
    </row>
    <row r="567" spans="1:20" ht="15" customHeight="1" x14ac:dyDescent="0.35">
      <c r="A567" t="str">
        <f>Benchmarking!A567</f>
        <v>Yeti Holdings Inc</v>
      </c>
      <c r="B567" t="str">
        <f>Benchmarking!B567</f>
        <v>yeti</v>
      </c>
      <c r="C567" t="str">
        <f>Benchmarking!C567</f>
        <v>Leisure Products</v>
      </c>
      <c r="D567" s="17">
        <f>Benchmarking!D567</f>
        <v>269</v>
      </c>
      <c r="E567" s="17">
        <f>Benchmarking!E567</f>
        <v>253</v>
      </c>
      <c r="F567" s="17">
        <f>Benchmarking!F567</f>
        <v>305</v>
      </c>
      <c r="G567" s="17">
        <f>Benchmarking!G567</f>
        <v>827</v>
      </c>
      <c r="H567" t="str">
        <f t="shared" si="96"/>
        <v>Governance</v>
      </c>
      <c r="I567" t="str">
        <f t="shared" si="97"/>
        <v>Social</v>
      </c>
      <c r="J567" s="19">
        <f t="shared" si="98"/>
        <v>16</v>
      </c>
      <c r="K567" s="19">
        <f t="shared" si="99"/>
        <v>-52</v>
      </c>
      <c r="L567" s="19">
        <f t="shared" si="100"/>
        <v>-36</v>
      </c>
      <c r="M567" s="17">
        <f t="shared" si="101"/>
        <v>52</v>
      </c>
      <c r="N567" s="22">
        <f t="shared" si="102"/>
        <v>0.31855955678670361</v>
      </c>
      <c r="O567" s="22">
        <f t="shared" si="103"/>
        <v>0.27146814404432135</v>
      </c>
      <c r="P567" s="22">
        <f t="shared" si="104"/>
        <v>4.7091412742382266E-2</v>
      </c>
      <c r="Q567" t="str">
        <f t="shared" si="105"/>
        <v/>
      </c>
      <c r="S567">
        <f t="shared" si="106"/>
        <v>52.000943300000003</v>
      </c>
      <c r="T567" s="23">
        <f t="shared" si="107"/>
        <v>4.8034712742382267E-2</v>
      </c>
    </row>
    <row r="568" spans="1:20" ht="15" customHeight="1" x14ac:dyDescent="0.35">
      <c r="A568" t="str">
        <f>Benchmarking!A568</f>
        <v>Yelp Inc</v>
      </c>
      <c r="B568" t="str">
        <f>Benchmarking!B568</f>
        <v>yelp</v>
      </c>
      <c r="C568" t="str">
        <f>Benchmarking!C568</f>
        <v>Media</v>
      </c>
      <c r="D568" s="17">
        <f>Benchmarking!D568</f>
        <v>245</v>
      </c>
      <c r="E568" s="17">
        <f>Benchmarking!E568</f>
        <v>515</v>
      </c>
      <c r="F568" s="17">
        <f>Benchmarking!F568</f>
        <v>213</v>
      </c>
      <c r="G568" s="17">
        <f>Benchmarking!G568</f>
        <v>973</v>
      </c>
      <c r="H568" t="str">
        <f t="shared" si="96"/>
        <v>Social</v>
      </c>
      <c r="I568" t="str">
        <f t="shared" si="97"/>
        <v>Governance</v>
      </c>
      <c r="J568" s="19">
        <f t="shared" si="98"/>
        <v>-270</v>
      </c>
      <c r="K568" s="19">
        <f t="shared" si="99"/>
        <v>302</v>
      </c>
      <c r="L568" s="19">
        <f t="shared" si="100"/>
        <v>32</v>
      </c>
      <c r="M568" s="17">
        <f t="shared" si="101"/>
        <v>302</v>
      </c>
      <c r="N568" s="22">
        <f t="shared" si="102"/>
        <v>0.44044321329639891</v>
      </c>
      <c r="O568" s="22">
        <f t="shared" si="103"/>
        <v>0.14958448753462603</v>
      </c>
      <c r="P568" s="22">
        <f t="shared" si="104"/>
        <v>0.29085872576177285</v>
      </c>
      <c r="Q568" t="str">
        <f t="shared" si="105"/>
        <v/>
      </c>
      <c r="S568">
        <f t="shared" si="106"/>
        <v>302.00094319999999</v>
      </c>
      <c r="T568" s="23">
        <f t="shared" si="107"/>
        <v>0.29180192576177283</v>
      </c>
    </row>
    <row r="569" spans="1:20" ht="15" customHeight="1" x14ac:dyDescent="0.35">
      <c r="A569" t="str">
        <f>Benchmarking!A569</f>
        <v>Yext Inc</v>
      </c>
      <c r="B569" t="str">
        <f>Benchmarking!B569</f>
        <v>yext</v>
      </c>
      <c r="C569" t="str">
        <f>Benchmarking!C569</f>
        <v>Technology</v>
      </c>
      <c r="D569" s="17">
        <f>Benchmarking!D569</f>
        <v>325</v>
      </c>
      <c r="E569" s="17">
        <f>Benchmarking!E569</f>
        <v>314</v>
      </c>
      <c r="F569" s="17">
        <f>Benchmarking!F569</f>
        <v>310</v>
      </c>
      <c r="G569" s="17">
        <f>Benchmarking!G569</f>
        <v>949</v>
      </c>
      <c r="H569" t="str">
        <f t="shared" si="96"/>
        <v>Environmental</v>
      </c>
      <c r="I569" t="str">
        <f t="shared" si="97"/>
        <v>Governance</v>
      </c>
      <c r="J569" s="19">
        <f t="shared" si="98"/>
        <v>11</v>
      </c>
      <c r="K569" s="19">
        <f t="shared" si="99"/>
        <v>4</v>
      </c>
      <c r="L569" s="19">
        <f t="shared" si="100"/>
        <v>15</v>
      </c>
      <c r="M569" s="17">
        <f t="shared" si="101"/>
        <v>15</v>
      </c>
      <c r="N569" s="22">
        <f t="shared" si="102"/>
        <v>0.4182825484764543</v>
      </c>
      <c r="O569" s="22">
        <f t="shared" si="103"/>
        <v>0.37534626038781166</v>
      </c>
      <c r="P569" s="22">
        <f t="shared" si="104"/>
        <v>4.2936288088642638E-2</v>
      </c>
      <c r="Q569" t="str">
        <f t="shared" si="105"/>
        <v/>
      </c>
      <c r="S569">
        <f t="shared" si="106"/>
        <v>15.000943100000001</v>
      </c>
      <c r="T569" s="23">
        <f t="shared" si="107"/>
        <v>4.387938808864264E-2</v>
      </c>
    </row>
    <row r="570" spans="1:20" ht="15" customHeight="1" x14ac:dyDescent="0.35">
      <c r="A570" t="str">
        <f>Benchmarking!A570</f>
        <v>Spirit AeroSystems Holdings Inc</v>
      </c>
      <c r="B570" t="str">
        <f>Benchmarking!B570</f>
        <v>spr</v>
      </c>
      <c r="C570" t="str">
        <f>Benchmarking!C570</f>
        <v>Aerospace &amp; Defense</v>
      </c>
      <c r="D570" s="17">
        <f>Benchmarking!D570</f>
        <v>515</v>
      </c>
      <c r="E570" s="17">
        <f>Benchmarking!E570</f>
        <v>337</v>
      </c>
      <c r="F570" s="17">
        <f>Benchmarking!F570</f>
        <v>300</v>
      </c>
      <c r="G570" s="17">
        <f>Benchmarking!G570</f>
        <v>1152</v>
      </c>
      <c r="H570" t="str">
        <f t="shared" si="96"/>
        <v>Environmental</v>
      </c>
      <c r="I570" t="str">
        <f t="shared" si="97"/>
        <v>Governance</v>
      </c>
      <c r="J570" s="19">
        <f t="shared" si="98"/>
        <v>178</v>
      </c>
      <c r="K570" s="19">
        <f t="shared" si="99"/>
        <v>37</v>
      </c>
      <c r="L570" s="19">
        <f t="shared" si="100"/>
        <v>215</v>
      </c>
      <c r="M570" s="17">
        <f t="shared" si="101"/>
        <v>215</v>
      </c>
      <c r="N570" s="22">
        <f t="shared" si="102"/>
        <v>0.77423822714681445</v>
      </c>
      <c r="O570" s="22">
        <f t="shared" si="103"/>
        <v>0.39335180055401664</v>
      </c>
      <c r="P570" s="22">
        <f t="shared" si="104"/>
        <v>0.38088642659279781</v>
      </c>
      <c r="Q570" t="str">
        <f t="shared" si="105"/>
        <v/>
      </c>
      <c r="S570">
        <f t="shared" si="106"/>
        <v>215.00094300000001</v>
      </c>
      <c r="T570" s="23">
        <f t="shared" si="107"/>
        <v>0.38182942659279784</v>
      </c>
    </row>
    <row r="571" spans="1:20" ht="15" customHeight="1" x14ac:dyDescent="0.35">
      <c r="A571" t="str">
        <f>Benchmarking!A571</f>
        <v>Yatsen Holding Ltd</v>
      </c>
      <c r="B571" t="str">
        <f>Benchmarking!B571</f>
        <v>ysg</v>
      </c>
      <c r="C571" t="str">
        <f>Benchmarking!C571</f>
        <v>Consumer products</v>
      </c>
      <c r="D571" s="17">
        <f>Benchmarking!D571</f>
        <v>355</v>
      </c>
      <c r="E571" s="17">
        <f>Benchmarking!E571</f>
        <v>217</v>
      </c>
      <c r="F571" s="17">
        <f>Benchmarking!F571</f>
        <v>325</v>
      </c>
      <c r="G571" s="17">
        <f>Benchmarking!G571</f>
        <v>897</v>
      </c>
      <c r="H571" t="str">
        <f t="shared" si="96"/>
        <v>Environmental</v>
      </c>
      <c r="I571" t="str">
        <f t="shared" si="97"/>
        <v>Social</v>
      </c>
      <c r="J571" s="19">
        <f t="shared" si="98"/>
        <v>138</v>
      </c>
      <c r="K571" s="19">
        <f t="shared" si="99"/>
        <v>-108</v>
      </c>
      <c r="L571" s="19">
        <f t="shared" si="100"/>
        <v>30</v>
      </c>
      <c r="M571" s="17">
        <f t="shared" si="101"/>
        <v>138</v>
      </c>
      <c r="N571" s="22">
        <f t="shared" si="102"/>
        <v>0.36842105263157893</v>
      </c>
      <c r="O571" s="22">
        <f t="shared" si="103"/>
        <v>0.14127423822714683</v>
      </c>
      <c r="P571" s="22">
        <f t="shared" si="104"/>
        <v>0.2271468144044321</v>
      </c>
      <c r="Q571" t="str">
        <f t="shared" si="105"/>
        <v/>
      </c>
      <c r="S571">
        <f t="shared" si="106"/>
        <v>138.00094290000001</v>
      </c>
      <c r="T571" s="23">
        <f t="shared" si="107"/>
        <v>0.2280897144044321</v>
      </c>
    </row>
    <row r="572" spans="1:20" ht="15" customHeight="1" x14ac:dyDescent="0.35">
      <c r="A572" t="str">
        <f>Benchmarking!A572</f>
        <v>Yiren Digital Ltd</v>
      </c>
      <c r="B572" t="str">
        <f>Benchmarking!B572</f>
        <v>yrd</v>
      </c>
      <c r="C572" t="str">
        <f>Benchmarking!C572</f>
        <v>Financial Services</v>
      </c>
      <c r="D572" s="17">
        <f>Benchmarking!D572</f>
        <v>200</v>
      </c>
      <c r="E572" s="17">
        <f>Benchmarking!E572</f>
        <v>205</v>
      </c>
      <c r="F572" s="17">
        <f>Benchmarking!F572</f>
        <v>205</v>
      </c>
      <c r="G572" s="17">
        <f>Benchmarking!G572</f>
        <v>610</v>
      </c>
      <c r="H572" t="str">
        <f t="shared" si="96"/>
        <v>Social</v>
      </c>
      <c r="I572" t="str">
        <f t="shared" si="97"/>
        <v>Environmental</v>
      </c>
      <c r="J572" s="19">
        <f t="shared" si="98"/>
        <v>-5</v>
      </c>
      <c r="K572" s="19">
        <f t="shared" si="99"/>
        <v>0</v>
      </c>
      <c r="L572" s="19">
        <f t="shared" si="100"/>
        <v>-5</v>
      </c>
      <c r="M572" s="17">
        <f t="shared" si="101"/>
        <v>5</v>
      </c>
      <c r="N572" s="22">
        <f t="shared" si="102"/>
        <v>2.6315789473684209E-2</v>
      </c>
      <c r="O572" s="22">
        <f t="shared" si="103"/>
        <v>1.3850415512465374E-3</v>
      </c>
      <c r="P572" s="22">
        <f t="shared" si="104"/>
        <v>2.4930747922437671E-2</v>
      </c>
      <c r="Q572" t="str">
        <f t="shared" si="105"/>
        <v/>
      </c>
      <c r="S572">
        <f t="shared" si="106"/>
        <v>5.0009427999999998</v>
      </c>
      <c r="T572" s="23">
        <f t="shared" si="107"/>
        <v>2.5873547922437672E-2</v>
      </c>
    </row>
    <row r="573" spans="1:20" ht="15" customHeight="1" x14ac:dyDescent="0.35">
      <c r="A573" t="str">
        <f>Benchmarking!A573</f>
        <v>Yum China Holdings Inc</v>
      </c>
      <c r="B573" t="str">
        <f>Benchmarking!B573</f>
        <v>yumc</v>
      </c>
      <c r="C573" t="str">
        <f>Benchmarking!C573</f>
        <v>Hotels Restaurants &amp; Leisure</v>
      </c>
      <c r="D573" s="17">
        <f>Benchmarking!D573</f>
        <v>205</v>
      </c>
      <c r="E573" s="17">
        <f>Benchmarking!E573</f>
        <v>217</v>
      </c>
      <c r="F573" s="17">
        <f>Benchmarking!F573</f>
        <v>220</v>
      </c>
      <c r="G573" s="17">
        <f>Benchmarking!G573</f>
        <v>642</v>
      </c>
      <c r="H573" t="str">
        <f t="shared" si="96"/>
        <v>Governance</v>
      </c>
      <c r="I573" t="str">
        <f t="shared" si="97"/>
        <v>Environmental</v>
      </c>
      <c r="J573" s="19">
        <f t="shared" si="98"/>
        <v>-12</v>
      </c>
      <c r="K573" s="19">
        <f t="shared" si="99"/>
        <v>-3</v>
      </c>
      <c r="L573" s="19">
        <f t="shared" si="100"/>
        <v>-15</v>
      </c>
      <c r="M573" s="17">
        <f t="shared" si="101"/>
        <v>15</v>
      </c>
      <c r="N573" s="22">
        <f t="shared" si="102"/>
        <v>8.1717451523545703E-2</v>
      </c>
      <c r="O573" s="22">
        <f t="shared" si="103"/>
        <v>5.6786703601108032E-2</v>
      </c>
      <c r="P573" s="22">
        <f t="shared" si="104"/>
        <v>2.4930747922437671E-2</v>
      </c>
      <c r="Q573" t="str">
        <f t="shared" si="105"/>
        <v/>
      </c>
      <c r="S573">
        <f t="shared" si="106"/>
        <v>15.0009427</v>
      </c>
      <c r="T573" s="23">
        <f t="shared" si="107"/>
        <v>2.5873447922437672E-2</v>
      </c>
    </row>
    <row r="574" spans="1:20" ht="15" customHeight="1" x14ac:dyDescent="0.35">
      <c r="A574" t="str">
        <f>Benchmarking!A574</f>
        <v>Tronox Holdings PLC</v>
      </c>
      <c r="B574" t="str">
        <f>Benchmarking!B574</f>
        <v>trox</v>
      </c>
      <c r="C574" t="str">
        <f>Benchmarking!C574</f>
        <v>Chemicals</v>
      </c>
      <c r="D574" s="17">
        <f>Benchmarking!D574</f>
        <v>503</v>
      </c>
      <c r="E574" s="17">
        <f>Benchmarking!E574</f>
        <v>320</v>
      </c>
      <c r="F574" s="17">
        <f>Benchmarking!F574</f>
        <v>300</v>
      </c>
      <c r="G574" s="17">
        <f>Benchmarking!G574</f>
        <v>1123</v>
      </c>
      <c r="H574" t="str">
        <f t="shared" si="96"/>
        <v>Environmental</v>
      </c>
      <c r="I574" t="str">
        <f t="shared" si="97"/>
        <v>Governance</v>
      </c>
      <c r="J574" s="19">
        <f t="shared" si="98"/>
        <v>183</v>
      </c>
      <c r="K574" s="19">
        <f t="shared" si="99"/>
        <v>20</v>
      </c>
      <c r="L574" s="19">
        <f t="shared" si="100"/>
        <v>203</v>
      </c>
      <c r="M574" s="17">
        <f t="shared" si="101"/>
        <v>203</v>
      </c>
      <c r="N574" s="22">
        <f t="shared" si="102"/>
        <v>0.67313019390581719</v>
      </c>
      <c r="O574" s="22">
        <f t="shared" si="103"/>
        <v>0.39335180055401664</v>
      </c>
      <c r="P574" s="22">
        <f t="shared" si="104"/>
        <v>0.27977839335180055</v>
      </c>
      <c r="Q574" t="str">
        <f t="shared" si="105"/>
        <v/>
      </c>
      <c r="S574">
        <f t="shared" si="106"/>
        <v>203.0009426</v>
      </c>
      <c r="T574" s="23">
        <f t="shared" si="107"/>
        <v>0.28072099335180056</v>
      </c>
    </row>
    <row r="575" spans="1:20" ht="15" customHeight="1" x14ac:dyDescent="0.35">
      <c r="A575" t="str">
        <f>Benchmarking!A575</f>
        <v>Zepp Health Corp</v>
      </c>
      <c r="B575" t="str">
        <f>Benchmarking!B575</f>
        <v>zepp</v>
      </c>
      <c r="C575" t="str">
        <f>Benchmarking!C575</f>
        <v>Electrical Equipment</v>
      </c>
      <c r="D575" s="17">
        <f>Benchmarking!D575</f>
        <v>202</v>
      </c>
      <c r="E575" s="17">
        <f>Benchmarking!E575</f>
        <v>210</v>
      </c>
      <c r="F575" s="17">
        <f>Benchmarking!F575</f>
        <v>295</v>
      </c>
      <c r="G575" s="17">
        <f>Benchmarking!G575</f>
        <v>707</v>
      </c>
      <c r="H575" t="str">
        <f t="shared" si="96"/>
        <v>Governance</v>
      </c>
      <c r="I575" t="str">
        <f t="shared" si="97"/>
        <v>Environmental</v>
      </c>
      <c r="J575" s="19">
        <f t="shared" si="98"/>
        <v>-8</v>
      </c>
      <c r="K575" s="19">
        <f t="shared" si="99"/>
        <v>-85</v>
      </c>
      <c r="L575" s="19">
        <f t="shared" si="100"/>
        <v>-93</v>
      </c>
      <c r="M575" s="17">
        <f t="shared" si="101"/>
        <v>93</v>
      </c>
      <c r="N575" s="22">
        <f t="shared" si="102"/>
        <v>0.17313019390581719</v>
      </c>
      <c r="O575" s="22">
        <f t="shared" si="103"/>
        <v>5.1246537396121887E-2</v>
      </c>
      <c r="P575" s="22">
        <f t="shared" si="104"/>
        <v>0.12188365650969529</v>
      </c>
      <c r="Q575" t="str">
        <f t="shared" si="105"/>
        <v/>
      </c>
      <c r="S575">
        <f t="shared" si="106"/>
        <v>93.000942499999994</v>
      </c>
      <c r="T575" s="23">
        <f t="shared" si="107"/>
        <v>0.12282615650969529</v>
      </c>
    </row>
    <row r="576" spans="1:20" ht="15" customHeight="1" x14ac:dyDescent="0.35">
      <c r="A576" t="str">
        <f>Benchmarking!A576</f>
        <v>Lightning eMotors Inc</v>
      </c>
      <c r="B576" t="str">
        <f>Benchmarking!B576</f>
        <v>zev</v>
      </c>
      <c r="C576" t="str">
        <f>Benchmarking!C576</f>
        <v>Machinery</v>
      </c>
      <c r="D576" s="17">
        <f>Benchmarking!D576</f>
        <v>535</v>
      </c>
      <c r="E576" s="17">
        <f>Benchmarking!E576</f>
        <v>391</v>
      </c>
      <c r="F576" s="17">
        <f>Benchmarking!F576</f>
        <v>240</v>
      </c>
      <c r="G576" s="17">
        <f>Benchmarking!G576</f>
        <v>1166</v>
      </c>
      <c r="H576" t="str">
        <f t="shared" si="96"/>
        <v>Environmental</v>
      </c>
      <c r="I576" t="str">
        <f t="shared" si="97"/>
        <v>Governance</v>
      </c>
      <c r="J576" s="19">
        <f t="shared" si="98"/>
        <v>144</v>
      </c>
      <c r="K576" s="19">
        <f t="shared" si="99"/>
        <v>151</v>
      </c>
      <c r="L576" s="19">
        <f t="shared" si="100"/>
        <v>295</v>
      </c>
      <c r="M576" s="17">
        <f t="shared" si="101"/>
        <v>295</v>
      </c>
      <c r="N576" s="22">
        <f t="shared" si="102"/>
        <v>0.81578947368421051</v>
      </c>
      <c r="O576" s="22">
        <f t="shared" si="103"/>
        <v>0.2742382271468144</v>
      </c>
      <c r="P576" s="22">
        <f t="shared" si="104"/>
        <v>0.54155124653739617</v>
      </c>
      <c r="Q576" t="str">
        <f t="shared" si="105"/>
        <v>High ESG / weak pillar (analytical flag - not an ESG rating) - warrants investigation</v>
      </c>
      <c r="S576">
        <f t="shared" si="106"/>
        <v>295.00094239999999</v>
      </c>
      <c r="T576" s="23">
        <f t="shared" si="107"/>
        <v>0.54249364653739618</v>
      </c>
    </row>
    <row r="577" spans="1:20" ht="15" customHeight="1" x14ac:dyDescent="0.35">
      <c r="A577" t="str">
        <f>Benchmarking!A577</f>
        <v>Zuora Inc</v>
      </c>
      <c r="B577" t="str">
        <f>Benchmarking!B577</f>
        <v>zuo</v>
      </c>
      <c r="C577" t="str">
        <f>Benchmarking!C577</f>
        <v>Technology</v>
      </c>
      <c r="D577" s="17">
        <f>Benchmarking!D577</f>
        <v>240</v>
      </c>
      <c r="E577" s="17">
        <f>Benchmarking!E577</f>
        <v>234</v>
      </c>
      <c r="F577" s="17">
        <f>Benchmarking!F577</f>
        <v>200</v>
      </c>
      <c r="G577" s="17">
        <f>Benchmarking!G577</f>
        <v>674</v>
      </c>
      <c r="H577" t="str">
        <f t="shared" si="96"/>
        <v>Environmental</v>
      </c>
      <c r="I577" t="str">
        <f t="shared" si="97"/>
        <v>Governance</v>
      </c>
      <c r="J577" s="19">
        <f t="shared" si="98"/>
        <v>6</v>
      </c>
      <c r="K577" s="19">
        <f t="shared" si="99"/>
        <v>34</v>
      </c>
      <c r="L577" s="19">
        <f t="shared" si="100"/>
        <v>40</v>
      </c>
      <c r="M577" s="17">
        <f t="shared" si="101"/>
        <v>40</v>
      </c>
      <c r="N577" s="22">
        <f t="shared" si="102"/>
        <v>0.13434903047091412</v>
      </c>
      <c r="O577" s="22">
        <f t="shared" si="103"/>
        <v>2.7700831024930748E-3</v>
      </c>
      <c r="P577" s="22">
        <f t="shared" si="104"/>
        <v>0.13157894736842105</v>
      </c>
      <c r="Q577" t="str">
        <f t="shared" si="105"/>
        <v/>
      </c>
      <c r="S577">
        <f t="shared" si="106"/>
        <v>40.000942299999998</v>
      </c>
      <c r="T577" s="23">
        <f t="shared" si="107"/>
        <v>0.13252124736842105</v>
      </c>
    </row>
    <row r="578" spans="1:20" ht="15" customHeight="1" x14ac:dyDescent="0.35">
      <c r="A578" t="str">
        <f>Benchmarking!A578</f>
        <v>ZIM Integrated Shipping Services Ltd</v>
      </c>
      <c r="B578" t="str">
        <f>Benchmarking!B578</f>
        <v>zim</v>
      </c>
      <c r="C578" t="str">
        <f>Benchmarking!C578</f>
        <v>Marine</v>
      </c>
      <c r="D578" s="17">
        <f>Benchmarking!D578</f>
        <v>329</v>
      </c>
      <c r="E578" s="17">
        <f>Benchmarking!E578</f>
        <v>351</v>
      </c>
      <c r="F578" s="17">
        <f>Benchmarking!F578</f>
        <v>320</v>
      </c>
      <c r="G578" s="17">
        <f>Benchmarking!G578</f>
        <v>1000</v>
      </c>
      <c r="H578" t="str">
        <f t="shared" si="96"/>
        <v>Social</v>
      </c>
      <c r="I578" t="str">
        <f t="shared" si="97"/>
        <v>Governance</v>
      </c>
      <c r="J578" s="19">
        <f t="shared" si="98"/>
        <v>-22</v>
      </c>
      <c r="K578" s="19">
        <f t="shared" si="99"/>
        <v>31</v>
      </c>
      <c r="L578" s="19">
        <f t="shared" si="100"/>
        <v>9</v>
      </c>
      <c r="M578" s="17">
        <f t="shared" si="101"/>
        <v>31</v>
      </c>
      <c r="N578" s="22">
        <f t="shared" si="102"/>
        <v>0.45567867036011078</v>
      </c>
      <c r="O578" s="22">
        <f t="shared" si="103"/>
        <v>0.37950138504155123</v>
      </c>
      <c r="P578" s="22">
        <f t="shared" si="104"/>
        <v>7.6177285318559551E-2</v>
      </c>
      <c r="Q578" t="str">
        <f t="shared" si="105"/>
        <v/>
      </c>
      <c r="S578">
        <f t="shared" si="106"/>
        <v>31.000942200000001</v>
      </c>
      <c r="T578" s="23">
        <f t="shared" si="107"/>
        <v>7.7119485318559555E-2</v>
      </c>
    </row>
    <row r="579" spans="1:20" ht="15" customHeight="1" x14ac:dyDescent="0.35">
      <c r="A579" t="str">
        <f>Benchmarking!A579</f>
        <v>Zymeworks Inc</v>
      </c>
      <c r="B579" t="str">
        <f>Benchmarking!B579</f>
        <v>zyme</v>
      </c>
      <c r="C579" t="str">
        <f>Benchmarking!C579</f>
        <v>Biotechnology</v>
      </c>
      <c r="D579" s="17">
        <f>Benchmarking!D579</f>
        <v>240</v>
      </c>
      <c r="E579" s="17">
        <f>Benchmarking!E579</f>
        <v>326</v>
      </c>
      <c r="F579" s="17">
        <f>Benchmarking!F579</f>
        <v>305</v>
      </c>
      <c r="G579" s="17">
        <f>Benchmarking!G579</f>
        <v>871</v>
      </c>
      <c r="H579" t="str">
        <f t="shared" si="96"/>
        <v>Social</v>
      </c>
      <c r="I579" t="str">
        <f t="shared" si="97"/>
        <v>Environmental</v>
      </c>
      <c r="J579" s="19">
        <f t="shared" si="98"/>
        <v>-86</v>
      </c>
      <c r="K579" s="19">
        <f t="shared" si="99"/>
        <v>21</v>
      </c>
      <c r="L579" s="19">
        <f t="shared" si="100"/>
        <v>-65</v>
      </c>
      <c r="M579" s="17">
        <f t="shared" si="101"/>
        <v>86</v>
      </c>
      <c r="N579" s="22">
        <f t="shared" si="102"/>
        <v>0.35180055401662053</v>
      </c>
      <c r="O579" s="22">
        <f t="shared" si="103"/>
        <v>0.24376731301939059</v>
      </c>
      <c r="P579" s="22">
        <f t="shared" si="104"/>
        <v>0.10803324099722994</v>
      </c>
      <c r="Q579" t="str">
        <f t="shared" si="105"/>
        <v/>
      </c>
      <c r="S579">
        <f t="shared" si="106"/>
        <v>86.000942100000003</v>
      </c>
      <c r="T579" s="23">
        <f t="shared" si="107"/>
        <v>0.10897534099722994</v>
      </c>
    </row>
    <row r="580" spans="1:20" ht="15" customHeight="1" x14ac:dyDescent="0.35">
      <c r="A580" t="str">
        <f>Benchmarking!A580</f>
        <v>Zurn Elkay Water Solutions Corp</v>
      </c>
      <c r="B580" t="str">
        <f>Benchmarking!B580</f>
        <v>zws</v>
      </c>
      <c r="C580" t="str">
        <f>Benchmarking!C580</f>
        <v>Building</v>
      </c>
      <c r="D580" s="17">
        <f>Benchmarking!D580</f>
        <v>500</v>
      </c>
      <c r="E580" s="17">
        <f>Benchmarking!E580</f>
        <v>300</v>
      </c>
      <c r="F580" s="17">
        <f>Benchmarking!F580</f>
        <v>300</v>
      </c>
      <c r="G580" s="17">
        <f>Benchmarking!G580</f>
        <v>1100</v>
      </c>
      <c r="H580" t="str">
        <f t="shared" ref="H580:H643" si="108">IF(AND(D580&gt;=E580,D580&gt;=F580),"Environmental",IF(AND(E580&gt;=D580,E580&gt;=F580),"Social","Governance"))</f>
        <v>Environmental</v>
      </c>
      <c r="I580" t="str">
        <f t="shared" ref="I580:I643" si="109">IF(AND(D580&lt;=E580,D580&lt;=F580),"Environmental",IF(AND(E580&lt;=D580,E580&lt;=F580),"Social","Governance"))</f>
        <v>Social</v>
      </c>
      <c r="J580" s="19">
        <f t="shared" ref="J580:J643" si="110">D580-E580</f>
        <v>200</v>
      </c>
      <c r="K580" s="19">
        <f t="shared" ref="K580:K643" si="111">E580-F580</f>
        <v>0</v>
      </c>
      <c r="L580" s="19">
        <f t="shared" ref="L580:L643" si="112">D580-F580</f>
        <v>200</v>
      </c>
      <c r="M580" s="17">
        <f t="shared" ref="M580:M643" si="113">MAX(D580:F580)-MIN(D580:F580)</f>
        <v>200</v>
      </c>
      <c r="N580" s="22">
        <f t="shared" ref="N580:N643" si="114">RANK(G580,$G$4:$G$725,1)/COUNT($G$4:$G$725)</f>
        <v>0.56925207756232687</v>
      </c>
      <c r="O580" s="22">
        <f t="shared" ref="O580:O643" si="115">MIN(RANK(D580,$D$4:$D$725,1)/COUNT($D$4:$D$725),RANK(E580,$E$4:$E$725,1)/COUNT($E$4:$E$725),RANK(F580,$F$4:$F$725,1)/COUNT($F$4:$F$725))</f>
        <v>0.36565096952908588</v>
      </c>
      <c r="P580" s="22">
        <f t="shared" ref="P580:P643" si="116">N580-O580</f>
        <v>0.203601108033241</v>
      </c>
      <c r="Q580" t="str">
        <f t="shared" ref="Q580:Q643" si="117">IF(AND(N580&gt;=0.7,P580&gt;=0.4),"High ESG / weak pillar (analytical flag - not an ESG rating) - warrants investigation","")</f>
        <v/>
      </c>
      <c r="S580">
        <f t="shared" ref="S580:S643" si="118">M580+(10000-ROW())/10000000</f>
        <v>200.00094200000001</v>
      </c>
      <c r="T580" s="23">
        <f t="shared" ref="T580:T643" si="119">P580+(10000-ROW())/10000000</f>
        <v>0.20454310803324099</v>
      </c>
    </row>
    <row r="581" spans="1:20" ht="15" customHeight="1" x14ac:dyDescent="0.35">
      <c r="A581" t="str">
        <f>Benchmarking!A581</f>
        <v>Clear Secure Inc</v>
      </c>
      <c r="B581" t="str">
        <f>Benchmarking!B581</f>
        <v>you</v>
      </c>
      <c r="C581" t="str">
        <f>Benchmarking!C581</f>
        <v>Technology</v>
      </c>
      <c r="D581" s="17">
        <f>Benchmarking!D581</f>
        <v>515</v>
      </c>
      <c r="E581" s="17">
        <f>Benchmarking!E581</f>
        <v>278</v>
      </c>
      <c r="F581" s="17">
        <f>Benchmarking!F581</f>
        <v>205</v>
      </c>
      <c r="G581" s="17">
        <f>Benchmarking!G581</f>
        <v>998</v>
      </c>
      <c r="H581" t="str">
        <f t="shared" si="108"/>
        <v>Environmental</v>
      </c>
      <c r="I581" t="str">
        <f t="shared" si="109"/>
        <v>Governance</v>
      </c>
      <c r="J581" s="19">
        <f t="shared" si="110"/>
        <v>237</v>
      </c>
      <c r="K581" s="19">
        <f t="shared" si="111"/>
        <v>73</v>
      </c>
      <c r="L581" s="19">
        <f t="shared" si="112"/>
        <v>310</v>
      </c>
      <c r="M581" s="17">
        <f t="shared" si="113"/>
        <v>310</v>
      </c>
      <c r="N581" s="22">
        <f t="shared" si="114"/>
        <v>0.45429362880886426</v>
      </c>
      <c r="O581" s="22">
        <f t="shared" si="115"/>
        <v>8.3102493074792241E-2</v>
      </c>
      <c r="P581" s="22">
        <f t="shared" si="116"/>
        <v>0.37119113573407203</v>
      </c>
      <c r="Q581" t="str">
        <f t="shared" si="117"/>
        <v/>
      </c>
      <c r="S581">
        <f t="shared" si="118"/>
        <v>310.00094189999999</v>
      </c>
      <c r="T581" s="23">
        <f t="shared" si="119"/>
        <v>0.37213303573407203</v>
      </c>
    </row>
    <row r="582" spans="1:20" ht="15" customHeight="1" x14ac:dyDescent="0.35">
      <c r="A582" t="str">
        <f>Benchmarking!A582</f>
        <v>Zendesk Inc</v>
      </c>
      <c r="B582" t="str">
        <f>Benchmarking!B582</f>
        <v>zen</v>
      </c>
      <c r="C582" t="str">
        <f>Benchmarking!C582</f>
        <v>Technology</v>
      </c>
      <c r="D582" s="17">
        <f>Benchmarking!D582</f>
        <v>515</v>
      </c>
      <c r="E582" s="17">
        <f>Benchmarking!E582</f>
        <v>338</v>
      </c>
      <c r="F582" s="17">
        <f>Benchmarking!F582</f>
        <v>320</v>
      </c>
      <c r="G582" s="17">
        <f>Benchmarking!G582</f>
        <v>1173</v>
      </c>
      <c r="H582" t="str">
        <f t="shared" si="108"/>
        <v>Environmental</v>
      </c>
      <c r="I582" t="str">
        <f t="shared" si="109"/>
        <v>Governance</v>
      </c>
      <c r="J582" s="19">
        <f t="shared" si="110"/>
        <v>177</v>
      </c>
      <c r="K582" s="19">
        <f t="shared" si="111"/>
        <v>18</v>
      </c>
      <c r="L582" s="19">
        <f t="shared" si="112"/>
        <v>195</v>
      </c>
      <c r="M582" s="17">
        <f t="shared" si="113"/>
        <v>195</v>
      </c>
      <c r="N582" s="22">
        <f t="shared" si="114"/>
        <v>0.83240997229916902</v>
      </c>
      <c r="O582" s="22">
        <f t="shared" si="115"/>
        <v>0.70914127423822715</v>
      </c>
      <c r="P582" s="22">
        <f t="shared" si="116"/>
        <v>0.12326869806094187</v>
      </c>
      <c r="Q582" t="str">
        <f t="shared" si="117"/>
        <v/>
      </c>
      <c r="S582">
        <f t="shared" si="118"/>
        <v>195.00094179999999</v>
      </c>
      <c r="T582" s="23">
        <f t="shared" si="119"/>
        <v>0.12421049806094188</v>
      </c>
    </row>
    <row r="583" spans="1:20" ht="15" customHeight="1" x14ac:dyDescent="0.35">
      <c r="A583" t="str">
        <f>Benchmarking!A583</f>
        <v>Plexus Corp</v>
      </c>
      <c r="B583" t="str">
        <f>Benchmarking!B583</f>
        <v>plxs</v>
      </c>
      <c r="C583" t="str">
        <f>Benchmarking!C583</f>
        <v>Electrical Equipment</v>
      </c>
      <c r="D583" s="17">
        <f>Benchmarking!D583</f>
        <v>510</v>
      </c>
      <c r="E583" s="17">
        <f>Benchmarking!E583</f>
        <v>300</v>
      </c>
      <c r="F583" s="17">
        <f>Benchmarking!F583</f>
        <v>300</v>
      </c>
      <c r="G583" s="17">
        <f>Benchmarking!G583</f>
        <v>1110</v>
      </c>
      <c r="H583" t="str">
        <f t="shared" si="108"/>
        <v>Environmental</v>
      </c>
      <c r="I583" t="str">
        <f t="shared" si="109"/>
        <v>Social</v>
      </c>
      <c r="J583" s="19">
        <f t="shared" si="110"/>
        <v>210</v>
      </c>
      <c r="K583" s="19">
        <f t="shared" si="111"/>
        <v>0</v>
      </c>
      <c r="L583" s="19">
        <f t="shared" si="112"/>
        <v>210</v>
      </c>
      <c r="M583" s="17">
        <f t="shared" si="113"/>
        <v>210</v>
      </c>
      <c r="N583" s="22">
        <f t="shared" si="114"/>
        <v>0.6357340720221607</v>
      </c>
      <c r="O583" s="22">
        <f t="shared" si="115"/>
        <v>0.36565096952908588</v>
      </c>
      <c r="P583" s="22">
        <f t="shared" si="116"/>
        <v>0.27008310249307482</v>
      </c>
      <c r="Q583" t="str">
        <f t="shared" si="117"/>
        <v/>
      </c>
      <c r="S583">
        <f t="shared" si="118"/>
        <v>210.0009417</v>
      </c>
      <c r="T583" s="23">
        <f t="shared" si="119"/>
        <v>0.27102480249307481</v>
      </c>
    </row>
    <row r="584" spans="1:20" ht="15" customHeight="1" x14ac:dyDescent="0.35">
      <c r="A584" t="str">
        <f>Benchmarking!A584</f>
        <v>Seanergy Maritime Holdings Corp</v>
      </c>
      <c r="B584" t="str">
        <f>Benchmarking!B584</f>
        <v>ship</v>
      </c>
      <c r="C584" t="str">
        <f>Benchmarking!C584</f>
        <v>Marine</v>
      </c>
      <c r="D584" s="17">
        <f>Benchmarking!D584</f>
        <v>345</v>
      </c>
      <c r="E584" s="17">
        <f>Benchmarking!E584</f>
        <v>300</v>
      </c>
      <c r="F584" s="17">
        <f>Benchmarking!F584</f>
        <v>305</v>
      </c>
      <c r="G584" s="17">
        <f>Benchmarking!G584</f>
        <v>950</v>
      </c>
      <c r="H584" t="str">
        <f t="shared" si="108"/>
        <v>Environmental</v>
      </c>
      <c r="I584" t="str">
        <f t="shared" si="109"/>
        <v>Social</v>
      </c>
      <c r="J584" s="19">
        <f t="shared" si="110"/>
        <v>45</v>
      </c>
      <c r="K584" s="19">
        <f t="shared" si="111"/>
        <v>-5</v>
      </c>
      <c r="L584" s="19">
        <f t="shared" si="112"/>
        <v>40</v>
      </c>
      <c r="M584" s="17">
        <f t="shared" si="113"/>
        <v>45</v>
      </c>
      <c r="N584" s="22">
        <f t="shared" si="114"/>
        <v>0.41966759002770082</v>
      </c>
      <c r="O584" s="22">
        <f t="shared" si="115"/>
        <v>0.36565096952908588</v>
      </c>
      <c r="P584" s="22">
        <f t="shared" si="116"/>
        <v>5.4016620498614942E-2</v>
      </c>
      <c r="Q584" t="str">
        <f t="shared" si="117"/>
        <v/>
      </c>
      <c r="S584">
        <f t="shared" si="118"/>
        <v>45.000941599999997</v>
      </c>
      <c r="T584" s="23">
        <f t="shared" si="119"/>
        <v>5.4958220498614943E-2</v>
      </c>
    </row>
    <row r="585" spans="1:20" ht="15" customHeight="1" x14ac:dyDescent="0.35">
      <c r="A585" t="str">
        <f>Benchmarking!A585</f>
        <v>Shoals Technologies Group Inc</v>
      </c>
      <c r="B585" t="str">
        <f>Benchmarking!B585</f>
        <v>shls</v>
      </c>
      <c r="C585" t="str">
        <f>Benchmarking!C585</f>
        <v>Electrical Equipment</v>
      </c>
      <c r="D585" s="17">
        <f>Benchmarking!D585</f>
        <v>285</v>
      </c>
      <c r="E585" s="17">
        <f>Benchmarking!E585</f>
        <v>280</v>
      </c>
      <c r="F585" s="17">
        <f>Benchmarking!F585</f>
        <v>300</v>
      </c>
      <c r="G585" s="17">
        <f>Benchmarking!G585</f>
        <v>865</v>
      </c>
      <c r="H585" t="str">
        <f t="shared" si="108"/>
        <v>Governance</v>
      </c>
      <c r="I585" t="str">
        <f t="shared" si="109"/>
        <v>Social</v>
      </c>
      <c r="J585" s="19">
        <f t="shared" si="110"/>
        <v>5</v>
      </c>
      <c r="K585" s="19">
        <f t="shared" si="111"/>
        <v>-20</v>
      </c>
      <c r="L585" s="19">
        <f t="shared" si="112"/>
        <v>-15</v>
      </c>
      <c r="M585" s="17">
        <f t="shared" si="113"/>
        <v>20</v>
      </c>
      <c r="N585" s="22">
        <f t="shared" si="114"/>
        <v>0.3476454293628809</v>
      </c>
      <c r="O585" s="22">
        <f t="shared" si="115"/>
        <v>0.32409972299168976</v>
      </c>
      <c r="P585" s="22">
        <f t="shared" si="116"/>
        <v>2.3545706371191133E-2</v>
      </c>
      <c r="Q585" t="str">
        <f t="shared" si="117"/>
        <v/>
      </c>
      <c r="S585">
        <f t="shared" si="118"/>
        <v>20.0009415</v>
      </c>
      <c r="T585" s="23">
        <f t="shared" si="119"/>
        <v>2.4487206371191134E-2</v>
      </c>
    </row>
    <row r="586" spans="1:20" ht="15" customHeight="1" x14ac:dyDescent="0.35">
      <c r="A586" t="str">
        <f>Benchmarking!A586</f>
        <v>Steven Madden Ltd</v>
      </c>
      <c r="B586" t="str">
        <f>Benchmarking!B586</f>
        <v>shoo</v>
      </c>
      <c r="C586" t="str">
        <f>Benchmarking!C586</f>
        <v>Textiles Apparel &amp; Luxury Goods</v>
      </c>
      <c r="D586" s="17">
        <f>Benchmarking!D586</f>
        <v>508</v>
      </c>
      <c r="E586" s="17">
        <f>Benchmarking!E586</f>
        <v>231</v>
      </c>
      <c r="F586" s="17">
        <f>Benchmarking!F586</f>
        <v>300</v>
      </c>
      <c r="G586" s="17">
        <f>Benchmarking!G586</f>
        <v>1039</v>
      </c>
      <c r="H586" t="str">
        <f t="shared" si="108"/>
        <v>Environmental</v>
      </c>
      <c r="I586" t="str">
        <f t="shared" si="109"/>
        <v>Social</v>
      </c>
      <c r="J586" s="19">
        <f t="shared" si="110"/>
        <v>277</v>
      </c>
      <c r="K586" s="19">
        <f t="shared" si="111"/>
        <v>-69</v>
      </c>
      <c r="L586" s="19">
        <f t="shared" si="112"/>
        <v>208</v>
      </c>
      <c r="M586" s="17">
        <f t="shared" si="113"/>
        <v>277</v>
      </c>
      <c r="N586" s="22">
        <f t="shared" si="114"/>
        <v>0.49722991689750695</v>
      </c>
      <c r="O586" s="22">
        <f t="shared" si="115"/>
        <v>0.19667590027700832</v>
      </c>
      <c r="P586" s="22">
        <f t="shared" si="116"/>
        <v>0.30055401662049863</v>
      </c>
      <c r="Q586" t="str">
        <f t="shared" si="117"/>
        <v/>
      </c>
      <c r="S586">
        <f t="shared" si="118"/>
        <v>277.00094139999999</v>
      </c>
      <c r="T586" s="23">
        <f t="shared" si="119"/>
        <v>0.30149541662049861</v>
      </c>
    </row>
    <row r="587" spans="1:20" ht="15" customHeight="1" x14ac:dyDescent="0.35">
      <c r="A587" t="str">
        <f>Benchmarking!A587</f>
        <v>Shyft Group Inc</v>
      </c>
      <c r="B587" t="str">
        <f>Benchmarking!B587</f>
        <v>shyf</v>
      </c>
      <c r="C587" t="str">
        <f>Benchmarking!C587</f>
        <v>Machinery</v>
      </c>
      <c r="D587" s="17">
        <f>Benchmarking!D587</f>
        <v>510</v>
      </c>
      <c r="E587" s="17">
        <f>Benchmarking!E587</f>
        <v>303</v>
      </c>
      <c r="F587" s="17">
        <f>Benchmarking!F587</f>
        <v>275</v>
      </c>
      <c r="G587" s="17">
        <f>Benchmarking!G587</f>
        <v>1088</v>
      </c>
      <c r="H587" t="str">
        <f t="shared" si="108"/>
        <v>Environmental</v>
      </c>
      <c r="I587" t="str">
        <f t="shared" si="109"/>
        <v>Governance</v>
      </c>
      <c r="J587" s="19">
        <f t="shared" si="110"/>
        <v>207</v>
      </c>
      <c r="K587" s="19">
        <f t="shared" si="111"/>
        <v>28</v>
      </c>
      <c r="L587" s="19">
        <f t="shared" si="112"/>
        <v>235</v>
      </c>
      <c r="M587" s="17">
        <f t="shared" si="113"/>
        <v>235</v>
      </c>
      <c r="N587" s="22">
        <f t="shared" si="114"/>
        <v>0.55263157894736847</v>
      </c>
      <c r="O587" s="22">
        <f t="shared" si="115"/>
        <v>0.35180055401662053</v>
      </c>
      <c r="P587" s="22">
        <f t="shared" si="116"/>
        <v>0.20083102493074795</v>
      </c>
      <c r="Q587" t="str">
        <f t="shared" si="117"/>
        <v/>
      </c>
      <c r="S587">
        <f t="shared" si="118"/>
        <v>235.00094129999999</v>
      </c>
      <c r="T587" s="23">
        <f t="shared" si="119"/>
        <v>0.20177232493074795</v>
      </c>
    </row>
    <row r="588" spans="1:20" ht="15" customHeight="1" x14ac:dyDescent="0.35">
      <c r="A588" t="str">
        <f>Benchmarking!A588</f>
        <v>SI-BONE Inc</v>
      </c>
      <c r="B588" t="str">
        <f>Benchmarking!B588</f>
        <v>sibn</v>
      </c>
      <c r="C588" t="str">
        <f>Benchmarking!C588</f>
        <v>Health Care</v>
      </c>
      <c r="D588" s="17">
        <f>Benchmarking!D588</f>
        <v>220</v>
      </c>
      <c r="E588" s="17">
        <f>Benchmarking!E588</f>
        <v>228</v>
      </c>
      <c r="F588" s="17">
        <f>Benchmarking!F588</f>
        <v>210</v>
      </c>
      <c r="G588" s="17">
        <f>Benchmarking!G588</f>
        <v>658</v>
      </c>
      <c r="H588" t="str">
        <f t="shared" si="108"/>
        <v>Social</v>
      </c>
      <c r="I588" t="str">
        <f t="shared" si="109"/>
        <v>Governance</v>
      </c>
      <c r="J588" s="19">
        <f t="shared" si="110"/>
        <v>-8</v>
      </c>
      <c r="K588" s="19">
        <f t="shared" si="111"/>
        <v>18</v>
      </c>
      <c r="L588" s="19">
        <f t="shared" si="112"/>
        <v>10</v>
      </c>
      <c r="M588" s="17">
        <f t="shared" si="113"/>
        <v>18</v>
      </c>
      <c r="N588" s="22">
        <f t="shared" si="114"/>
        <v>0.11357340720221606</v>
      </c>
      <c r="O588" s="22">
        <f t="shared" si="115"/>
        <v>0.12049861495844875</v>
      </c>
      <c r="P588" s="22">
        <f t="shared" si="116"/>
        <v>-6.9252077562326902E-3</v>
      </c>
      <c r="Q588" t="str">
        <f t="shared" si="117"/>
        <v/>
      </c>
      <c r="S588">
        <f t="shared" si="118"/>
        <v>18.0009412</v>
      </c>
      <c r="T588" s="23">
        <f t="shared" si="119"/>
        <v>-5.9840077562326906E-3</v>
      </c>
    </row>
    <row r="589" spans="1:20" ht="15" customHeight="1" x14ac:dyDescent="0.35">
      <c r="A589" t="str">
        <f>Benchmarking!A589</f>
        <v>Siebert Financial Corp</v>
      </c>
      <c r="B589" t="str">
        <f>Benchmarking!B589</f>
        <v>sieb</v>
      </c>
      <c r="C589" t="str">
        <f>Benchmarking!C589</f>
        <v>Financial Services</v>
      </c>
      <c r="D589" s="17">
        <f>Benchmarking!D589</f>
        <v>300</v>
      </c>
      <c r="E589" s="17">
        <f>Benchmarking!E589</f>
        <v>299</v>
      </c>
      <c r="F589" s="17">
        <f>Benchmarking!F589</f>
        <v>235</v>
      </c>
      <c r="G589" s="17">
        <f>Benchmarking!G589</f>
        <v>834</v>
      </c>
      <c r="H589" t="str">
        <f t="shared" si="108"/>
        <v>Environmental</v>
      </c>
      <c r="I589" t="str">
        <f t="shared" si="109"/>
        <v>Governance</v>
      </c>
      <c r="J589" s="19">
        <f t="shared" si="110"/>
        <v>1</v>
      </c>
      <c r="K589" s="19">
        <f t="shared" si="111"/>
        <v>64</v>
      </c>
      <c r="L589" s="19">
        <f t="shared" si="112"/>
        <v>65</v>
      </c>
      <c r="M589" s="17">
        <f t="shared" si="113"/>
        <v>65</v>
      </c>
      <c r="N589" s="22">
        <f t="shared" si="114"/>
        <v>0.32271468144044324</v>
      </c>
      <c r="O589" s="22">
        <f t="shared" si="115"/>
        <v>0.24653739612188366</v>
      </c>
      <c r="P589" s="22">
        <f t="shared" si="116"/>
        <v>7.6177285318559579E-2</v>
      </c>
      <c r="Q589" t="str">
        <f t="shared" si="117"/>
        <v/>
      </c>
      <c r="S589">
        <f t="shared" si="118"/>
        <v>65.000941100000006</v>
      </c>
      <c r="T589" s="23">
        <f t="shared" si="119"/>
        <v>7.7118385318559579E-2</v>
      </c>
    </row>
    <row r="590" spans="1:20" ht="15" customHeight="1" x14ac:dyDescent="0.35">
      <c r="A590" t="str">
        <f>Benchmarking!A590</f>
        <v>Playa Hotels &amp; Resorts NV</v>
      </c>
      <c r="B590" t="str">
        <f>Benchmarking!B590</f>
        <v>plya</v>
      </c>
      <c r="C590" t="str">
        <f>Benchmarking!C590</f>
        <v>Hotels Restaurants &amp; Leisure</v>
      </c>
      <c r="D590" s="17">
        <f>Benchmarking!D590</f>
        <v>210</v>
      </c>
      <c r="E590" s="17">
        <f>Benchmarking!E590</f>
        <v>200</v>
      </c>
      <c r="F590" s="17">
        <f>Benchmarking!F590</f>
        <v>205</v>
      </c>
      <c r="G590" s="17">
        <f>Benchmarking!G590</f>
        <v>615</v>
      </c>
      <c r="H590" t="str">
        <f t="shared" si="108"/>
        <v>Environmental</v>
      </c>
      <c r="I590" t="str">
        <f t="shared" si="109"/>
        <v>Social</v>
      </c>
      <c r="J590" s="19">
        <f t="shared" si="110"/>
        <v>10</v>
      </c>
      <c r="K590" s="19">
        <f t="shared" si="111"/>
        <v>-5</v>
      </c>
      <c r="L590" s="19">
        <f t="shared" si="112"/>
        <v>5</v>
      </c>
      <c r="M590" s="17">
        <f t="shared" si="113"/>
        <v>10</v>
      </c>
      <c r="N590" s="22">
        <f t="shared" si="114"/>
        <v>2.9085872576177285E-2</v>
      </c>
      <c r="O590" s="22">
        <f t="shared" si="115"/>
        <v>2.7700831024930748E-3</v>
      </c>
      <c r="P590" s="22">
        <f t="shared" si="116"/>
        <v>2.6315789473684209E-2</v>
      </c>
      <c r="Q590" t="str">
        <f t="shared" si="117"/>
        <v/>
      </c>
      <c r="S590">
        <f t="shared" si="118"/>
        <v>10.000940999999999</v>
      </c>
      <c r="T590" s="23">
        <f t="shared" si="119"/>
        <v>2.725678947368421E-2</v>
      </c>
    </row>
    <row r="591" spans="1:20" ht="15" customHeight="1" x14ac:dyDescent="0.35">
      <c r="A591" t="str">
        <f>Benchmarking!A591</f>
        <v>World Wrestling Entertainment Inc</v>
      </c>
      <c r="B591" t="str">
        <f>Benchmarking!B591</f>
        <v>wwe</v>
      </c>
      <c r="C591" t="str">
        <f>Benchmarking!C591</f>
        <v>Media</v>
      </c>
      <c r="D591" s="17">
        <f>Benchmarking!D591</f>
        <v>275</v>
      </c>
      <c r="E591" s="17">
        <f>Benchmarking!E591</f>
        <v>332</v>
      </c>
      <c r="F591" s="17">
        <f>Benchmarking!F591</f>
        <v>315</v>
      </c>
      <c r="G591" s="17">
        <f>Benchmarking!G591</f>
        <v>922</v>
      </c>
      <c r="H591" t="str">
        <f t="shared" si="108"/>
        <v>Social</v>
      </c>
      <c r="I591" t="str">
        <f t="shared" si="109"/>
        <v>Environmental</v>
      </c>
      <c r="J591" s="19">
        <f t="shared" si="110"/>
        <v>-57</v>
      </c>
      <c r="K591" s="19">
        <f t="shared" si="111"/>
        <v>17</v>
      </c>
      <c r="L591" s="19">
        <f t="shared" si="112"/>
        <v>-40</v>
      </c>
      <c r="M591" s="17">
        <f t="shared" si="113"/>
        <v>57</v>
      </c>
      <c r="N591" s="22">
        <f t="shared" si="114"/>
        <v>0.39058171745152354</v>
      </c>
      <c r="O591" s="22">
        <f t="shared" si="115"/>
        <v>0.31301939058171746</v>
      </c>
      <c r="P591" s="22">
        <f t="shared" si="116"/>
        <v>7.7562326869806075E-2</v>
      </c>
      <c r="Q591" t="str">
        <f t="shared" si="117"/>
        <v/>
      </c>
      <c r="S591">
        <f t="shared" si="118"/>
        <v>57.000940900000003</v>
      </c>
      <c r="T591" s="23">
        <f t="shared" si="119"/>
        <v>7.850322686980607E-2</v>
      </c>
    </row>
    <row r="592" spans="1:20" ht="15" customHeight="1" x14ac:dyDescent="0.35">
      <c r="A592" t="str">
        <f>Benchmarking!A592</f>
        <v>PharmaCyte Biotech Inc</v>
      </c>
      <c r="B592" t="str">
        <f>Benchmarking!B592</f>
        <v>pmcb</v>
      </c>
      <c r="C592" t="str">
        <f>Benchmarking!C592</f>
        <v>Biotechnology</v>
      </c>
      <c r="D592" s="17">
        <f>Benchmarking!D592</f>
        <v>220</v>
      </c>
      <c r="E592" s="17">
        <f>Benchmarking!E592</f>
        <v>202</v>
      </c>
      <c r="F592" s="17">
        <f>Benchmarking!F592</f>
        <v>300</v>
      </c>
      <c r="G592" s="17">
        <f>Benchmarking!G592</f>
        <v>722</v>
      </c>
      <c r="H592" t="str">
        <f t="shared" si="108"/>
        <v>Governance</v>
      </c>
      <c r="I592" t="str">
        <f t="shared" si="109"/>
        <v>Social</v>
      </c>
      <c r="J592" s="19">
        <f t="shared" si="110"/>
        <v>18</v>
      </c>
      <c r="K592" s="19">
        <f t="shared" si="111"/>
        <v>-98</v>
      </c>
      <c r="L592" s="19">
        <f t="shared" si="112"/>
        <v>-80</v>
      </c>
      <c r="M592" s="17">
        <f t="shared" si="113"/>
        <v>98</v>
      </c>
      <c r="N592" s="22">
        <f t="shared" si="114"/>
        <v>0.18975069252077562</v>
      </c>
      <c r="O592" s="22">
        <f t="shared" si="115"/>
        <v>4.5706371191135735E-2</v>
      </c>
      <c r="P592" s="22">
        <f t="shared" si="116"/>
        <v>0.14404432132963987</v>
      </c>
      <c r="Q592" t="str">
        <f t="shared" si="117"/>
        <v/>
      </c>
      <c r="S592">
        <f t="shared" si="118"/>
        <v>98.000940799999995</v>
      </c>
      <c r="T592" s="23">
        <f t="shared" si="119"/>
        <v>0.14498512132963987</v>
      </c>
    </row>
    <row r="593" spans="1:20" ht="15" customHeight="1" x14ac:dyDescent="0.35">
      <c r="A593" t="str">
        <f>Benchmarking!A593</f>
        <v>Wolverine World Wide Inc</v>
      </c>
      <c r="B593" t="str">
        <f>Benchmarking!B593</f>
        <v>www</v>
      </c>
      <c r="C593" t="str">
        <f>Benchmarking!C593</f>
        <v>Textiles Apparel &amp; Luxury Goods</v>
      </c>
      <c r="D593" s="17">
        <f>Benchmarking!D593</f>
        <v>390</v>
      </c>
      <c r="E593" s="17">
        <f>Benchmarking!E593</f>
        <v>298</v>
      </c>
      <c r="F593" s="17">
        <f>Benchmarking!F593</f>
        <v>308</v>
      </c>
      <c r="G593" s="17">
        <f>Benchmarking!G593</f>
        <v>996</v>
      </c>
      <c r="H593" t="str">
        <f t="shared" si="108"/>
        <v>Environmental</v>
      </c>
      <c r="I593" t="str">
        <f t="shared" si="109"/>
        <v>Social</v>
      </c>
      <c r="J593" s="19">
        <f t="shared" si="110"/>
        <v>92</v>
      </c>
      <c r="K593" s="19">
        <f t="shared" si="111"/>
        <v>-10</v>
      </c>
      <c r="L593" s="19">
        <f t="shared" si="112"/>
        <v>82</v>
      </c>
      <c r="M593" s="17">
        <f t="shared" si="113"/>
        <v>92</v>
      </c>
      <c r="N593" s="22">
        <f t="shared" si="114"/>
        <v>0.45290858725761773</v>
      </c>
      <c r="O593" s="22">
        <f t="shared" si="115"/>
        <v>0.3587257617728532</v>
      </c>
      <c r="P593" s="22">
        <f t="shared" si="116"/>
        <v>9.4182825484764532E-2</v>
      </c>
      <c r="Q593" t="str">
        <f t="shared" si="117"/>
        <v/>
      </c>
      <c r="S593">
        <f t="shared" si="118"/>
        <v>92.000940700000001</v>
      </c>
      <c r="T593" s="23">
        <f t="shared" si="119"/>
        <v>9.5123525484764535E-2</v>
      </c>
    </row>
    <row r="594" spans="1:20" ht="15" customHeight="1" x14ac:dyDescent="0.35">
      <c r="A594" t="str">
        <f>Benchmarking!A594</f>
        <v>Xenia Hotels &amp; Resorts Inc</v>
      </c>
      <c r="B594" t="str">
        <f>Benchmarking!B594</f>
        <v>xhr</v>
      </c>
      <c r="C594" t="str">
        <f>Benchmarking!C594</f>
        <v>Real Estate</v>
      </c>
      <c r="D594" s="17">
        <f>Benchmarking!D594</f>
        <v>260</v>
      </c>
      <c r="E594" s="17">
        <f>Benchmarking!E594</f>
        <v>263</v>
      </c>
      <c r="F594" s="17">
        <f>Benchmarking!F594</f>
        <v>236</v>
      </c>
      <c r="G594" s="17">
        <f>Benchmarking!G594</f>
        <v>759</v>
      </c>
      <c r="H594" t="str">
        <f t="shared" si="108"/>
        <v>Social</v>
      </c>
      <c r="I594" t="str">
        <f t="shared" si="109"/>
        <v>Governance</v>
      </c>
      <c r="J594" s="19">
        <f t="shared" si="110"/>
        <v>-3</v>
      </c>
      <c r="K594" s="19">
        <f t="shared" si="111"/>
        <v>27</v>
      </c>
      <c r="L594" s="19">
        <f t="shared" si="112"/>
        <v>24</v>
      </c>
      <c r="M594" s="17">
        <f t="shared" si="113"/>
        <v>27</v>
      </c>
      <c r="N594" s="22">
        <f t="shared" si="114"/>
        <v>0.24376731301939059</v>
      </c>
      <c r="O594" s="22">
        <f t="shared" si="115"/>
        <v>0.27008310249307477</v>
      </c>
      <c r="P594" s="22">
        <f t="shared" si="116"/>
        <v>-2.6315789473684181E-2</v>
      </c>
      <c r="Q594" t="str">
        <f t="shared" si="117"/>
        <v/>
      </c>
      <c r="S594">
        <f t="shared" si="118"/>
        <v>27.0009406</v>
      </c>
      <c r="T594" s="23">
        <f t="shared" si="119"/>
        <v>-2.5375189473684182E-2</v>
      </c>
    </row>
    <row r="595" spans="1:20" ht="15" customHeight="1" x14ac:dyDescent="0.35">
      <c r="A595" t="str">
        <f>Benchmarking!A595</f>
        <v>United States Steel Corp</v>
      </c>
      <c r="B595" t="str">
        <f>Benchmarking!B595</f>
        <v>x</v>
      </c>
      <c r="C595" t="str">
        <f>Benchmarking!C595</f>
        <v>Metals &amp; Mining</v>
      </c>
      <c r="D595" s="17">
        <f>Benchmarking!D595</f>
        <v>535</v>
      </c>
      <c r="E595" s="17">
        <f>Benchmarking!E595</f>
        <v>364</v>
      </c>
      <c r="F595" s="17">
        <f>Benchmarking!F595</f>
        <v>300</v>
      </c>
      <c r="G595" s="17">
        <f>Benchmarking!G595</f>
        <v>1199</v>
      </c>
      <c r="H595" t="str">
        <f t="shared" si="108"/>
        <v>Environmental</v>
      </c>
      <c r="I595" t="str">
        <f t="shared" si="109"/>
        <v>Governance</v>
      </c>
      <c r="J595" s="19">
        <f t="shared" si="110"/>
        <v>171</v>
      </c>
      <c r="K595" s="19">
        <f t="shared" si="111"/>
        <v>64</v>
      </c>
      <c r="L595" s="19">
        <f t="shared" si="112"/>
        <v>235</v>
      </c>
      <c r="M595" s="17">
        <f t="shared" si="113"/>
        <v>235</v>
      </c>
      <c r="N595" s="22">
        <f t="shared" si="114"/>
        <v>0.88504155124653738</v>
      </c>
      <c r="O595" s="22">
        <f t="shared" si="115"/>
        <v>0.39335180055401664</v>
      </c>
      <c r="P595" s="22">
        <f t="shared" si="116"/>
        <v>0.49168975069252074</v>
      </c>
      <c r="Q595" t="str">
        <f t="shared" si="117"/>
        <v>High ESG / weak pillar (analytical flag - not an ESG rating) - warrants investigation</v>
      </c>
      <c r="S595">
        <f t="shared" si="118"/>
        <v>235.00094050000001</v>
      </c>
      <c r="T595" s="23">
        <f t="shared" si="119"/>
        <v>0.49263025069252075</v>
      </c>
    </row>
    <row r="596" spans="1:20" ht="15" customHeight="1" x14ac:dyDescent="0.35">
      <c r="A596" t="str">
        <f>Benchmarking!A596</f>
        <v>Xpeng Inc</v>
      </c>
      <c r="B596" t="str">
        <f>Benchmarking!B596</f>
        <v>xpev</v>
      </c>
      <c r="C596" t="str">
        <f>Benchmarking!C596</f>
        <v>Automobiles</v>
      </c>
      <c r="D596" s="17">
        <f>Benchmarking!D596</f>
        <v>215</v>
      </c>
      <c r="E596" s="17">
        <f>Benchmarking!E596</f>
        <v>208</v>
      </c>
      <c r="F596" s="17">
        <f>Benchmarking!F596</f>
        <v>200</v>
      </c>
      <c r="G596" s="17">
        <f>Benchmarking!G596</f>
        <v>623</v>
      </c>
      <c r="H596" t="str">
        <f t="shared" si="108"/>
        <v>Environmental</v>
      </c>
      <c r="I596" t="str">
        <f t="shared" si="109"/>
        <v>Governance</v>
      </c>
      <c r="J596" s="19">
        <f t="shared" si="110"/>
        <v>7</v>
      </c>
      <c r="K596" s="19">
        <f t="shared" si="111"/>
        <v>8</v>
      </c>
      <c r="L596" s="19">
        <f t="shared" si="112"/>
        <v>15</v>
      </c>
      <c r="M596" s="17">
        <f t="shared" si="113"/>
        <v>15</v>
      </c>
      <c r="N596" s="22">
        <f t="shared" si="114"/>
        <v>4.8476454293628811E-2</v>
      </c>
      <c r="O596" s="22">
        <f t="shared" si="115"/>
        <v>2.7700831024930748E-3</v>
      </c>
      <c r="P596" s="22">
        <f t="shared" si="116"/>
        <v>4.5706371191135735E-2</v>
      </c>
      <c r="Q596" t="str">
        <f t="shared" si="117"/>
        <v/>
      </c>
      <c r="S596">
        <f t="shared" si="118"/>
        <v>15.000940399999999</v>
      </c>
      <c r="T596" s="23">
        <f t="shared" si="119"/>
        <v>4.6646771191135736E-2</v>
      </c>
    </row>
    <row r="597" spans="1:20" ht="15" customHeight="1" x14ac:dyDescent="0.35">
      <c r="A597" t="str">
        <f>Benchmarking!A597</f>
        <v>XPO Logistics Inc</v>
      </c>
      <c r="B597" t="str">
        <f>Benchmarking!B597</f>
        <v>xpo</v>
      </c>
      <c r="C597" t="str">
        <f>Benchmarking!C597</f>
        <v>Road &amp; Rail</v>
      </c>
      <c r="D597" s="17">
        <f>Benchmarking!D597</f>
        <v>560</v>
      </c>
      <c r="E597" s="17">
        <f>Benchmarking!E597</f>
        <v>318</v>
      </c>
      <c r="F597" s="17">
        <f>Benchmarking!F597</f>
        <v>300</v>
      </c>
      <c r="G597" s="17">
        <f>Benchmarking!G597</f>
        <v>1178</v>
      </c>
      <c r="H597" t="str">
        <f t="shared" si="108"/>
        <v>Environmental</v>
      </c>
      <c r="I597" t="str">
        <f t="shared" si="109"/>
        <v>Governance</v>
      </c>
      <c r="J597" s="19">
        <f t="shared" si="110"/>
        <v>242</v>
      </c>
      <c r="K597" s="19">
        <f t="shared" si="111"/>
        <v>18</v>
      </c>
      <c r="L597" s="19">
        <f t="shared" si="112"/>
        <v>260</v>
      </c>
      <c r="M597" s="17">
        <f t="shared" si="113"/>
        <v>260</v>
      </c>
      <c r="N597" s="22">
        <f t="shared" si="114"/>
        <v>0.84487534626038785</v>
      </c>
      <c r="O597" s="22">
        <f t="shared" si="115"/>
        <v>0.39335180055401664</v>
      </c>
      <c r="P597" s="22">
        <f t="shared" si="116"/>
        <v>0.45152354570637121</v>
      </c>
      <c r="Q597" t="str">
        <f t="shared" si="117"/>
        <v>High ESG / weak pillar (analytical flag - not an ESG rating) - warrants investigation</v>
      </c>
      <c r="S597">
        <f t="shared" si="118"/>
        <v>260.00094030000002</v>
      </c>
      <c r="T597" s="23">
        <f t="shared" si="119"/>
        <v>0.45246384570637121</v>
      </c>
    </row>
    <row r="598" spans="1:20" ht="15" customHeight="1" x14ac:dyDescent="0.35">
      <c r="A598" t="str">
        <f>Benchmarking!A598</f>
        <v>Xinyuan Real Estate Co Ltd</v>
      </c>
      <c r="B598" t="str">
        <f>Benchmarking!B598</f>
        <v>xin</v>
      </c>
      <c r="C598" t="str">
        <f>Benchmarking!C598</f>
        <v>Real Estate</v>
      </c>
      <c r="D598" s="17">
        <f>Benchmarking!D598</f>
        <v>205</v>
      </c>
      <c r="E598" s="17">
        <f>Benchmarking!E598</f>
        <v>242</v>
      </c>
      <c r="F598" s="17">
        <f>Benchmarking!F598</f>
        <v>300</v>
      </c>
      <c r="G598" s="17">
        <f>Benchmarking!G598</f>
        <v>747</v>
      </c>
      <c r="H598" t="str">
        <f t="shared" si="108"/>
        <v>Governance</v>
      </c>
      <c r="I598" t="str">
        <f t="shared" si="109"/>
        <v>Environmental</v>
      </c>
      <c r="J598" s="19">
        <f t="shared" si="110"/>
        <v>-37</v>
      </c>
      <c r="K598" s="19">
        <f t="shared" si="111"/>
        <v>-58</v>
      </c>
      <c r="L598" s="19">
        <f t="shared" si="112"/>
        <v>-95</v>
      </c>
      <c r="M598" s="17">
        <f t="shared" si="113"/>
        <v>95</v>
      </c>
      <c r="N598" s="22">
        <f t="shared" si="114"/>
        <v>0.22437673130193905</v>
      </c>
      <c r="O598" s="22">
        <f t="shared" si="115"/>
        <v>5.6786703601108032E-2</v>
      </c>
      <c r="P598" s="22">
        <f t="shared" si="116"/>
        <v>0.16759002770083103</v>
      </c>
      <c r="Q598" t="str">
        <f t="shared" si="117"/>
        <v/>
      </c>
      <c r="S598">
        <f t="shared" si="118"/>
        <v>95.000940200000002</v>
      </c>
      <c r="T598" s="23">
        <f t="shared" si="119"/>
        <v>0.16853022770083104</v>
      </c>
    </row>
    <row r="599" spans="1:20" ht="15" customHeight="1" x14ac:dyDescent="0.35">
      <c r="A599" t="str">
        <f>Benchmarking!A599</f>
        <v>XL Fleet Corp</v>
      </c>
      <c r="B599" t="str">
        <f>Benchmarking!B599</f>
        <v>xl</v>
      </c>
      <c r="C599" t="str">
        <f>Benchmarking!C599</f>
        <v>Auto Components</v>
      </c>
      <c r="D599" s="17">
        <f>Benchmarking!D599</f>
        <v>200</v>
      </c>
      <c r="E599" s="17">
        <f>Benchmarking!E599</f>
        <v>200</v>
      </c>
      <c r="F599" s="17">
        <f>Benchmarking!F599</f>
        <v>200</v>
      </c>
      <c r="G599" s="17">
        <f>Benchmarking!G599</f>
        <v>600</v>
      </c>
      <c r="H599" t="str">
        <f t="shared" si="108"/>
        <v>Environmental</v>
      </c>
      <c r="I599" t="str">
        <f t="shared" si="109"/>
        <v>Environmental</v>
      </c>
      <c r="J599" s="19">
        <f t="shared" si="110"/>
        <v>0</v>
      </c>
      <c r="K599" s="19">
        <f t="shared" si="111"/>
        <v>0</v>
      </c>
      <c r="L599" s="19">
        <f t="shared" si="112"/>
        <v>0</v>
      </c>
      <c r="M599" s="17">
        <f t="shared" si="113"/>
        <v>0</v>
      </c>
      <c r="N599" s="22">
        <f t="shared" si="114"/>
        <v>1.3850415512465374E-3</v>
      </c>
      <c r="O599" s="22">
        <f t="shared" si="115"/>
        <v>1.3850415512465374E-3</v>
      </c>
      <c r="P599" s="22">
        <f t="shared" si="116"/>
        <v>0</v>
      </c>
      <c r="Q599" t="str">
        <f t="shared" si="117"/>
        <v/>
      </c>
      <c r="S599">
        <f t="shared" si="118"/>
        <v>9.4010000000000003E-4</v>
      </c>
      <c r="T599" s="23">
        <f t="shared" si="119"/>
        <v>9.4010000000000003E-4</v>
      </c>
    </row>
    <row r="600" spans="1:20" ht="15" customHeight="1" x14ac:dyDescent="0.35">
      <c r="A600" t="str">
        <f>Benchmarking!A600</f>
        <v>X Financial</v>
      </c>
      <c r="B600" t="str">
        <f>Benchmarking!B600</f>
        <v>xyf</v>
      </c>
      <c r="C600" t="str">
        <f>Benchmarking!C600</f>
        <v>Financial Services</v>
      </c>
      <c r="D600" s="17">
        <f>Benchmarking!D600</f>
        <v>215</v>
      </c>
      <c r="E600" s="17">
        <f>Benchmarking!E600</f>
        <v>205</v>
      </c>
      <c r="F600" s="17">
        <f>Benchmarking!F600</f>
        <v>200</v>
      </c>
      <c r="G600" s="17">
        <f>Benchmarking!G600</f>
        <v>620</v>
      </c>
      <c r="H600" t="str">
        <f t="shared" si="108"/>
        <v>Environmental</v>
      </c>
      <c r="I600" t="str">
        <f t="shared" si="109"/>
        <v>Governance</v>
      </c>
      <c r="J600" s="19">
        <f t="shared" si="110"/>
        <v>10</v>
      </c>
      <c r="K600" s="19">
        <f t="shared" si="111"/>
        <v>5</v>
      </c>
      <c r="L600" s="19">
        <f t="shared" si="112"/>
        <v>15</v>
      </c>
      <c r="M600" s="17">
        <f t="shared" si="113"/>
        <v>15</v>
      </c>
      <c r="N600" s="22">
        <f t="shared" si="114"/>
        <v>4.0166204986149583E-2</v>
      </c>
      <c r="O600" s="22">
        <f t="shared" si="115"/>
        <v>2.7700831024930748E-3</v>
      </c>
      <c r="P600" s="22">
        <f t="shared" si="116"/>
        <v>3.7396121883656507E-2</v>
      </c>
      <c r="Q600" t="str">
        <f t="shared" si="117"/>
        <v/>
      </c>
      <c r="S600">
        <f t="shared" si="118"/>
        <v>15.00094</v>
      </c>
      <c r="T600" s="23">
        <f t="shared" si="119"/>
        <v>3.833612188365651E-2</v>
      </c>
    </row>
    <row r="601" spans="1:20" ht="15" customHeight="1" x14ac:dyDescent="0.35">
      <c r="A601" t="str">
        <f>Benchmarking!A601</f>
        <v>Alleghany Corp</v>
      </c>
      <c r="B601" t="str">
        <f>Benchmarking!B601</f>
        <v>y</v>
      </c>
      <c r="C601" t="str">
        <f>Benchmarking!C601</f>
        <v>Insurance</v>
      </c>
      <c r="D601" s="17">
        <f>Benchmarking!D601</f>
        <v>215</v>
      </c>
      <c r="E601" s="17">
        <f>Benchmarking!E601</f>
        <v>240</v>
      </c>
      <c r="F601" s="17">
        <f>Benchmarking!F601</f>
        <v>300</v>
      </c>
      <c r="G601" s="17">
        <f>Benchmarking!G601</f>
        <v>755</v>
      </c>
      <c r="H601" t="str">
        <f t="shared" si="108"/>
        <v>Governance</v>
      </c>
      <c r="I601" t="str">
        <f t="shared" si="109"/>
        <v>Environmental</v>
      </c>
      <c r="J601" s="19">
        <f t="shared" si="110"/>
        <v>-25</v>
      </c>
      <c r="K601" s="19">
        <f t="shared" si="111"/>
        <v>-60</v>
      </c>
      <c r="L601" s="19">
        <f t="shared" si="112"/>
        <v>-85</v>
      </c>
      <c r="M601" s="17">
        <f t="shared" si="113"/>
        <v>85</v>
      </c>
      <c r="N601" s="22">
        <f t="shared" si="114"/>
        <v>0.24099722991689751</v>
      </c>
      <c r="O601" s="22">
        <f t="shared" si="115"/>
        <v>0.11911357340720222</v>
      </c>
      <c r="P601" s="22">
        <f t="shared" si="116"/>
        <v>0.12188365650969529</v>
      </c>
      <c r="Q601" t="str">
        <f t="shared" si="117"/>
        <v/>
      </c>
      <c r="S601">
        <f t="shared" si="118"/>
        <v>85.000939900000006</v>
      </c>
      <c r="T601" s="23">
        <f t="shared" si="119"/>
        <v>0.12282355650969529</v>
      </c>
    </row>
    <row r="602" spans="1:20" ht="15" customHeight="1" x14ac:dyDescent="0.35">
      <c r="A602" t="str">
        <f>Benchmarking!A602</f>
        <v>Yalla Group Ltd</v>
      </c>
      <c r="B602" t="str">
        <f>Benchmarking!B602</f>
        <v>yala</v>
      </c>
      <c r="C602" t="str">
        <f>Benchmarking!C602</f>
        <v>Media</v>
      </c>
      <c r="D602" s="17">
        <f>Benchmarking!D602</f>
        <v>233</v>
      </c>
      <c r="E602" s="17">
        <f>Benchmarking!E602</f>
        <v>244</v>
      </c>
      <c r="F602" s="17">
        <f>Benchmarking!F602</f>
        <v>220</v>
      </c>
      <c r="G602" s="17">
        <f>Benchmarking!G602</f>
        <v>697</v>
      </c>
      <c r="H602" t="str">
        <f t="shared" si="108"/>
        <v>Social</v>
      </c>
      <c r="I602" t="str">
        <f t="shared" si="109"/>
        <v>Governance</v>
      </c>
      <c r="J602" s="19">
        <f t="shared" si="110"/>
        <v>-11</v>
      </c>
      <c r="K602" s="19">
        <f t="shared" si="111"/>
        <v>24</v>
      </c>
      <c r="L602" s="19">
        <f t="shared" si="112"/>
        <v>13</v>
      </c>
      <c r="M602" s="17">
        <f t="shared" si="113"/>
        <v>24</v>
      </c>
      <c r="N602" s="22">
        <f t="shared" si="114"/>
        <v>0.16066481994459833</v>
      </c>
      <c r="O602" s="22">
        <f t="shared" si="115"/>
        <v>0.19113573407202217</v>
      </c>
      <c r="P602" s="22">
        <f t="shared" si="116"/>
        <v>-3.0470914127423837E-2</v>
      </c>
      <c r="Q602" t="str">
        <f t="shared" si="117"/>
        <v/>
      </c>
      <c r="S602">
        <f t="shared" si="118"/>
        <v>24.000939800000001</v>
      </c>
      <c r="T602" s="23">
        <f t="shared" si="119"/>
        <v>-2.9531114127423836E-2</v>
      </c>
    </row>
    <row r="603" spans="1:20" ht="15" customHeight="1" x14ac:dyDescent="0.35">
      <c r="A603" t="str">
        <f>Benchmarking!A603</f>
        <v>Watts Water Technologies Inc</v>
      </c>
      <c r="B603" t="str">
        <f>Benchmarking!B603</f>
        <v>wts</v>
      </c>
      <c r="C603" t="str">
        <f>Benchmarking!C603</f>
        <v>Machinery</v>
      </c>
      <c r="D603" s="17">
        <f>Benchmarking!D603</f>
        <v>420</v>
      </c>
      <c r="E603" s="17">
        <f>Benchmarking!E603</f>
        <v>303</v>
      </c>
      <c r="F603" s="17">
        <f>Benchmarking!F603</f>
        <v>210</v>
      </c>
      <c r="G603" s="17">
        <f>Benchmarking!G603</f>
        <v>933</v>
      </c>
      <c r="H603" t="str">
        <f t="shared" si="108"/>
        <v>Environmental</v>
      </c>
      <c r="I603" t="str">
        <f t="shared" si="109"/>
        <v>Governance</v>
      </c>
      <c r="J603" s="19">
        <f t="shared" si="110"/>
        <v>117</v>
      </c>
      <c r="K603" s="19">
        <f t="shared" si="111"/>
        <v>93</v>
      </c>
      <c r="L603" s="19">
        <f t="shared" si="112"/>
        <v>210</v>
      </c>
      <c r="M603" s="17">
        <f t="shared" si="113"/>
        <v>210</v>
      </c>
      <c r="N603" s="22">
        <f t="shared" si="114"/>
        <v>0.40027700831024932</v>
      </c>
      <c r="O603" s="22">
        <f t="shared" si="115"/>
        <v>0.12049861495844875</v>
      </c>
      <c r="P603" s="22">
        <f t="shared" si="116"/>
        <v>0.27977839335180055</v>
      </c>
      <c r="Q603" t="str">
        <f t="shared" si="117"/>
        <v/>
      </c>
      <c r="S603">
        <f t="shared" si="118"/>
        <v>210.0009397</v>
      </c>
      <c r="T603" s="23">
        <f t="shared" si="119"/>
        <v>0.28071809335180054</v>
      </c>
    </row>
    <row r="604" spans="1:20" ht="15" customHeight="1" x14ac:dyDescent="0.35">
      <c r="A604" t="str">
        <f>Benchmarking!A604</f>
        <v>Sientra Inc</v>
      </c>
      <c r="B604" t="str">
        <f>Benchmarking!B604</f>
        <v>sien</v>
      </c>
      <c r="C604" t="str">
        <f>Benchmarking!C604</f>
        <v>Health Care</v>
      </c>
      <c r="D604" s="17">
        <f>Benchmarking!D604</f>
        <v>219</v>
      </c>
      <c r="E604" s="17">
        <f>Benchmarking!E604</f>
        <v>308</v>
      </c>
      <c r="F604" s="17">
        <f>Benchmarking!F604</f>
        <v>236</v>
      </c>
      <c r="G604" s="17">
        <f>Benchmarking!G604</f>
        <v>763</v>
      </c>
      <c r="H604" t="str">
        <f t="shared" si="108"/>
        <v>Social</v>
      </c>
      <c r="I604" t="str">
        <f t="shared" si="109"/>
        <v>Environmental</v>
      </c>
      <c r="J604" s="19">
        <f t="shared" si="110"/>
        <v>-89</v>
      </c>
      <c r="K604" s="19">
        <f t="shared" si="111"/>
        <v>72</v>
      </c>
      <c r="L604" s="19">
        <f t="shared" si="112"/>
        <v>-17</v>
      </c>
      <c r="M604" s="17">
        <f t="shared" si="113"/>
        <v>89</v>
      </c>
      <c r="N604" s="22">
        <f t="shared" si="114"/>
        <v>0.24930747922437674</v>
      </c>
      <c r="O604" s="22">
        <f t="shared" si="115"/>
        <v>0.14542936288088643</v>
      </c>
      <c r="P604" s="22">
        <f t="shared" si="116"/>
        <v>0.10387811634349031</v>
      </c>
      <c r="Q604" t="str">
        <f t="shared" si="117"/>
        <v/>
      </c>
      <c r="S604">
        <f t="shared" si="118"/>
        <v>89.000939599999995</v>
      </c>
      <c r="T604" s="23">
        <f t="shared" si="119"/>
        <v>0.10481771634349031</v>
      </c>
    </row>
    <row r="605" spans="1:20" ht="15" customHeight="1" x14ac:dyDescent="0.35">
      <c r="A605" t="str">
        <f>Benchmarking!A605</f>
        <v>Hain Celestial Group Inc</v>
      </c>
      <c r="B605" t="str">
        <f>Benchmarking!B605</f>
        <v>hain</v>
      </c>
      <c r="C605" t="str">
        <f>Benchmarking!C605</f>
        <v>Food Products</v>
      </c>
      <c r="D605" s="17">
        <f>Benchmarking!D605</f>
        <v>520</v>
      </c>
      <c r="E605" s="17">
        <f>Benchmarking!E605</f>
        <v>302</v>
      </c>
      <c r="F605" s="17">
        <f>Benchmarking!F605</f>
        <v>305</v>
      </c>
      <c r="G605" s="17">
        <f>Benchmarking!G605</f>
        <v>1127</v>
      </c>
      <c r="H605" t="str">
        <f t="shared" si="108"/>
        <v>Environmental</v>
      </c>
      <c r="I605" t="str">
        <f t="shared" si="109"/>
        <v>Social</v>
      </c>
      <c r="J605" s="19">
        <f t="shared" si="110"/>
        <v>218</v>
      </c>
      <c r="K605" s="19">
        <f t="shared" si="111"/>
        <v>-3</v>
      </c>
      <c r="L605" s="19">
        <f t="shared" si="112"/>
        <v>215</v>
      </c>
      <c r="M605" s="17">
        <f t="shared" si="113"/>
        <v>218</v>
      </c>
      <c r="N605" s="22">
        <f t="shared" si="114"/>
        <v>0.68144044321329644</v>
      </c>
      <c r="O605" s="22">
        <f t="shared" si="115"/>
        <v>0.49722991689750695</v>
      </c>
      <c r="P605" s="22">
        <f t="shared" si="116"/>
        <v>0.18421052631578949</v>
      </c>
      <c r="Q605" t="str">
        <f t="shared" si="117"/>
        <v/>
      </c>
      <c r="S605">
        <f t="shared" si="118"/>
        <v>218.00093949999999</v>
      </c>
      <c r="T605" s="23">
        <f t="shared" si="119"/>
        <v>0.1851500263157895</v>
      </c>
    </row>
    <row r="606" spans="1:20" ht="15" customHeight="1" x14ac:dyDescent="0.35">
      <c r="A606" t="str">
        <f>Benchmarking!A606</f>
        <v>MMTEC Inc</v>
      </c>
      <c r="B606" t="str">
        <f>Benchmarking!B606</f>
        <v>mtc</v>
      </c>
      <c r="C606" t="str">
        <f>Benchmarking!C606</f>
        <v>Technology</v>
      </c>
      <c r="D606" s="17">
        <f>Benchmarking!D606</f>
        <v>221</v>
      </c>
      <c r="E606" s="17">
        <f>Benchmarking!E606</f>
        <v>225</v>
      </c>
      <c r="F606" s="17">
        <f>Benchmarking!F606</f>
        <v>305</v>
      </c>
      <c r="G606" s="17">
        <f>Benchmarking!G606</f>
        <v>751</v>
      </c>
      <c r="H606" t="str">
        <f t="shared" si="108"/>
        <v>Governance</v>
      </c>
      <c r="I606" t="str">
        <f t="shared" si="109"/>
        <v>Environmental</v>
      </c>
      <c r="J606" s="19">
        <f t="shared" si="110"/>
        <v>-4</v>
      </c>
      <c r="K606" s="19">
        <f t="shared" si="111"/>
        <v>-80</v>
      </c>
      <c r="L606" s="19">
        <f t="shared" si="112"/>
        <v>-84</v>
      </c>
      <c r="M606" s="17">
        <f t="shared" si="113"/>
        <v>84</v>
      </c>
      <c r="N606" s="22">
        <f t="shared" si="114"/>
        <v>0.23407202216066483</v>
      </c>
      <c r="O606" s="22">
        <f t="shared" si="115"/>
        <v>0.16204986149584488</v>
      </c>
      <c r="P606" s="22">
        <f t="shared" si="116"/>
        <v>7.2022160664819951E-2</v>
      </c>
      <c r="Q606" t="str">
        <f t="shared" si="117"/>
        <v/>
      </c>
      <c r="S606">
        <f t="shared" si="118"/>
        <v>84.000939399999993</v>
      </c>
      <c r="T606" s="23">
        <f t="shared" si="119"/>
        <v>7.2961560664819958E-2</v>
      </c>
    </row>
    <row r="607" spans="1:20" ht="15" customHeight="1" x14ac:dyDescent="0.35">
      <c r="A607" t="str">
        <f>Benchmarking!A607</f>
        <v>Metacrine Inc</v>
      </c>
      <c r="B607" t="str">
        <f>Benchmarking!B607</f>
        <v>mtcr</v>
      </c>
      <c r="C607" t="str">
        <f>Benchmarking!C607</f>
        <v>Biotechnology</v>
      </c>
      <c r="D607" s="17">
        <f>Benchmarking!D607</f>
        <v>210</v>
      </c>
      <c r="E607" s="17">
        <f>Benchmarking!E607</f>
        <v>207</v>
      </c>
      <c r="F607" s="17">
        <f>Benchmarking!F607</f>
        <v>330</v>
      </c>
      <c r="G607" s="17">
        <f>Benchmarking!G607</f>
        <v>747</v>
      </c>
      <c r="H607" t="str">
        <f t="shared" si="108"/>
        <v>Governance</v>
      </c>
      <c r="I607" t="str">
        <f t="shared" si="109"/>
        <v>Social</v>
      </c>
      <c r="J607" s="19">
        <f t="shared" si="110"/>
        <v>3</v>
      </c>
      <c r="K607" s="19">
        <f t="shared" si="111"/>
        <v>-123</v>
      </c>
      <c r="L607" s="19">
        <f t="shared" si="112"/>
        <v>-120</v>
      </c>
      <c r="M607" s="17">
        <f t="shared" si="113"/>
        <v>123</v>
      </c>
      <c r="N607" s="22">
        <f t="shared" si="114"/>
        <v>0.22437673130193905</v>
      </c>
      <c r="O607" s="22">
        <f t="shared" si="115"/>
        <v>9.0027700831024932E-2</v>
      </c>
      <c r="P607" s="22">
        <f t="shared" si="116"/>
        <v>0.13434903047091412</v>
      </c>
      <c r="Q607" t="str">
        <f t="shared" si="117"/>
        <v/>
      </c>
      <c r="S607">
        <f t="shared" si="118"/>
        <v>123.0009393</v>
      </c>
      <c r="T607" s="23">
        <f t="shared" si="119"/>
        <v>0.13528833047091413</v>
      </c>
    </row>
    <row r="608" spans="1:20" ht="15" customHeight="1" x14ac:dyDescent="0.35">
      <c r="A608" t="str">
        <f>Benchmarking!A608</f>
        <v>Molecular Templates Inc</v>
      </c>
      <c r="B608" t="str">
        <f>Benchmarking!B608</f>
        <v>mtem</v>
      </c>
      <c r="C608" t="str">
        <f>Benchmarking!C608</f>
        <v>Biotechnology</v>
      </c>
      <c r="D608" s="17">
        <f>Benchmarking!D608</f>
        <v>360</v>
      </c>
      <c r="E608" s="17">
        <f>Benchmarking!E608</f>
        <v>325</v>
      </c>
      <c r="F608" s="17">
        <f>Benchmarking!F608</f>
        <v>320</v>
      </c>
      <c r="G608" s="17">
        <f>Benchmarking!G608</f>
        <v>1005</v>
      </c>
      <c r="H608" t="str">
        <f t="shared" si="108"/>
        <v>Environmental</v>
      </c>
      <c r="I608" t="str">
        <f t="shared" si="109"/>
        <v>Governance</v>
      </c>
      <c r="J608" s="19">
        <f t="shared" si="110"/>
        <v>35</v>
      </c>
      <c r="K608" s="19">
        <f t="shared" si="111"/>
        <v>5</v>
      </c>
      <c r="L608" s="19">
        <f t="shared" si="112"/>
        <v>40</v>
      </c>
      <c r="M608" s="17">
        <f t="shared" si="113"/>
        <v>40</v>
      </c>
      <c r="N608" s="22">
        <f t="shared" si="114"/>
        <v>0.47229916897506924</v>
      </c>
      <c r="O608" s="22">
        <f t="shared" si="115"/>
        <v>0.41412742382271467</v>
      </c>
      <c r="P608" s="22">
        <f t="shared" si="116"/>
        <v>5.817174515235457E-2</v>
      </c>
      <c r="Q608" t="str">
        <f t="shared" si="117"/>
        <v/>
      </c>
      <c r="S608">
        <f t="shared" si="118"/>
        <v>40.000939199999998</v>
      </c>
      <c r="T608" s="23">
        <f t="shared" si="119"/>
        <v>5.9110945152354571E-2</v>
      </c>
    </row>
    <row r="609" spans="1:20" ht="15" customHeight="1" x14ac:dyDescent="0.35">
      <c r="A609" t="str">
        <f>Benchmarking!A609</f>
        <v>Materialise NV</v>
      </c>
      <c r="B609" t="str">
        <f>Benchmarking!B609</f>
        <v>mtls</v>
      </c>
      <c r="C609" t="str">
        <f>Benchmarking!C609</f>
        <v>Technology</v>
      </c>
      <c r="D609" s="17">
        <f>Benchmarking!D609</f>
        <v>505</v>
      </c>
      <c r="E609" s="17">
        <f>Benchmarking!E609</f>
        <v>301</v>
      </c>
      <c r="F609" s="17">
        <f>Benchmarking!F609</f>
        <v>300</v>
      </c>
      <c r="G609" s="17">
        <f>Benchmarking!G609</f>
        <v>1106</v>
      </c>
      <c r="H609" t="str">
        <f t="shared" si="108"/>
        <v>Environmental</v>
      </c>
      <c r="I609" t="str">
        <f t="shared" si="109"/>
        <v>Governance</v>
      </c>
      <c r="J609" s="19">
        <f t="shared" si="110"/>
        <v>204</v>
      </c>
      <c r="K609" s="19">
        <f t="shared" si="111"/>
        <v>1</v>
      </c>
      <c r="L609" s="19">
        <f t="shared" si="112"/>
        <v>205</v>
      </c>
      <c r="M609" s="17">
        <f t="shared" si="113"/>
        <v>205</v>
      </c>
      <c r="N609" s="22">
        <f t="shared" si="114"/>
        <v>0.6246537396121884</v>
      </c>
      <c r="O609" s="22">
        <f t="shared" si="115"/>
        <v>0.39335180055401664</v>
      </c>
      <c r="P609" s="22">
        <f t="shared" si="116"/>
        <v>0.23130193905817176</v>
      </c>
      <c r="Q609" t="str">
        <f t="shared" si="117"/>
        <v/>
      </c>
      <c r="S609">
        <f t="shared" si="118"/>
        <v>205.00093910000001</v>
      </c>
      <c r="T609" s="23">
        <f t="shared" si="119"/>
        <v>0.23224103905817176</v>
      </c>
    </row>
    <row r="610" spans="1:20" ht="15" customHeight="1" x14ac:dyDescent="0.35">
      <c r="A610" t="str">
        <f>Benchmarking!A610</f>
        <v>Mannatech Inc</v>
      </c>
      <c r="B610" t="str">
        <f>Benchmarking!B610</f>
        <v>mtex</v>
      </c>
      <c r="C610" t="str">
        <f>Benchmarking!C610</f>
        <v>Consumer products</v>
      </c>
      <c r="D610" s="17">
        <f>Benchmarking!D610</f>
        <v>200</v>
      </c>
      <c r="E610" s="17">
        <f>Benchmarking!E610</f>
        <v>260</v>
      </c>
      <c r="F610" s="17">
        <f>Benchmarking!F610</f>
        <v>230</v>
      </c>
      <c r="G610" s="17">
        <f>Benchmarking!G610</f>
        <v>690</v>
      </c>
      <c r="H610" t="str">
        <f t="shared" si="108"/>
        <v>Social</v>
      </c>
      <c r="I610" t="str">
        <f t="shared" si="109"/>
        <v>Environmental</v>
      </c>
      <c r="J610" s="19">
        <f t="shared" si="110"/>
        <v>-60</v>
      </c>
      <c r="K610" s="19">
        <f t="shared" si="111"/>
        <v>30</v>
      </c>
      <c r="L610" s="19">
        <f t="shared" si="112"/>
        <v>-30</v>
      </c>
      <c r="M610" s="17">
        <f t="shared" si="113"/>
        <v>60</v>
      </c>
      <c r="N610" s="22">
        <f t="shared" si="114"/>
        <v>0.14958448753462603</v>
      </c>
      <c r="O610" s="22">
        <f t="shared" si="115"/>
        <v>1.3850415512465374E-3</v>
      </c>
      <c r="P610" s="22">
        <f t="shared" si="116"/>
        <v>0.1481994459833795</v>
      </c>
      <c r="Q610" t="str">
        <f t="shared" si="117"/>
        <v/>
      </c>
      <c r="S610">
        <f t="shared" si="118"/>
        <v>60.000939000000002</v>
      </c>
      <c r="T610" s="23">
        <f t="shared" si="119"/>
        <v>0.1491384459833795</v>
      </c>
    </row>
    <row r="611" spans="1:20" ht="15" customHeight="1" x14ac:dyDescent="0.35">
      <c r="A611" t="str">
        <f>Benchmarking!A611</f>
        <v>Matrix Service Co</v>
      </c>
      <c r="B611" t="str">
        <f>Benchmarking!B611</f>
        <v>mtrx</v>
      </c>
      <c r="C611" t="str">
        <f>Benchmarking!C611</f>
        <v>Construction</v>
      </c>
      <c r="D611" s="17">
        <f>Benchmarking!D611</f>
        <v>589</v>
      </c>
      <c r="E611" s="17">
        <f>Benchmarking!E611</f>
        <v>390</v>
      </c>
      <c r="F611" s="17">
        <f>Benchmarking!F611</f>
        <v>277</v>
      </c>
      <c r="G611" s="17">
        <f>Benchmarking!G611</f>
        <v>1256</v>
      </c>
      <c r="H611" t="str">
        <f t="shared" si="108"/>
        <v>Environmental</v>
      </c>
      <c r="I611" t="str">
        <f t="shared" si="109"/>
        <v>Governance</v>
      </c>
      <c r="J611" s="19">
        <f t="shared" si="110"/>
        <v>199</v>
      </c>
      <c r="K611" s="19">
        <f t="shared" si="111"/>
        <v>113</v>
      </c>
      <c r="L611" s="19">
        <f t="shared" si="112"/>
        <v>312</v>
      </c>
      <c r="M611" s="17">
        <f t="shared" si="113"/>
        <v>312</v>
      </c>
      <c r="N611" s="22">
        <f t="shared" si="114"/>
        <v>0.94044321329639891</v>
      </c>
      <c r="O611" s="22">
        <f t="shared" si="115"/>
        <v>0.36011080332409973</v>
      </c>
      <c r="P611" s="22">
        <f t="shared" si="116"/>
        <v>0.58033240997229918</v>
      </c>
      <c r="Q611" t="str">
        <f t="shared" si="117"/>
        <v>High ESG / weak pillar (analytical flag - not an ESG rating) - warrants investigation</v>
      </c>
      <c r="S611">
        <f t="shared" si="118"/>
        <v>312.00093889999999</v>
      </c>
      <c r="T611" s="23">
        <f t="shared" si="119"/>
        <v>0.58127130997229914</v>
      </c>
    </row>
    <row r="612" spans="1:20" ht="15" customHeight="1" x14ac:dyDescent="0.35">
      <c r="A612" t="str">
        <f>Benchmarking!A612</f>
        <v>Halozyme Therapeutics Inc</v>
      </c>
      <c r="B612" t="str">
        <f>Benchmarking!B612</f>
        <v>halo</v>
      </c>
      <c r="C612" t="str">
        <f>Benchmarking!C612</f>
        <v>Biotechnology</v>
      </c>
      <c r="D612" s="17">
        <f>Benchmarking!D612</f>
        <v>510</v>
      </c>
      <c r="E612" s="17">
        <f>Benchmarking!E612</f>
        <v>302</v>
      </c>
      <c r="F612" s="17">
        <f>Benchmarking!F612</f>
        <v>315</v>
      </c>
      <c r="G612" s="17">
        <f>Benchmarking!G612</f>
        <v>1127</v>
      </c>
      <c r="H612" t="str">
        <f t="shared" si="108"/>
        <v>Environmental</v>
      </c>
      <c r="I612" t="str">
        <f t="shared" si="109"/>
        <v>Social</v>
      </c>
      <c r="J612" s="19">
        <f t="shared" si="110"/>
        <v>208</v>
      </c>
      <c r="K612" s="19">
        <f t="shared" si="111"/>
        <v>-13</v>
      </c>
      <c r="L612" s="19">
        <f t="shared" si="112"/>
        <v>195</v>
      </c>
      <c r="M612" s="17">
        <f t="shared" si="113"/>
        <v>208</v>
      </c>
      <c r="N612" s="22">
        <f t="shared" si="114"/>
        <v>0.68144044321329644</v>
      </c>
      <c r="O612" s="22">
        <f t="shared" si="115"/>
        <v>0.49722991689750695</v>
      </c>
      <c r="P612" s="22">
        <f t="shared" si="116"/>
        <v>0.18421052631578949</v>
      </c>
      <c r="Q612" t="str">
        <f t="shared" si="117"/>
        <v/>
      </c>
      <c r="S612">
        <f t="shared" si="118"/>
        <v>208.0009388</v>
      </c>
      <c r="T612" s="23">
        <f t="shared" si="119"/>
        <v>0.18514932631578948</v>
      </c>
    </row>
    <row r="613" spans="1:20" ht="15" customHeight="1" x14ac:dyDescent="0.35">
      <c r="A613" t="str">
        <f>Benchmarking!A613</f>
        <v>Hallmark Financial Services Inc</v>
      </c>
      <c r="B613" t="str">
        <f>Benchmarking!B613</f>
        <v>hall</v>
      </c>
      <c r="C613" t="str">
        <f>Benchmarking!C613</f>
        <v>Insurance</v>
      </c>
      <c r="D613" s="17">
        <f>Benchmarking!D613</f>
        <v>215</v>
      </c>
      <c r="E613" s="17">
        <f>Benchmarking!E613</f>
        <v>233</v>
      </c>
      <c r="F613" s="17">
        <f>Benchmarking!F613</f>
        <v>300</v>
      </c>
      <c r="G613" s="17">
        <f>Benchmarking!G613</f>
        <v>748</v>
      </c>
      <c r="H613" t="str">
        <f t="shared" si="108"/>
        <v>Governance</v>
      </c>
      <c r="I613" t="str">
        <f t="shared" si="109"/>
        <v>Environmental</v>
      </c>
      <c r="J613" s="19">
        <f t="shared" si="110"/>
        <v>-18</v>
      </c>
      <c r="K613" s="19">
        <f t="shared" si="111"/>
        <v>-67</v>
      </c>
      <c r="L613" s="19">
        <f t="shared" si="112"/>
        <v>-85</v>
      </c>
      <c r="M613" s="17">
        <f t="shared" si="113"/>
        <v>85</v>
      </c>
      <c r="N613" s="22">
        <f t="shared" si="114"/>
        <v>0.22991689750692521</v>
      </c>
      <c r="O613" s="22">
        <f t="shared" si="115"/>
        <v>0.11911357340720222</v>
      </c>
      <c r="P613" s="22">
        <f t="shared" si="116"/>
        <v>0.11080332409972299</v>
      </c>
      <c r="Q613" t="str">
        <f t="shared" si="117"/>
        <v/>
      </c>
      <c r="S613">
        <f t="shared" si="118"/>
        <v>85.000938700000006</v>
      </c>
      <c r="T613" s="23">
        <f t="shared" si="119"/>
        <v>0.11174202409972299</v>
      </c>
    </row>
    <row r="614" spans="1:20" ht="15" customHeight="1" x14ac:dyDescent="0.35">
      <c r="A614" t="str">
        <f>Benchmarking!A614</f>
        <v>MVB Financial Corp</v>
      </c>
      <c r="B614" t="str">
        <f>Benchmarking!B614</f>
        <v>mvbf</v>
      </c>
      <c r="C614" t="str">
        <f>Benchmarking!C614</f>
        <v>Banking</v>
      </c>
      <c r="D614" s="17">
        <f>Benchmarking!D614</f>
        <v>210</v>
      </c>
      <c r="E614" s="17">
        <f>Benchmarking!E614</f>
        <v>215</v>
      </c>
      <c r="F614" s="17">
        <f>Benchmarking!F614</f>
        <v>215</v>
      </c>
      <c r="G614" s="17">
        <f>Benchmarking!G614</f>
        <v>640</v>
      </c>
      <c r="H614" t="str">
        <f t="shared" si="108"/>
        <v>Social</v>
      </c>
      <c r="I614" t="str">
        <f t="shared" si="109"/>
        <v>Environmental</v>
      </c>
      <c r="J614" s="19">
        <f t="shared" si="110"/>
        <v>-5</v>
      </c>
      <c r="K614" s="19">
        <f t="shared" si="111"/>
        <v>0</v>
      </c>
      <c r="L614" s="19">
        <f t="shared" si="112"/>
        <v>-5</v>
      </c>
      <c r="M614" s="17">
        <f t="shared" si="113"/>
        <v>5</v>
      </c>
      <c r="N614" s="22">
        <f t="shared" si="114"/>
        <v>7.7562326869806089E-2</v>
      </c>
      <c r="O614" s="22">
        <f t="shared" si="115"/>
        <v>9.141274238227147E-2</v>
      </c>
      <c r="P614" s="22">
        <f t="shared" si="116"/>
        <v>-1.385041551246538E-2</v>
      </c>
      <c r="Q614" t="str">
        <f t="shared" si="117"/>
        <v/>
      </c>
      <c r="S614">
        <f t="shared" si="118"/>
        <v>5.0009385999999996</v>
      </c>
      <c r="T614" s="23">
        <f t="shared" si="119"/>
        <v>-1.2911815512465381E-2</v>
      </c>
    </row>
    <row r="615" spans="1:20" ht="15" customHeight="1" x14ac:dyDescent="0.35">
      <c r="A615" t="str">
        <f>Benchmarking!A615</f>
        <v>Microvast Holdings Inc</v>
      </c>
      <c r="B615" t="str">
        <f>Benchmarking!B615</f>
        <v>mvst</v>
      </c>
      <c r="C615" t="str">
        <f>Benchmarking!C615</f>
        <v>Machinery</v>
      </c>
      <c r="D615" s="17">
        <f>Benchmarking!D615</f>
        <v>225</v>
      </c>
      <c r="E615" s="17">
        <f>Benchmarking!E615</f>
        <v>282</v>
      </c>
      <c r="F615" s="17">
        <f>Benchmarking!F615</f>
        <v>210</v>
      </c>
      <c r="G615" s="17">
        <f>Benchmarking!G615</f>
        <v>717</v>
      </c>
      <c r="H615" t="str">
        <f t="shared" si="108"/>
        <v>Social</v>
      </c>
      <c r="I615" t="str">
        <f t="shared" si="109"/>
        <v>Governance</v>
      </c>
      <c r="J615" s="19">
        <f t="shared" si="110"/>
        <v>-57</v>
      </c>
      <c r="K615" s="19">
        <f t="shared" si="111"/>
        <v>72</v>
      </c>
      <c r="L615" s="19">
        <f t="shared" si="112"/>
        <v>15</v>
      </c>
      <c r="M615" s="17">
        <f t="shared" si="113"/>
        <v>72</v>
      </c>
      <c r="N615" s="22">
        <f t="shared" si="114"/>
        <v>0.18421052631578946</v>
      </c>
      <c r="O615" s="22">
        <f t="shared" si="115"/>
        <v>0.12049861495844875</v>
      </c>
      <c r="P615" s="22">
        <f t="shared" si="116"/>
        <v>6.3711911357340709E-2</v>
      </c>
      <c r="Q615" t="str">
        <f t="shared" si="117"/>
        <v/>
      </c>
      <c r="S615">
        <f t="shared" si="118"/>
        <v>72.000938500000004</v>
      </c>
      <c r="T615" s="23">
        <f t="shared" si="119"/>
        <v>6.4650411357340704E-2</v>
      </c>
    </row>
    <row r="616" spans="1:20" ht="15" customHeight="1" x14ac:dyDescent="0.35">
      <c r="A616" t="str">
        <f>Benchmarking!A616</f>
        <v>MicroVision Inc</v>
      </c>
      <c r="B616" t="str">
        <f>Benchmarking!B616</f>
        <v>mvis</v>
      </c>
      <c r="C616" t="str">
        <f>Benchmarking!C616</f>
        <v>Electrical Equipment</v>
      </c>
      <c r="D616" s="17">
        <f>Benchmarking!D616</f>
        <v>451</v>
      </c>
      <c r="E616" s="17">
        <f>Benchmarking!E616</f>
        <v>300</v>
      </c>
      <c r="F616" s="17">
        <f>Benchmarking!F616</f>
        <v>330</v>
      </c>
      <c r="G616" s="17">
        <f>Benchmarking!G616</f>
        <v>1081</v>
      </c>
      <c r="H616" t="str">
        <f t="shared" si="108"/>
        <v>Environmental</v>
      </c>
      <c r="I616" t="str">
        <f t="shared" si="109"/>
        <v>Social</v>
      </c>
      <c r="J616" s="19">
        <f t="shared" si="110"/>
        <v>151</v>
      </c>
      <c r="K616" s="19">
        <f t="shared" si="111"/>
        <v>-30</v>
      </c>
      <c r="L616" s="19">
        <f t="shared" si="112"/>
        <v>121</v>
      </c>
      <c r="M616" s="17">
        <f t="shared" si="113"/>
        <v>151</v>
      </c>
      <c r="N616" s="22">
        <f t="shared" si="114"/>
        <v>0.54155124653739617</v>
      </c>
      <c r="O616" s="22">
        <f t="shared" si="115"/>
        <v>0.36565096952908588</v>
      </c>
      <c r="P616" s="22">
        <f t="shared" si="116"/>
        <v>0.17590027700831029</v>
      </c>
      <c r="Q616" t="str">
        <f t="shared" si="117"/>
        <v/>
      </c>
      <c r="S616">
        <f t="shared" si="118"/>
        <v>151.0009384</v>
      </c>
      <c r="T616" s="23">
        <f t="shared" si="119"/>
        <v>0.1768386770083103</v>
      </c>
    </row>
    <row r="617" spans="1:20" ht="15" customHeight="1" x14ac:dyDescent="0.35">
      <c r="A617" t="str">
        <f>Benchmarking!A617</f>
        <v>MaxCyte Inc</v>
      </c>
      <c r="B617" t="str">
        <f>Benchmarking!B617</f>
        <v>mxct</v>
      </c>
      <c r="C617" t="str">
        <f>Benchmarking!C617</f>
        <v>Life Sciences Tools &amp; Services</v>
      </c>
      <c r="D617" s="17">
        <f>Benchmarking!D617</f>
        <v>220</v>
      </c>
      <c r="E617" s="17">
        <f>Benchmarking!E617</f>
        <v>300</v>
      </c>
      <c r="F617" s="17">
        <f>Benchmarking!F617</f>
        <v>248</v>
      </c>
      <c r="G617" s="17">
        <f>Benchmarking!G617</f>
        <v>768</v>
      </c>
      <c r="H617" t="str">
        <f t="shared" si="108"/>
        <v>Social</v>
      </c>
      <c r="I617" t="str">
        <f t="shared" si="109"/>
        <v>Environmental</v>
      </c>
      <c r="J617" s="19">
        <f t="shared" si="110"/>
        <v>-80</v>
      </c>
      <c r="K617" s="19">
        <f t="shared" si="111"/>
        <v>52</v>
      </c>
      <c r="L617" s="19">
        <f t="shared" si="112"/>
        <v>-28</v>
      </c>
      <c r="M617" s="17">
        <f t="shared" si="113"/>
        <v>80</v>
      </c>
      <c r="N617" s="22">
        <f t="shared" si="114"/>
        <v>0.25623268698060941</v>
      </c>
      <c r="O617" s="22">
        <f t="shared" si="115"/>
        <v>0.14681440443213298</v>
      </c>
      <c r="P617" s="22">
        <f t="shared" si="116"/>
        <v>0.10941828254847644</v>
      </c>
      <c r="Q617" t="str">
        <f t="shared" si="117"/>
        <v/>
      </c>
      <c r="S617">
        <f t="shared" si="118"/>
        <v>80.000938300000001</v>
      </c>
      <c r="T617" s="23">
        <f t="shared" si="119"/>
        <v>0.11035658254847644</v>
      </c>
    </row>
    <row r="618" spans="1:20" ht="15" customHeight="1" x14ac:dyDescent="0.35">
      <c r="A618" t="str">
        <f>Benchmarking!A618</f>
        <v>Myriad Genetics Inc</v>
      </c>
      <c r="B618" t="str">
        <f>Benchmarking!B618</f>
        <v>mygn</v>
      </c>
      <c r="C618" t="str">
        <f>Benchmarking!C618</f>
        <v>Biotechnology</v>
      </c>
      <c r="D618" s="17">
        <f>Benchmarking!D618</f>
        <v>353</v>
      </c>
      <c r="E618" s="17">
        <f>Benchmarking!E618</f>
        <v>321</v>
      </c>
      <c r="F618" s="17">
        <f>Benchmarking!F618</f>
        <v>294</v>
      </c>
      <c r="G618" s="17">
        <f>Benchmarking!G618</f>
        <v>968</v>
      </c>
      <c r="H618" t="str">
        <f t="shared" si="108"/>
        <v>Environmental</v>
      </c>
      <c r="I618" t="str">
        <f t="shared" si="109"/>
        <v>Governance</v>
      </c>
      <c r="J618" s="19">
        <f t="shared" si="110"/>
        <v>32</v>
      </c>
      <c r="K618" s="19">
        <f t="shared" si="111"/>
        <v>27</v>
      </c>
      <c r="L618" s="19">
        <f t="shared" si="112"/>
        <v>59</v>
      </c>
      <c r="M618" s="17">
        <f t="shared" si="113"/>
        <v>59</v>
      </c>
      <c r="N618" s="22">
        <f t="shared" si="114"/>
        <v>0.43490304709141275</v>
      </c>
      <c r="O618" s="22">
        <f t="shared" si="115"/>
        <v>0.38088642659279781</v>
      </c>
      <c r="P618" s="22">
        <f t="shared" si="116"/>
        <v>5.4016620498614942E-2</v>
      </c>
      <c r="Q618" t="str">
        <f t="shared" si="117"/>
        <v/>
      </c>
      <c r="S618">
        <f t="shared" si="118"/>
        <v>59.0009382</v>
      </c>
      <c r="T618" s="23">
        <f t="shared" si="119"/>
        <v>5.4954820498614942E-2</v>
      </c>
    </row>
    <row r="619" spans="1:20" ht="15" customHeight="1" x14ac:dyDescent="0.35">
      <c r="A619" t="str">
        <f>Benchmarking!A619</f>
        <v>First Western Financial Inc</v>
      </c>
      <c r="B619" t="str">
        <f>Benchmarking!B619</f>
        <v>myfw</v>
      </c>
      <c r="C619" t="str">
        <f>Benchmarking!C619</f>
        <v>Banking</v>
      </c>
      <c r="D619" s="17">
        <f>Benchmarking!D619</f>
        <v>351</v>
      </c>
      <c r="E619" s="17">
        <f>Benchmarking!E619</f>
        <v>300</v>
      </c>
      <c r="F619" s="17">
        <f>Benchmarking!F619</f>
        <v>235</v>
      </c>
      <c r="G619" s="17">
        <f>Benchmarking!G619</f>
        <v>886</v>
      </c>
      <c r="H619" t="str">
        <f t="shared" si="108"/>
        <v>Environmental</v>
      </c>
      <c r="I619" t="str">
        <f t="shared" si="109"/>
        <v>Governance</v>
      </c>
      <c r="J619" s="19">
        <f t="shared" si="110"/>
        <v>51</v>
      </c>
      <c r="K619" s="19">
        <f t="shared" si="111"/>
        <v>65</v>
      </c>
      <c r="L619" s="19">
        <f t="shared" si="112"/>
        <v>116</v>
      </c>
      <c r="M619" s="17">
        <f t="shared" si="113"/>
        <v>116</v>
      </c>
      <c r="N619" s="22">
        <f t="shared" si="114"/>
        <v>0.36011080332409973</v>
      </c>
      <c r="O619" s="22">
        <f t="shared" si="115"/>
        <v>0.24653739612188366</v>
      </c>
      <c r="P619" s="22">
        <f t="shared" si="116"/>
        <v>0.11357340720221606</v>
      </c>
      <c r="Q619" t="str">
        <f t="shared" si="117"/>
        <v/>
      </c>
      <c r="S619">
        <f t="shared" si="118"/>
        <v>116.0009381</v>
      </c>
      <c r="T619" s="23">
        <f t="shared" si="119"/>
        <v>0.11451150720221606</v>
      </c>
    </row>
    <row r="620" spans="1:20" ht="15" customHeight="1" x14ac:dyDescent="0.35">
      <c r="A620" t="str">
        <f>Benchmarking!A620</f>
        <v>Maxlinear Inc</v>
      </c>
      <c r="B620" t="str">
        <f>Benchmarking!B620</f>
        <v>mxl</v>
      </c>
      <c r="C620" t="str">
        <f>Benchmarking!C620</f>
        <v>Semiconductors</v>
      </c>
      <c r="D620" s="17">
        <f>Benchmarking!D620</f>
        <v>535</v>
      </c>
      <c r="E620" s="17">
        <f>Benchmarking!E620</f>
        <v>325</v>
      </c>
      <c r="F620" s="17">
        <f>Benchmarking!F620</f>
        <v>335</v>
      </c>
      <c r="G620" s="17">
        <f>Benchmarking!G620</f>
        <v>1195</v>
      </c>
      <c r="H620" t="str">
        <f t="shared" si="108"/>
        <v>Environmental</v>
      </c>
      <c r="I620" t="str">
        <f t="shared" si="109"/>
        <v>Social</v>
      </c>
      <c r="J620" s="19">
        <f t="shared" si="110"/>
        <v>210</v>
      </c>
      <c r="K620" s="19">
        <f t="shared" si="111"/>
        <v>-10</v>
      </c>
      <c r="L620" s="19">
        <f t="shared" si="112"/>
        <v>200</v>
      </c>
      <c r="M620" s="17">
        <f t="shared" si="113"/>
        <v>210</v>
      </c>
      <c r="N620" s="22">
        <f t="shared" si="114"/>
        <v>0.87950138504155129</v>
      </c>
      <c r="O620" s="22">
        <f t="shared" si="115"/>
        <v>0.77008310249307477</v>
      </c>
      <c r="P620" s="22">
        <f t="shared" si="116"/>
        <v>0.10941828254847652</v>
      </c>
      <c r="Q620" t="str">
        <f t="shared" si="117"/>
        <v/>
      </c>
      <c r="S620">
        <f t="shared" si="118"/>
        <v>210.00093799999999</v>
      </c>
      <c r="T620" s="23">
        <f t="shared" si="119"/>
        <v>0.11035628254847651</v>
      </c>
    </row>
    <row r="621" spans="1:20" ht="15" customHeight="1" x14ac:dyDescent="0.35">
      <c r="A621" t="str">
        <f>Benchmarking!A621</f>
        <v>MyMD Pharmaceuticals Inc</v>
      </c>
      <c r="B621" t="str">
        <f>Benchmarking!B621</f>
        <v>mymd</v>
      </c>
      <c r="C621" t="str">
        <f>Benchmarking!C621</f>
        <v>Pharmaceuticals</v>
      </c>
      <c r="D621" s="17">
        <f>Benchmarking!D621</f>
        <v>205</v>
      </c>
      <c r="E621" s="17">
        <f>Benchmarking!E621</f>
        <v>257</v>
      </c>
      <c r="F621" s="17">
        <f>Benchmarking!F621</f>
        <v>230</v>
      </c>
      <c r="G621" s="17">
        <f>Benchmarking!G621</f>
        <v>692</v>
      </c>
      <c r="H621" t="str">
        <f t="shared" si="108"/>
        <v>Social</v>
      </c>
      <c r="I621" t="str">
        <f t="shared" si="109"/>
        <v>Environmental</v>
      </c>
      <c r="J621" s="19">
        <f t="shared" si="110"/>
        <v>-52</v>
      </c>
      <c r="K621" s="19">
        <f t="shared" si="111"/>
        <v>27</v>
      </c>
      <c r="L621" s="19">
        <f t="shared" si="112"/>
        <v>-25</v>
      </c>
      <c r="M621" s="17">
        <f t="shared" si="113"/>
        <v>52</v>
      </c>
      <c r="N621" s="22">
        <f t="shared" si="114"/>
        <v>0.15373961218836565</v>
      </c>
      <c r="O621" s="22">
        <f t="shared" si="115"/>
        <v>5.6786703601108032E-2</v>
      </c>
      <c r="P621" s="22">
        <f t="shared" si="116"/>
        <v>9.6952908587257622E-2</v>
      </c>
      <c r="Q621" t="str">
        <f t="shared" si="117"/>
        <v/>
      </c>
      <c r="S621">
        <f t="shared" si="118"/>
        <v>52.000937899999997</v>
      </c>
      <c r="T621" s="23">
        <f t="shared" si="119"/>
        <v>9.7890808587257627E-2</v>
      </c>
    </row>
    <row r="622" spans="1:20" ht="15" customHeight="1" x14ac:dyDescent="0.35">
      <c r="A622" t="str">
        <f>Benchmarking!A622</f>
        <v>Playstudios Inc</v>
      </c>
      <c r="B622" t="str">
        <f>Benchmarking!B622</f>
        <v>myps</v>
      </c>
      <c r="C622" t="str">
        <f>Benchmarking!C622</f>
        <v>Media</v>
      </c>
      <c r="D622" s="17">
        <f>Benchmarking!D622</f>
        <v>205</v>
      </c>
      <c r="E622" s="17">
        <f>Benchmarking!E622</f>
        <v>202</v>
      </c>
      <c r="F622" s="17">
        <f>Benchmarking!F622</f>
        <v>200</v>
      </c>
      <c r="G622" s="17">
        <f>Benchmarking!G622</f>
        <v>607</v>
      </c>
      <c r="H622" t="str">
        <f t="shared" si="108"/>
        <v>Environmental</v>
      </c>
      <c r="I622" t="str">
        <f t="shared" si="109"/>
        <v>Governance</v>
      </c>
      <c r="J622" s="19">
        <f t="shared" si="110"/>
        <v>3</v>
      </c>
      <c r="K622" s="19">
        <f t="shared" si="111"/>
        <v>2</v>
      </c>
      <c r="L622" s="19">
        <f t="shared" si="112"/>
        <v>5</v>
      </c>
      <c r="M622" s="17">
        <f t="shared" si="113"/>
        <v>5</v>
      </c>
      <c r="N622" s="22">
        <f t="shared" si="114"/>
        <v>1.9390581717451522E-2</v>
      </c>
      <c r="O622" s="22">
        <f t="shared" si="115"/>
        <v>2.7700831024930748E-3</v>
      </c>
      <c r="P622" s="22">
        <f t="shared" si="116"/>
        <v>1.6620498614958446E-2</v>
      </c>
      <c r="Q622" t="str">
        <f t="shared" si="117"/>
        <v/>
      </c>
      <c r="S622">
        <f t="shared" si="118"/>
        <v>5.0009378</v>
      </c>
      <c r="T622" s="23">
        <f t="shared" si="119"/>
        <v>1.7558298614958445E-2</v>
      </c>
    </row>
    <row r="623" spans="1:20" ht="15" customHeight="1" x14ac:dyDescent="0.35">
      <c r="A623" t="str">
        <f>Benchmarking!A623</f>
        <v>Matterport Inc</v>
      </c>
      <c r="B623" t="str">
        <f>Benchmarking!B623</f>
        <v>mttr</v>
      </c>
      <c r="C623" t="str">
        <f>Benchmarking!C623</f>
        <v>Technology</v>
      </c>
      <c r="D623" s="17">
        <f>Benchmarking!D623</f>
        <v>346</v>
      </c>
      <c r="E623" s="17">
        <f>Benchmarking!E623</f>
        <v>325</v>
      </c>
      <c r="F623" s="17">
        <f>Benchmarking!F623</f>
        <v>260</v>
      </c>
      <c r="G623" s="17">
        <f>Benchmarking!G623</f>
        <v>931</v>
      </c>
      <c r="H623" t="str">
        <f t="shared" si="108"/>
        <v>Environmental</v>
      </c>
      <c r="I623" t="str">
        <f t="shared" si="109"/>
        <v>Governance</v>
      </c>
      <c r="J623" s="19">
        <f t="shared" si="110"/>
        <v>21</v>
      </c>
      <c r="K623" s="19">
        <f t="shared" si="111"/>
        <v>65</v>
      </c>
      <c r="L623" s="19">
        <f t="shared" si="112"/>
        <v>86</v>
      </c>
      <c r="M623" s="17">
        <f t="shared" si="113"/>
        <v>86</v>
      </c>
      <c r="N623" s="22">
        <f t="shared" si="114"/>
        <v>0.39889196675900279</v>
      </c>
      <c r="O623" s="22">
        <f t="shared" si="115"/>
        <v>0.32409972299168976</v>
      </c>
      <c r="P623" s="22">
        <f t="shared" si="116"/>
        <v>7.4792243767313027E-2</v>
      </c>
      <c r="Q623" t="str">
        <f t="shared" si="117"/>
        <v/>
      </c>
      <c r="S623">
        <f t="shared" si="118"/>
        <v>86.000937699999994</v>
      </c>
      <c r="T623" s="23">
        <f t="shared" si="119"/>
        <v>7.5729943767313027E-2</v>
      </c>
    </row>
    <row r="624" spans="1:20" ht="15" customHeight="1" x14ac:dyDescent="0.35">
      <c r="A624" t="str">
        <f>Benchmarking!A624</f>
        <v>MACOM Technology Solutions Holdings Inc</v>
      </c>
      <c r="B624" t="str">
        <f>Benchmarking!B624</f>
        <v>mtsi</v>
      </c>
      <c r="C624" t="str">
        <f>Benchmarking!C624</f>
        <v>Semiconductors</v>
      </c>
      <c r="D624" s="17">
        <f>Benchmarking!D624</f>
        <v>377</v>
      </c>
      <c r="E624" s="17">
        <f>Benchmarking!E624</f>
        <v>309</v>
      </c>
      <c r="F624" s="17">
        <f>Benchmarking!F624</f>
        <v>255</v>
      </c>
      <c r="G624" s="17">
        <f>Benchmarking!G624</f>
        <v>941</v>
      </c>
      <c r="H624" t="str">
        <f t="shared" si="108"/>
        <v>Environmental</v>
      </c>
      <c r="I624" t="str">
        <f t="shared" si="109"/>
        <v>Governance</v>
      </c>
      <c r="J624" s="19">
        <f t="shared" si="110"/>
        <v>68</v>
      </c>
      <c r="K624" s="19">
        <f t="shared" si="111"/>
        <v>54</v>
      </c>
      <c r="L624" s="19">
        <f t="shared" si="112"/>
        <v>122</v>
      </c>
      <c r="M624" s="17">
        <f t="shared" si="113"/>
        <v>122</v>
      </c>
      <c r="N624" s="22">
        <f t="shared" si="114"/>
        <v>0.41135734072022162</v>
      </c>
      <c r="O624" s="22">
        <f t="shared" si="115"/>
        <v>0.31024930747922436</v>
      </c>
      <c r="P624" s="22">
        <f t="shared" si="116"/>
        <v>0.10110803324099726</v>
      </c>
      <c r="Q624" t="str">
        <f t="shared" si="117"/>
        <v/>
      </c>
      <c r="S624">
        <f t="shared" si="118"/>
        <v>122.0009376</v>
      </c>
      <c r="T624" s="23">
        <f t="shared" si="119"/>
        <v>0.10204563324099726</v>
      </c>
    </row>
    <row r="625" spans="1:20" ht="15" customHeight="1" x14ac:dyDescent="0.35">
      <c r="A625" t="str">
        <f>Benchmarking!A625</f>
        <v>Clearone Inc</v>
      </c>
      <c r="B625" t="str">
        <f>Benchmarking!B625</f>
        <v>clro</v>
      </c>
      <c r="C625" t="str">
        <f>Benchmarking!C625</f>
        <v>Communications</v>
      </c>
      <c r="D625" s="17">
        <f>Benchmarking!D625</f>
        <v>370</v>
      </c>
      <c r="E625" s="17">
        <f>Benchmarking!E625</f>
        <v>228</v>
      </c>
      <c r="F625" s="17">
        <f>Benchmarking!F625</f>
        <v>210</v>
      </c>
      <c r="G625" s="17">
        <f>Benchmarking!G625</f>
        <v>808</v>
      </c>
      <c r="H625" t="str">
        <f t="shared" si="108"/>
        <v>Environmental</v>
      </c>
      <c r="I625" t="str">
        <f t="shared" si="109"/>
        <v>Governance</v>
      </c>
      <c r="J625" s="19">
        <f t="shared" si="110"/>
        <v>142</v>
      </c>
      <c r="K625" s="19">
        <f t="shared" si="111"/>
        <v>18</v>
      </c>
      <c r="L625" s="19">
        <f t="shared" si="112"/>
        <v>160</v>
      </c>
      <c r="M625" s="17">
        <f t="shared" si="113"/>
        <v>160</v>
      </c>
      <c r="N625" s="22">
        <f t="shared" si="114"/>
        <v>0.29362880886426596</v>
      </c>
      <c r="O625" s="22">
        <f t="shared" si="115"/>
        <v>0.12049861495844875</v>
      </c>
      <c r="P625" s="22">
        <f t="shared" si="116"/>
        <v>0.17313019390581719</v>
      </c>
      <c r="Q625" t="str">
        <f t="shared" si="117"/>
        <v/>
      </c>
      <c r="S625">
        <f t="shared" si="118"/>
        <v>160.00093749999999</v>
      </c>
      <c r="T625" s="23">
        <f t="shared" si="119"/>
        <v>0.17406769390581719</v>
      </c>
    </row>
    <row r="626" spans="1:20" ht="15" customHeight="1" x14ac:dyDescent="0.35">
      <c r="A626" t="str">
        <f>Benchmarking!A626</f>
        <v>Celsion Corp</v>
      </c>
      <c r="B626" t="str">
        <f>Benchmarking!B626</f>
        <v>clsn</v>
      </c>
      <c r="C626" t="str">
        <f>Benchmarking!C626</f>
        <v>Biotechnology</v>
      </c>
      <c r="D626" s="17">
        <f>Benchmarking!D626</f>
        <v>255</v>
      </c>
      <c r="E626" s="17">
        <f>Benchmarking!E626</f>
        <v>214</v>
      </c>
      <c r="F626" s="17">
        <f>Benchmarking!F626</f>
        <v>300</v>
      </c>
      <c r="G626" s="17">
        <f>Benchmarking!G626</f>
        <v>769</v>
      </c>
      <c r="H626" t="str">
        <f t="shared" si="108"/>
        <v>Governance</v>
      </c>
      <c r="I626" t="str">
        <f t="shared" si="109"/>
        <v>Social</v>
      </c>
      <c r="J626" s="19">
        <f t="shared" si="110"/>
        <v>41</v>
      </c>
      <c r="K626" s="19">
        <f t="shared" si="111"/>
        <v>-86</v>
      </c>
      <c r="L626" s="19">
        <f t="shared" si="112"/>
        <v>-45</v>
      </c>
      <c r="M626" s="17">
        <f t="shared" si="113"/>
        <v>86</v>
      </c>
      <c r="N626" s="22">
        <f t="shared" si="114"/>
        <v>0.25900277008310252</v>
      </c>
      <c r="O626" s="22">
        <f t="shared" si="115"/>
        <v>0.13157894736842105</v>
      </c>
      <c r="P626" s="22">
        <f t="shared" si="116"/>
        <v>0.12742382271468147</v>
      </c>
      <c r="Q626" t="str">
        <f t="shared" si="117"/>
        <v/>
      </c>
      <c r="S626">
        <f t="shared" si="118"/>
        <v>86.000937399999998</v>
      </c>
      <c r="T626" s="23">
        <f t="shared" si="119"/>
        <v>0.12836122271468148</v>
      </c>
    </row>
    <row r="627" spans="1:20" ht="15" customHeight="1" x14ac:dyDescent="0.35">
      <c r="A627" t="str">
        <f>Benchmarking!A627</f>
        <v>Gulf Resources Inc</v>
      </c>
      <c r="B627" t="str">
        <f>Benchmarking!B627</f>
        <v>gure</v>
      </c>
      <c r="C627" t="str">
        <f>Benchmarking!C627</f>
        <v>Chemicals</v>
      </c>
      <c r="D627" s="17">
        <f>Benchmarking!D627</f>
        <v>408</v>
      </c>
      <c r="E627" s="17">
        <f>Benchmarking!E627</f>
        <v>206</v>
      </c>
      <c r="F627" s="17">
        <f>Benchmarking!F627</f>
        <v>300</v>
      </c>
      <c r="G627" s="17">
        <f>Benchmarking!G627</f>
        <v>914</v>
      </c>
      <c r="H627" t="str">
        <f t="shared" si="108"/>
        <v>Environmental</v>
      </c>
      <c r="I627" t="str">
        <f t="shared" si="109"/>
        <v>Social</v>
      </c>
      <c r="J627" s="19">
        <f t="shared" si="110"/>
        <v>202</v>
      </c>
      <c r="K627" s="19">
        <f t="shared" si="111"/>
        <v>-94</v>
      </c>
      <c r="L627" s="19">
        <f t="shared" si="112"/>
        <v>108</v>
      </c>
      <c r="M627" s="17">
        <f t="shared" si="113"/>
        <v>202</v>
      </c>
      <c r="N627" s="22">
        <f t="shared" si="114"/>
        <v>0.38504155124653738</v>
      </c>
      <c r="O627" s="22">
        <f t="shared" si="115"/>
        <v>8.4487534626038779E-2</v>
      </c>
      <c r="P627" s="22">
        <f t="shared" si="116"/>
        <v>0.30055401662049863</v>
      </c>
      <c r="Q627" t="str">
        <f t="shared" si="117"/>
        <v/>
      </c>
      <c r="S627">
        <f t="shared" si="118"/>
        <v>202.0009373</v>
      </c>
      <c r="T627" s="23">
        <f t="shared" si="119"/>
        <v>0.30149131662049861</v>
      </c>
    </row>
    <row r="628" spans="1:20" ht="15" customHeight="1" x14ac:dyDescent="0.35">
      <c r="A628" t="str">
        <f>Benchmarking!A628</f>
        <v>GSE Systems Inc</v>
      </c>
      <c r="B628" t="str">
        <f>Benchmarking!B628</f>
        <v>gvp</v>
      </c>
      <c r="C628" t="str">
        <f>Benchmarking!C628</f>
        <v>Technology</v>
      </c>
      <c r="D628" s="17">
        <f>Benchmarking!D628</f>
        <v>505</v>
      </c>
      <c r="E628" s="17">
        <f>Benchmarking!E628</f>
        <v>307</v>
      </c>
      <c r="F628" s="17">
        <f>Benchmarking!F628</f>
        <v>245</v>
      </c>
      <c r="G628" s="17">
        <f>Benchmarking!G628</f>
        <v>1057</v>
      </c>
      <c r="H628" t="str">
        <f t="shared" si="108"/>
        <v>Environmental</v>
      </c>
      <c r="I628" t="str">
        <f t="shared" si="109"/>
        <v>Governance</v>
      </c>
      <c r="J628" s="19">
        <f t="shared" si="110"/>
        <v>198</v>
      </c>
      <c r="K628" s="19">
        <f t="shared" si="111"/>
        <v>62</v>
      </c>
      <c r="L628" s="19">
        <f t="shared" si="112"/>
        <v>260</v>
      </c>
      <c r="M628" s="17">
        <f t="shared" si="113"/>
        <v>260</v>
      </c>
      <c r="N628" s="22">
        <f t="shared" si="114"/>
        <v>0.51246537396121883</v>
      </c>
      <c r="O628" s="22">
        <f t="shared" si="115"/>
        <v>0.28947368421052633</v>
      </c>
      <c r="P628" s="22">
        <f t="shared" si="116"/>
        <v>0.2229916897506925</v>
      </c>
      <c r="Q628" t="str">
        <f t="shared" si="117"/>
        <v/>
      </c>
      <c r="S628">
        <f t="shared" si="118"/>
        <v>260.00093720000001</v>
      </c>
      <c r="T628" s="23">
        <f t="shared" si="119"/>
        <v>0.2239288897506925</v>
      </c>
    </row>
    <row r="629" spans="1:20" ht="15" customHeight="1" x14ac:dyDescent="0.35">
      <c r="A629" t="str">
        <f>Benchmarking!A629</f>
        <v>Gyrodyne LLC</v>
      </c>
      <c r="B629" t="str">
        <f>Benchmarking!B629</f>
        <v>gyro</v>
      </c>
      <c r="C629" t="str">
        <f>Benchmarking!C629</f>
        <v>Real Estate</v>
      </c>
      <c r="D629" s="17">
        <f>Benchmarking!D629</f>
        <v>240</v>
      </c>
      <c r="E629" s="17">
        <f>Benchmarking!E629</f>
        <v>206</v>
      </c>
      <c r="F629" s="17">
        <f>Benchmarking!F629</f>
        <v>240</v>
      </c>
      <c r="G629" s="17">
        <f>Benchmarking!G629</f>
        <v>686</v>
      </c>
      <c r="H629" t="str">
        <f t="shared" si="108"/>
        <v>Environmental</v>
      </c>
      <c r="I629" t="str">
        <f t="shared" si="109"/>
        <v>Social</v>
      </c>
      <c r="J629" s="19">
        <f t="shared" si="110"/>
        <v>34</v>
      </c>
      <c r="K629" s="19">
        <f t="shared" si="111"/>
        <v>-34</v>
      </c>
      <c r="L629" s="19">
        <f t="shared" si="112"/>
        <v>0</v>
      </c>
      <c r="M629" s="17">
        <f t="shared" si="113"/>
        <v>34</v>
      </c>
      <c r="N629" s="22">
        <f t="shared" si="114"/>
        <v>0.1481994459833795</v>
      </c>
      <c r="O629" s="22">
        <f t="shared" si="115"/>
        <v>8.4487534626038779E-2</v>
      </c>
      <c r="P629" s="22">
        <f t="shared" si="116"/>
        <v>6.3711911357340723E-2</v>
      </c>
      <c r="Q629" t="str">
        <f t="shared" si="117"/>
        <v/>
      </c>
      <c r="S629">
        <f t="shared" si="118"/>
        <v>34.000937100000002</v>
      </c>
      <c r="T629" s="23">
        <f t="shared" si="119"/>
        <v>6.4649011357340719E-2</v>
      </c>
    </row>
    <row r="630" spans="1:20" ht="15" customHeight="1" x14ac:dyDescent="0.35">
      <c r="A630" t="str">
        <f>Benchmarking!A630</f>
        <v>Global Water Resources Inc</v>
      </c>
      <c r="B630" t="str">
        <f>Benchmarking!B630</f>
        <v>gwrs</v>
      </c>
      <c r="C630" t="str">
        <f>Benchmarking!C630</f>
        <v>Utilities</v>
      </c>
      <c r="D630" s="17">
        <f>Benchmarking!D630</f>
        <v>367</v>
      </c>
      <c r="E630" s="17">
        <f>Benchmarking!E630</f>
        <v>297</v>
      </c>
      <c r="F630" s="17">
        <f>Benchmarking!F630</f>
        <v>235</v>
      </c>
      <c r="G630" s="17">
        <f>Benchmarking!G630</f>
        <v>899</v>
      </c>
      <c r="H630" t="str">
        <f t="shared" si="108"/>
        <v>Environmental</v>
      </c>
      <c r="I630" t="str">
        <f t="shared" si="109"/>
        <v>Governance</v>
      </c>
      <c r="J630" s="19">
        <f t="shared" si="110"/>
        <v>70</v>
      </c>
      <c r="K630" s="19">
        <f t="shared" si="111"/>
        <v>62</v>
      </c>
      <c r="L630" s="19">
        <f t="shared" si="112"/>
        <v>132</v>
      </c>
      <c r="M630" s="17">
        <f t="shared" si="113"/>
        <v>132</v>
      </c>
      <c r="N630" s="22">
        <f t="shared" si="114"/>
        <v>0.37119113573407203</v>
      </c>
      <c r="O630" s="22">
        <f t="shared" si="115"/>
        <v>0.24653739612188366</v>
      </c>
      <c r="P630" s="22">
        <f t="shared" si="116"/>
        <v>0.12465373961218837</v>
      </c>
      <c r="Q630" t="str">
        <f t="shared" si="117"/>
        <v/>
      </c>
      <c r="S630">
        <f t="shared" si="118"/>
        <v>132.00093699999999</v>
      </c>
      <c r="T630" s="23">
        <f t="shared" si="119"/>
        <v>0.12559073961218836</v>
      </c>
    </row>
    <row r="631" spans="1:20" ht="15" customHeight="1" x14ac:dyDescent="0.35">
      <c r="A631" t="str">
        <f>Benchmarking!A631</f>
        <v>Hawaiian Holdings Inc</v>
      </c>
      <c r="B631" t="str">
        <f>Benchmarking!B631</f>
        <v>ha</v>
      </c>
      <c r="C631" t="str">
        <f>Benchmarking!C631</f>
        <v>Airlines</v>
      </c>
      <c r="D631" s="17">
        <f>Benchmarking!D631</f>
        <v>200</v>
      </c>
      <c r="E631" s="17">
        <f>Benchmarking!E631</f>
        <v>321</v>
      </c>
      <c r="F631" s="17">
        <f>Benchmarking!F631</f>
        <v>200</v>
      </c>
      <c r="G631" s="17">
        <f>Benchmarking!G631</f>
        <v>721</v>
      </c>
      <c r="H631" t="str">
        <f t="shared" si="108"/>
        <v>Social</v>
      </c>
      <c r="I631" t="str">
        <f t="shared" si="109"/>
        <v>Environmental</v>
      </c>
      <c r="J631" s="19">
        <f t="shared" si="110"/>
        <v>-121</v>
      </c>
      <c r="K631" s="19">
        <f t="shared" si="111"/>
        <v>121</v>
      </c>
      <c r="L631" s="19">
        <f t="shared" si="112"/>
        <v>0</v>
      </c>
      <c r="M631" s="17">
        <f t="shared" si="113"/>
        <v>121</v>
      </c>
      <c r="N631" s="22">
        <f t="shared" si="114"/>
        <v>0.18698060941828254</v>
      </c>
      <c r="O631" s="22">
        <f t="shared" si="115"/>
        <v>1.3850415512465374E-3</v>
      </c>
      <c r="P631" s="22">
        <f t="shared" si="116"/>
        <v>0.18559556786703602</v>
      </c>
      <c r="Q631" t="str">
        <f t="shared" si="117"/>
        <v/>
      </c>
      <c r="S631">
        <f t="shared" si="118"/>
        <v>121.0009369</v>
      </c>
      <c r="T631" s="23">
        <f t="shared" si="119"/>
        <v>0.18653246786703601</v>
      </c>
    </row>
    <row r="632" spans="1:20" ht="15" customHeight="1" x14ac:dyDescent="0.35">
      <c r="A632" t="str">
        <f>Benchmarking!A632</f>
        <v>CleanSpark Inc</v>
      </c>
      <c r="B632" t="str">
        <f>Benchmarking!B632</f>
        <v>clsk</v>
      </c>
      <c r="C632" t="str">
        <f>Benchmarking!C632</f>
        <v>Technology</v>
      </c>
      <c r="D632" s="17">
        <f>Benchmarking!D632</f>
        <v>570</v>
      </c>
      <c r="E632" s="17">
        <f>Benchmarking!E632</f>
        <v>326</v>
      </c>
      <c r="F632" s="17">
        <f>Benchmarking!F632</f>
        <v>310</v>
      </c>
      <c r="G632" s="17">
        <f>Benchmarking!G632</f>
        <v>1206</v>
      </c>
      <c r="H632" t="str">
        <f t="shared" si="108"/>
        <v>Environmental</v>
      </c>
      <c r="I632" t="str">
        <f t="shared" si="109"/>
        <v>Governance</v>
      </c>
      <c r="J632" s="19">
        <f t="shared" si="110"/>
        <v>244</v>
      </c>
      <c r="K632" s="19">
        <f t="shared" si="111"/>
        <v>16</v>
      </c>
      <c r="L632" s="19">
        <f t="shared" si="112"/>
        <v>260</v>
      </c>
      <c r="M632" s="17">
        <f t="shared" si="113"/>
        <v>260</v>
      </c>
      <c r="N632" s="22">
        <f t="shared" si="114"/>
        <v>0.89473684210526316</v>
      </c>
      <c r="O632" s="22">
        <f t="shared" si="115"/>
        <v>0.74653739612188363</v>
      </c>
      <c r="P632" s="22">
        <f t="shared" si="116"/>
        <v>0.14819944598337953</v>
      </c>
      <c r="Q632" t="str">
        <f t="shared" si="117"/>
        <v/>
      </c>
      <c r="S632">
        <f t="shared" si="118"/>
        <v>260.00093679999998</v>
      </c>
      <c r="T632" s="23">
        <f t="shared" si="119"/>
        <v>0.14913624598337952</v>
      </c>
    </row>
    <row r="633" spans="1:20" ht="15" customHeight="1" x14ac:dyDescent="0.35">
      <c r="A633" t="str">
        <f>Benchmarking!A633</f>
        <v>Clearside Biomedical Inc</v>
      </c>
      <c r="B633" t="str">
        <f>Benchmarking!B633</f>
        <v>clsd</v>
      </c>
      <c r="C633" t="str">
        <f>Benchmarking!C633</f>
        <v>Pharmaceuticals</v>
      </c>
      <c r="D633" s="17">
        <f>Benchmarking!D633</f>
        <v>215</v>
      </c>
      <c r="E633" s="17">
        <f>Benchmarking!E633</f>
        <v>230</v>
      </c>
      <c r="F633" s="17">
        <f>Benchmarking!F633</f>
        <v>200</v>
      </c>
      <c r="G633" s="17">
        <f>Benchmarking!G633</f>
        <v>645</v>
      </c>
      <c r="H633" t="str">
        <f t="shared" si="108"/>
        <v>Social</v>
      </c>
      <c r="I633" t="str">
        <f t="shared" si="109"/>
        <v>Governance</v>
      </c>
      <c r="J633" s="19">
        <f t="shared" si="110"/>
        <v>-15</v>
      </c>
      <c r="K633" s="19">
        <f t="shared" si="111"/>
        <v>30</v>
      </c>
      <c r="L633" s="19">
        <f t="shared" si="112"/>
        <v>15</v>
      </c>
      <c r="M633" s="17">
        <f t="shared" si="113"/>
        <v>30</v>
      </c>
      <c r="N633" s="22">
        <f t="shared" si="114"/>
        <v>8.4487534626038779E-2</v>
      </c>
      <c r="O633" s="22">
        <f t="shared" si="115"/>
        <v>2.7700831024930748E-3</v>
      </c>
      <c r="P633" s="22">
        <f t="shared" si="116"/>
        <v>8.1717451523545703E-2</v>
      </c>
      <c r="Q633" t="str">
        <f t="shared" si="117"/>
        <v/>
      </c>
      <c r="S633">
        <f t="shared" si="118"/>
        <v>30.0009367</v>
      </c>
      <c r="T633" s="23">
        <f t="shared" si="119"/>
        <v>8.2654151523545702E-2</v>
      </c>
    </row>
    <row r="634" spans="1:20" ht="15" customHeight="1" x14ac:dyDescent="0.35">
      <c r="A634" t="str">
        <f>Benchmarking!A634</f>
        <v>Health Assurance Acquisition Corp</v>
      </c>
      <c r="B634" t="str">
        <f>Benchmarking!B634</f>
        <v>haac</v>
      </c>
      <c r="C634" t="str">
        <f>Benchmarking!C634</f>
        <v>Unclassified</v>
      </c>
      <c r="D634" s="17">
        <f>Benchmarking!D634</f>
        <v>200</v>
      </c>
      <c r="E634" s="17">
        <f>Benchmarking!E634</f>
        <v>258</v>
      </c>
      <c r="F634" s="17">
        <f>Benchmarking!F634</f>
        <v>300</v>
      </c>
      <c r="G634" s="17">
        <f>Benchmarking!G634</f>
        <v>758</v>
      </c>
      <c r="H634" t="str">
        <f t="shared" si="108"/>
        <v>Governance</v>
      </c>
      <c r="I634" t="str">
        <f t="shared" si="109"/>
        <v>Environmental</v>
      </c>
      <c r="J634" s="19">
        <f t="shared" si="110"/>
        <v>-58</v>
      </c>
      <c r="K634" s="19">
        <f t="shared" si="111"/>
        <v>-42</v>
      </c>
      <c r="L634" s="19">
        <f t="shared" si="112"/>
        <v>-100</v>
      </c>
      <c r="M634" s="17">
        <f t="shared" si="113"/>
        <v>100</v>
      </c>
      <c r="N634" s="22">
        <f t="shared" si="114"/>
        <v>0.24238227146814403</v>
      </c>
      <c r="O634" s="22">
        <f t="shared" si="115"/>
        <v>1.3850415512465374E-3</v>
      </c>
      <c r="P634" s="22">
        <f t="shared" si="116"/>
        <v>0.24099722991689751</v>
      </c>
      <c r="Q634" t="str">
        <f t="shared" si="117"/>
        <v/>
      </c>
      <c r="S634">
        <f t="shared" si="118"/>
        <v>100.0009366</v>
      </c>
      <c r="T634" s="23">
        <f t="shared" si="119"/>
        <v>0.24193382991689752</v>
      </c>
    </row>
    <row r="635" spans="1:20" ht="15" customHeight="1" x14ac:dyDescent="0.35">
      <c r="A635" t="str">
        <f>Benchmarking!A635</f>
        <v>Hanmi Financial Corp</v>
      </c>
      <c r="B635" t="str">
        <f>Benchmarking!B635</f>
        <v>hafc</v>
      </c>
      <c r="C635" t="str">
        <f>Benchmarking!C635</f>
        <v>Banking</v>
      </c>
      <c r="D635" s="17">
        <f>Benchmarking!D635</f>
        <v>250</v>
      </c>
      <c r="E635" s="17">
        <f>Benchmarking!E635</f>
        <v>207</v>
      </c>
      <c r="F635" s="17">
        <f>Benchmarking!F635</f>
        <v>233</v>
      </c>
      <c r="G635" s="17">
        <f>Benchmarking!G635</f>
        <v>690</v>
      </c>
      <c r="H635" t="str">
        <f t="shared" si="108"/>
        <v>Environmental</v>
      </c>
      <c r="I635" t="str">
        <f t="shared" si="109"/>
        <v>Social</v>
      </c>
      <c r="J635" s="19">
        <f t="shared" si="110"/>
        <v>43</v>
      </c>
      <c r="K635" s="19">
        <f t="shared" si="111"/>
        <v>-26</v>
      </c>
      <c r="L635" s="19">
        <f t="shared" si="112"/>
        <v>17</v>
      </c>
      <c r="M635" s="17">
        <f t="shared" si="113"/>
        <v>43</v>
      </c>
      <c r="N635" s="22">
        <f t="shared" si="114"/>
        <v>0.14958448753462603</v>
      </c>
      <c r="O635" s="22">
        <f t="shared" si="115"/>
        <v>9.0027700831024932E-2</v>
      </c>
      <c r="P635" s="22">
        <f t="shared" si="116"/>
        <v>5.9556786703601095E-2</v>
      </c>
      <c r="Q635" t="str">
        <f t="shared" si="117"/>
        <v/>
      </c>
      <c r="S635">
        <f t="shared" si="118"/>
        <v>43.000936500000002</v>
      </c>
      <c r="T635" s="23">
        <f t="shared" si="119"/>
        <v>6.0493286703601094E-2</v>
      </c>
    </row>
    <row r="636" spans="1:20" ht="15" customHeight="1" x14ac:dyDescent="0.35">
      <c r="A636" t="str">
        <f>Benchmarking!A636</f>
        <v>Catalyst Bancorp Inc</v>
      </c>
      <c r="B636" t="str">
        <f>Benchmarking!B636</f>
        <v>clst</v>
      </c>
      <c r="C636" t="str">
        <f>Benchmarking!C636</f>
        <v>Financial Services</v>
      </c>
      <c r="D636" s="17">
        <f>Benchmarking!D636</f>
        <v>260</v>
      </c>
      <c r="E636" s="17">
        <f>Benchmarking!E636</f>
        <v>350</v>
      </c>
      <c r="F636" s="17">
        <f>Benchmarking!F636</f>
        <v>267</v>
      </c>
      <c r="G636" s="17">
        <f>Benchmarking!G636</f>
        <v>877</v>
      </c>
      <c r="H636" t="str">
        <f t="shared" si="108"/>
        <v>Social</v>
      </c>
      <c r="I636" t="str">
        <f t="shared" si="109"/>
        <v>Environmental</v>
      </c>
      <c r="J636" s="19">
        <f t="shared" si="110"/>
        <v>-90</v>
      </c>
      <c r="K636" s="19">
        <f t="shared" si="111"/>
        <v>83</v>
      </c>
      <c r="L636" s="19">
        <f t="shared" si="112"/>
        <v>-7</v>
      </c>
      <c r="M636" s="17">
        <f t="shared" si="113"/>
        <v>90</v>
      </c>
      <c r="N636" s="22">
        <f t="shared" si="114"/>
        <v>0.35457063711911357</v>
      </c>
      <c r="O636" s="22">
        <f t="shared" si="115"/>
        <v>0.29085872576177285</v>
      </c>
      <c r="P636" s="22">
        <f t="shared" si="116"/>
        <v>6.3711911357340723E-2</v>
      </c>
      <c r="Q636" t="str">
        <f t="shared" si="117"/>
        <v/>
      </c>
      <c r="S636">
        <f t="shared" si="118"/>
        <v>90.000936400000001</v>
      </c>
      <c r="T636" s="23">
        <f t="shared" si="119"/>
        <v>6.4648311357340726E-2</v>
      </c>
    </row>
    <row r="637" spans="1:20" ht="15" customHeight="1" x14ac:dyDescent="0.35">
      <c r="A637" t="str">
        <f>Benchmarking!A637</f>
        <v>Euro Tech Holdings Company Ltd</v>
      </c>
      <c r="B637" t="str">
        <f>Benchmarking!B637</f>
        <v>clwt</v>
      </c>
      <c r="C637" t="str">
        <f>Benchmarking!C637</f>
        <v>Trading Companies &amp; Distributors</v>
      </c>
      <c r="D637" s="17">
        <f>Benchmarking!D637</f>
        <v>230</v>
      </c>
      <c r="E637" s="17">
        <f>Benchmarking!E637</f>
        <v>201</v>
      </c>
      <c r="F637" s="17">
        <f>Benchmarking!F637</f>
        <v>210</v>
      </c>
      <c r="G637" s="17">
        <f>Benchmarking!G637</f>
        <v>641</v>
      </c>
      <c r="H637" t="str">
        <f t="shared" si="108"/>
        <v>Environmental</v>
      </c>
      <c r="I637" t="str">
        <f t="shared" si="109"/>
        <v>Social</v>
      </c>
      <c r="J637" s="19">
        <f t="shared" si="110"/>
        <v>29</v>
      </c>
      <c r="K637" s="19">
        <f t="shared" si="111"/>
        <v>-9</v>
      </c>
      <c r="L637" s="19">
        <f t="shared" si="112"/>
        <v>20</v>
      </c>
      <c r="M637" s="17">
        <f t="shared" si="113"/>
        <v>29</v>
      </c>
      <c r="N637" s="22">
        <f t="shared" si="114"/>
        <v>8.0332409972299165E-2</v>
      </c>
      <c r="O637" s="22">
        <f t="shared" si="115"/>
        <v>3.1855955678670361E-2</v>
      </c>
      <c r="P637" s="22">
        <f t="shared" si="116"/>
        <v>4.8476454293628804E-2</v>
      </c>
      <c r="Q637" t="str">
        <f t="shared" si="117"/>
        <v/>
      </c>
      <c r="S637">
        <f t="shared" si="118"/>
        <v>29.000936299999999</v>
      </c>
      <c r="T637" s="23">
        <f t="shared" si="119"/>
        <v>4.9412754293628805E-2</v>
      </c>
    </row>
    <row r="638" spans="1:20" ht="15" customHeight="1" x14ac:dyDescent="0.35">
      <c r="A638" t="str">
        <f>Benchmarking!A638</f>
        <v>Calyxt Inc</v>
      </c>
      <c r="B638" t="str">
        <f>Benchmarking!B638</f>
        <v>clxt</v>
      </c>
      <c r="C638" t="str">
        <f>Benchmarking!C638</f>
        <v>Biotechnology</v>
      </c>
      <c r="D638" s="17">
        <f>Benchmarking!D638</f>
        <v>535</v>
      </c>
      <c r="E638" s="17">
        <f>Benchmarking!E638</f>
        <v>322</v>
      </c>
      <c r="F638" s="17">
        <f>Benchmarking!F638</f>
        <v>325</v>
      </c>
      <c r="G638" s="17">
        <f>Benchmarking!G638</f>
        <v>1182</v>
      </c>
      <c r="H638" t="str">
        <f t="shared" si="108"/>
        <v>Environmental</v>
      </c>
      <c r="I638" t="str">
        <f t="shared" si="109"/>
        <v>Social</v>
      </c>
      <c r="J638" s="19">
        <f t="shared" si="110"/>
        <v>213</v>
      </c>
      <c r="K638" s="19">
        <f t="shared" si="111"/>
        <v>-3</v>
      </c>
      <c r="L638" s="19">
        <f t="shared" si="112"/>
        <v>210</v>
      </c>
      <c r="M638" s="17">
        <f t="shared" si="113"/>
        <v>213</v>
      </c>
      <c r="N638" s="22">
        <f t="shared" si="114"/>
        <v>0.85734072022160668</v>
      </c>
      <c r="O638" s="22">
        <f t="shared" si="115"/>
        <v>0.73822714681440438</v>
      </c>
      <c r="P638" s="22">
        <f t="shared" si="116"/>
        <v>0.1191135734072023</v>
      </c>
      <c r="Q638" t="str">
        <f t="shared" si="117"/>
        <v/>
      </c>
      <c r="S638">
        <f t="shared" si="118"/>
        <v>213.00093620000001</v>
      </c>
      <c r="T638" s="23">
        <f t="shared" si="119"/>
        <v>0.1200497734072023</v>
      </c>
    </row>
    <row r="639" spans="1:20" ht="15" customHeight="1" x14ac:dyDescent="0.35">
      <c r="A639" t="str">
        <f>Benchmarking!A639</f>
        <v>Cambium Networks Corp</v>
      </c>
      <c r="B639" t="str">
        <f>Benchmarking!B639</f>
        <v>cmbm</v>
      </c>
      <c r="C639" t="str">
        <f>Benchmarking!C639</f>
        <v>Communications</v>
      </c>
      <c r="D639" s="17">
        <f>Benchmarking!D639</f>
        <v>505</v>
      </c>
      <c r="E639" s="17">
        <f>Benchmarking!E639</f>
        <v>337</v>
      </c>
      <c r="F639" s="17">
        <f>Benchmarking!F639</f>
        <v>300</v>
      </c>
      <c r="G639" s="17">
        <f>Benchmarking!G639</f>
        <v>1142</v>
      </c>
      <c r="H639" t="str">
        <f t="shared" si="108"/>
        <v>Environmental</v>
      </c>
      <c r="I639" t="str">
        <f t="shared" si="109"/>
        <v>Governance</v>
      </c>
      <c r="J639" s="19">
        <f t="shared" si="110"/>
        <v>168</v>
      </c>
      <c r="K639" s="19">
        <f t="shared" si="111"/>
        <v>37</v>
      </c>
      <c r="L639" s="19">
        <f t="shared" si="112"/>
        <v>205</v>
      </c>
      <c r="M639" s="17">
        <f t="shared" si="113"/>
        <v>205</v>
      </c>
      <c r="N639" s="22">
        <f t="shared" si="114"/>
        <v>0.74238227146814406</v>
      </c>
      <c r="O639" s="22">
        <f t="shared" si="115"/>
        <v>0.39335180055401664</v>
      </c>
      <c r="P639" s="22">
        <f t="shared" si="116"/>
        <v>0.34903047091412742</v>
      </c>
      <c r="Q639" t="str">
        <f t="shared" si="117"/>
        <v/>
      </c>
      <c r="S639">
        <f t="shared" si="118"/>
        <v>205.00093609999999</v>
      </c>
      <c r="T639" s="23">
        <f t="shared" si="119"/>
        <v>0.34996657091412742</v>
      </c>
    </row>
    <row r="640" spans="1:20" ht="15" customHeight="1" x14ac:dyDescent="0.35">
      <c r="A640" t="str">
        <f>Benchmarking!A640</f>
        <v>Columbus McKinnon Corp</v>
      </c>
      <c r="B640" t="str">
        <f>Benchmarking!B640</f>
        <v>cmco</v>
      </c>
      <c r="C640" t="str">
        <f>Benchmarking!C640</f>
        <v>Machinery</v>
      </c>
      <c r="D640" s="17">
        <f>Benchmarking!D640</f>
        <v>200</v>
      </c>
      <c r="E640" s="17">
        <f>Benchmarking!E640</f>
        <v>323</v>
      </c>
      <c r="F640" s="17">
        <f>Benchmarking!F640</f>
        <v>240</v>
      </c>
      <c r="G640" s="17">
        <f>Benchmarking!G640</f>
        <v>763</v>
      </c>
      <c r="H640" t="str">
        <f t="shared" si="108"/>
        <v>Social</v>
      </c>
      <c r="I640" t="str">
        <f t="shared" si="109"/>
        <v>Environmental</v>
      </c>
      <c r="J640" s="19">
        <f t="shared" si="110"/>
        <v>-123</v>
      </c>
      <c r="K640" s="19">
        <f t="shared" si="111"/>
        <v>83</v>
      </c>
      <c r="L640" s="19">
        <f t="shared" si="112"/>
        <v>-40</v>
      </c>
      <c r="M640" s="17">
        <f t="shared" si="113"/>
        <v>123</v>
      </c>
      <c r="N640" s="22">
        <f t="shared" si="114"/>
        <v>0.24930747922437674</v>
      </c>
      <c r="O640" s="22">
        <f t="shared" si="115"/>
        <v>1.3850415512465374E-3</v>
      </c>
      <c r="P640" s="22">
        <f t="shared" si="116"/>
        <v>0.24792243767313021</v>
      </c>
      <c r="Q640" t="str">
        <f t="shared" si="117"/>
        <v/>
      </c>
      <c r="S640">
        <f t="shared" si="118"/>
        <v>123.000936</v>
      </c>
      <c r="T640" s="23">
        <f t="shared" si="119"/>
        <v>0.24885843767313021</v>
      </c>
    </row>
    <row r="641" spans="1:20" ht="15" customHeight="1" x14ac:dyDescent="0.35">
      <c r="A641" t="str">
        <f>Benchmarking!A641</f>
        <v>Ever-Glory International Group Inc</v>
      </c>
      <c r="B641" t="str">
        <f>Benchmarking!B641</f>
        <v>evk</v>
      </c>
      <c r="C641" t="str">
        <f>Benchmarking!C641</f>
        <v>Textiles Apparel &amp; Luxury Goods</v>
      </c>
      <c r="D641" s="17">
        <f>Benchmarking!D641</f>
        <v>200</v>
      </c>
      <c r="E641" s="17">
        <f>Benchmarking!E641</f>
        <v>211</v>
      </c>
      <c r="F641" s="17">
        <f>Benchmarking!F641</f>
        <v>210</v>
      </c>
      <c r="G641" s="17">
        <f>Benchmarking!G641</f>
        <v>621</v>
      </c>
      <c r="H641" t="str">
        <f t="shared" si="108"/>
        <v>Social</v>
      </c>
      <c r="I641" t="str">
        <f t="shared" si="109"/>
        <v>Environmental</v>
      </c>
      <c r="J641" s="19">
        <f t="shared" si="110"/>
        <v>-11</v>
      </c>
      <c r="K641" s="19">
        <f t="shared" si="111"/>
        <v>1</v>
      </c>
      <c r="L641" s="19">
        <f t="shared" si="112"/>
        <v>-10</v>
      </c>
      <c r="M641" s="17">
        <f t="shared" si="113"/>
        <v>11</v>
      </c>
      <c r="N641" s="22">
        <f t="shared" si="114"/>
        <v>4.2936288088642659E-2</v>
      </c>
      <c r="O641" s="22">
        <f t="shared" si="115"/>
        <v>1.3850415512465374E-3</v>
      </c>
      <c r="P641" s="22">
        <f t="shared" si="116"/>
        <v>4.1551246537396121E-2</v>
      </c>
      <c r="Q641" t="str">
        <f t="shared" si="117"/>
        <v/>
      </c>
      <c r="S641">
        <f t="shared" si="118"/>
        <v>11.0009359</v>
      </c>
      <c r="T641" s="23">
        <f t="shared" si="119"/>
        <v>4.2487146537396124E-2</v>
      </c>
    </row>
    <row r="642" spans="1:20" ht="15" customHeight="1" x14ac:dyDescent="0.35">
      <c r="A642" t="str">
        <f>Benchmarking!A642</f>
        <v>Clovis Oncology Inc</v>
      </c>
      <c r="B642" t="str">
        <f>Benchmarking!B642</f>
        <v>clvs</v>
      </c>
      <c r="C642" t="str">
        <f>Benchmarking!C642</f>
        <v>Biotechnology</v>
      </c>
      <c r="D642" s="17">
        <f>Benchmarking!D642</f>
        <v>225</v>
      </c>
      <c r="E642" s="17">
        <f>Benchmarking!E642</f>
        <v>212</v>
      </c>
      <c r="F642" s="17">
        <f>Benchmarking!F642</f>
        <v>300</v>
      </c>
      <c r="G642" s="17">
        <f>Benchmarking!G642</f>
        <v>737</v>
      </c>
      <c r="H642" t="str">
        <f t="shared" si="108"/>
        <v>Governance</v>
      </c>
      <c r="I642" t="str">
        <f t="shared" si="109"/>
        <v>Social</v>
      </c>
      <c r="J642" s="19">
        <f t="shared" si="110"/>
        <v>13</v>
      </c>
      <c r="K642" s="19">
        <f t="shared" si="111"/>
        <v>-88</v>
      </c>
      <c r="L642" s="19">
        <f t="shared" si="112"/>
        <v>-75</v>
      </c>
      <c r="M642" s="17">
        <f t="shared" si="113"/>
        <v>88</v>
      </c>
      <c r="N642" s="22">
        <f t="shared" si="114"/>
        <v>0.20637119113573407</v>
      </c>
      <c r="O642" s="22">
        <f t="shared" si="115"/>
        <v>0.12465373961218837</v>
      </c>
      <c r="P642" s="22">
        <f t="shared" si="116"/>
        <v>8.1717451523545703E-2</v>
      </c>
      <c r="Q642" t="str">
        <f t="shared" si="117"/>
        <v/>
      </c>
      <c r="S642">
        <f t="shared" si="118"/>
        <v>88.000935799999993</v>
      </c>
      <c r="T642" s="23">
        <f t="shared" si="119"/>
        <v>8.2653251523545704E-2</v>
      </c>
    </row>
    <row r="643" spans="1:20" ht="15" customHeight="1" x14ac:dyDescent="0.35">
      <c r="A643" t="str">
        <f>Benchmarking!A643</f>
        <v>Clever Leaves Holdings Inc</v>
      </c>
      <c r="B643" t="str">
        <f>Benchmarking!B643</f>
        <v>clvr</v>
      </c>
      <c r="C643" t="str">
        <f>Benchmarking!C643</f>
        <v>Pharmaceuticals</v>
      </c>
      <c r="D643" s="17">
        <f>Benchmarking!D643</f>
        <v>225</v>
      </c>
      <c r="E643" s="17">
        <f>Benchmarking!E643</f>
        <v>243</v>
      </c>
      <c r="F643" s="17">
        <f>Benchmarking!F643</f>
        <v>205</v>
      </c>
      <c r="G643" s="17">
        <f>Benchmarking!G643</f>
        <v>673</v>
      </c>
      <c r="H643" t="str">
        <f t="shared" si="108"/>
        <v>Social</v>
      </c>
      <c r="I643" t="str">
        <f t="shared" si="109"/>
        <v>Governance</v>
      </c>
      <c r="J643" s="19">
        <f t="shared" si="110"/>
        <v>-18</v>
      </c>
      <c r="K643" s="19">
        <f t="shared" si="111"/>
        <v>38</v>
      </c>
      <c r="L643" s="19">
        <f t="shared" si="112"/>
        <v>20</v>
      </c>
      <c r="M643" s="17">
        <f t="shared" si="113"/>
        <v>38</v>
      </c>
      <c r="N643" s="22">
        <f t="shared" si="114"/>
        <v>0.13157894736842105</v>
      </c>
      <c r="O643" s="22">
        <f t="shared" si="115"/>
        <v>8.3102493074792241E-2</v>
      </c>
      <c r="P643" s="22">
        <f t="shared" si="116"/>
        <v>4.8476454293628804E-2</v>
      </c>
      <c r="Q643" t="str">
        <f t="shared" si="117"/>
        <v/>
      </c>
      <c r="S643">
        <f t="shared" si="118"/>
        <v>38.000935699999999</v>
      </c>
      <c r="T643" s="23">
        <f t="shared" si="119"/>
        <v>4.9412154293628802E-2</v>
      </c>
    </row>
    <row r="644" spans="1:20" ht="15" customHeight="1" x14ac:dyDescent="0.35">
      <c r="A644" t="str">
        <f>Benchmarking!A644</f>
        <v>Happiness Development Group Ltd</v>
      </c>
      <c r="B644" t="str">
        <f>Benchmarking!B644</f>
        <v>happ</v>
      </c>
      <c r="C644" t="str">
        <f>Benchmarking!C644</f>
        <v>Consumer products</v>
      </c>
      <c r="D644" s="17">
        <f>Benchmarking!D644</f>
        <v>225</v>
      </c>
      <c r="E644" s="17">
        <f>Benchmarking!E644</f>
        <v>207</v>
      </c>
      <c r="F644" s="17">
        <f>Benchmarking!F644</f>
        <v>300</v>
      </c>
      <c r="G644" s="17">
        <f>Benchmarking!G644</f>
        <v>732</v>
      </c>
      <c r="H644" t="str">
        <f t="shared" ref="H644:H707" si="120">IF(AND(D644&gt;=E644,D644&gt;=F644),"Environmental",IF(AND(E644&gt;=D644,E644&gt;=F644),"Social","Governance"))</f>
        <v>Governance</v>
      </c>
      <c r="I644" t="str">
        <f t="shared" ref="I644:I707" si="121">IF(AND(D644&lt;=E644,D644&lt;=F644),"Environmental",IF(AND(E644&lt;=D644,E644&lt;=F644),"Social","Governance"))</f>
        <v>Social</v>
      </c>
      <c r="J644" s="19">
        <f t="shared" ref="J644:J707" si="122">D644-E644</f>
        <v>18</v>
      </c>
      <c r="K644" s="19">
        <f t="shared" ref="K644:K707" si="123">E644-F644</f>
        <v>-93</v>
      </c>
      <c r="L644" s="19">
        <f t="shared" ref="L644:L707" si="124">D644-F644</f>
        <v>-75</v>
      </c>
      <c r="M644" s="17">
        <f t="shared" ref="M644:M707" si="125">MAX(D644:F644)-MIN(D644:F644)</f>
        <v>93</v>
      </c>
      <c r="N644" s="22">
        <f t="shared" ref="N644:N707" si="126">RANK(G644,$G$4:$G$725,1)/COUNT($G$4:$G$725)</f>
        <v>0.1994459833795014</v>
      </c>
      <c r="O644" s="22">
        <f t="shared" ref="O644:O707" si="127">MIN(RANK(D644,$D$4:$D$725,1)/COUNT($D$4:$D$725),RANK(E644,$E$4:$E$725,1)/COUNT($E$4:$E$725),RANK(F644,$F$4:$F$725,1)/COUNT($F$4:$F$725))</f>
        <v>9.0027700831024932E-2</v>
      </c>
      <c r="P644" s="22">
        <f t="shared" ref="P644:P707" si="128">N644-O644</f>
        <v>0.10941828254847646</v>
      </c>
      <c r="Q644" t="str">
        <f t="shared" ref="Q644:Q707" si="129">IF(AND(N644&gt;=0.7,P644&gt;=0.4),"High ESG / weak pillar (analytical flag - not an ESG rating) - warrants investigation","")</f>
        <v/>
      </c>
      <c r="S644">
        <f t="shared" ref="S644:S707" si="130">M644+(10000-ROW())/10000000</f>
        <v>93.000935600000005</v>
      </c>
      <c r="T644" s="23">
        <f t="shared" ref="T644:T707" si="131">P644+(10000-ROW())/10000000</f>
        <v>0.11035388254847646</v>
      </c>
    </row>
    <row r="645" spans="1:20" ht="15" customHeight="1" x14ac:dyDescent="0.35">
      <c r="A645" t="str">
        <f>Benchmarking!A645</f>
        <v>Home Bancorp Inc</v>
      </c>
      <c r="B645" t="str">
        <f>Benchmarking!B645</f>
        <v>hbcp</v>
      </c>
      <c r="C645" t="str">
        <f>Benchmarking!C645</f>
        <v>Financial Services</v>
      </c>
      <c r="D645" s="17">
        <f>Benchmarking!D645</f>
        <v>230</v>
      </c>
      <c r="E645" s="17">
        <f>Benchmarking!E645</f>
        <v>202</v>
      </c>
      <c r="F645" s="17">
        <f>Benchmarking!F645</f>
        <v>200</v>
      </c>
      <c r="G645" s="17">
        <f>Benchmarking!G645</f>
        <v>632</v>
      </c>
      <c r="H645" t="str">
        <f t="shared" si="120"/>
        <v>Environmental</v>
      </c>
      <c r="I645" t="str">
        <f t="shared" si="121"/>
        <v>Governance</v>
      </c>
      <c r="J645" s="19">
        <f t="shared" si="122"/>
        <v>28</v>
      </c>
      <c r="K645" s="19">
        <f t="shared" si="123"/>
        <v>2</v>
      </c>
      <c r="L645" s="19">
        <f t="shared" si="124"/>
        <v>30</v>
      </c>
      <c r="M645" s="17">
        <f t="shared" si="125"/>
        <v>30</v>
      </c>
      <c r="N645" s="22">
        <f t="shared" si="126"/>
        <v>6.2326869806094184E-2</v>
      </c>
      <c r="O645" s="22">
        <f t="shared" si="127"/>
        <v>2.7700831024930748E-3</v>
      </c>
      <c r="P645" s="22">
        <f t="shared" si="128"/>
        <v>5.9556786703601108E-2</v>
      </c>
      <c r="Q645" t="str">
        <f t="shared" si="129"/>
        <v/>
      </c>
      <c r="S645">
        <f t="shared" si="130"/>
        <v>30.000935500000001</v>
      </c>
      <c r="T645" s="23">
        <f t="shared" si="131"/>
        <v>6.0492286703601107E-2</v>
      </c>
    </row>
    <row r="646" spans="1:20" ht="15" customHeight="1" x14ac:dyDescent="0.35">
      <c r="A646" t="str">
        <f>Benchmarking!A646</f>
        <v>Harvard Bioscience Inc</v>
      </c>
      <c r="B646" t="str">
        <f>Benchmarking!B646</f>
        <v>hbio</v>
      </c>
      <c r="C646" t="str">
        <f>Benchmarking!C646</f>
        <v>Life Sciences Tools &amp; Services</v>
      </c>
      <c r="D646" s="17">
        <f>Benchmarking!D646</f>
        <v>250</v>
      </c>
      <c r="E646" s="17">
        <f>Benchmarking!E646</f>
        <v>221</v>
      </c>
      <c r="F646" s="17">
        <f>Benchmarking!F646</f>
        <v>300</v>
      </c>
      <c r="G646" s="17">
        <f>Benchmarking!G646</f>
        <v>771</v>
      </c>
      <c r="H646" t="str">
        <f t="shared" si="120"/>
        <v>Governance</v>
      </c>
      <c r="I646" t="str">
        <f t="shared" si="121"/>
        <v>Social</v>
      </c>
      <c r="J646" s="19">
        <f t="shared" si="122"/>
        <v>29</v>
      </c>
      <c r="K646" s="19">
        <f t="shared" si="123"/>
        <v>-79</v>
      </c>
      <c r="L646" s="19">
        <f t="shared" si="124"/>
        <v>-50</v>
      </c>
      <c r="M646" s="17">
        <f t="shared" si="125"/>
        <v>79</v>
      </c>
      <c r="N646" s="22">
        <f t="shared" si="126"/>
        <v>0.26731301939058172</v>
      </c>
      <c r="O646" s="22">
        <f t="shared" si="127"/>
        <v>0.1481994459833795</v>
      </c>
      <c r="P646" s="22">
        <f t="shared" si="128"/>
        <v>0.11911357340720222</v>
      </c>
      <c r="Q646" t="str">
        <f t="shared" si="129"/>
        <v/>
      </c>
      <c r="S646">
        <f t="shared" si="130"/>
        <v>79.000935400000003</v>
      </c>
      <c r="T646" s="23">
        <f t="shared" si="131"/>
        <v>0.12004897340720222</v>
      </c>
    </row>
    <row r="647" spans="1:20" ht="15" customHeight="1" x14ac:dyDescent="0.35">
      <c r="A647" t="str">
        <f>Benchmarking!A647</f>
        <v>Horizon Bancorp Inc</v>
      </c>
      <c r="B647" t="str">
        <f>Benchmarking!B647</f>
        <v>hbnc</v>
      </c>
      <c r="C647" t="str">
        <f>Benchmarking!C647</f>
        <v>Banking</v>
      </c>
      <c r="D647" s="17">
        <f>Benchmarking!D647</f>
        <v>255</v>
      </c>
      <c r="E647" s="17">
        <f>Benchmarking!E647</f>
        <v>321</v>
      </c>
      <c r="F647" s="17">
        <f>Benchmarking!F647</f>
        <v>233</v>
      </c>
      <c r="G647" s="17">
        <f>Benchmarking!G647</f>
        <v>809</v>
      </c>
      <c r="H647" t="str">
        <f t="shared" si="120"/>
        <v>Social</v>
      </c>
      <c r="I647" t="str">
        <f t="shared" si="121"/>
        <v>Governance</v>
      </c>
      <c r="J647" s="19">
        <f t="shared" si="122"/>
        <v>-66</v>
      </c>
      <c r="K647" s="19">
        <f t="shared" si="123"/>
        <v>88</v>
      </c>
      <c r="L647" s="19">
        <f t="shared" si="124"/>
        <v>22</v>
      </c>
      <c r="M647" s="17">
        <f t="shared" si="125"/>
        <v>88</v>
      </c>
      <c r="N647" s="22">
        <f t="shared" si="126"/>
        <v>0.29501385041551248</v>
      </c>
      <c r="O647" s="22">
        <f t="shared" si="127"/>
        <v>0.24238227146814403</v>
      </c>
      <c r="P647" s="22">
        <f t="shared" si="128"/>
        <v>5.2631578947368446E-2</v>
      </c>
      <c r="Q647" t="str">
        <f t="shared" si="129"/>
        <v/>
      </c>
      <c r="S647">
        <f t="shared" si="130"/>
        <v>88.000935299999995</v>
      </c>
      <c r="T647" s="23">
        <f t="shared" si="131"/>
        <v>5.3566878947368446E-2</v>
      </c>
    </row>
    <row r="648" spans="1:20" ht="15" customHeight="1" x14ac:dyDescent="0.35">
      <c r="A648" t="str">
        <f>Benchmarking!A648</f>
        <v>HBT Financial Inc</v>
      </c>
      <c r="B648" t="str">
        <f>Benchmarking!B648</f>
        <v>hbt</v>
      </c>
      <c r="C648" t="str">
        <f>Benchmarking!C648</f>
        <v>Banking</v>
      </c>
      <c r="D648" s="17">
        <f>Benchmarking!D648</f>
        <v>245</v>
      </c>
      <c r="E648" s="17">
        <f>Benchmarking!E648</f>
        <v>275</v>
      </c>
      <c r="F648" s="17">
        <f>Benchmarking!F648</f>
        <v>300</v>
      </c>
      <c r="G648" s="17">
        <f>Benchmarking!G648</f>
        <v>820</v>
      </c>
      <c r="H648" t="str">
        <f t="shared" si="120"/>
        <v>Governance</v>
      </c>
      <c r="I648" t="str">
        <f t="shared" si="121"/>
        <v>Environmental</v>
      </c>
      <c r="J648" s="19">
        <f t="shared" si="122"/>
        <v>-30</v>
      </c>
      <c r="K648" s="19">
        <f t="shared" si="123"/>
        <v>-25</v>
      </c>
      <c r="L648" s="19">
        <f t="shared" si="124"/>
        <v>-55</v>
      </c>
      <c r="M648" s="17">
        <f t="shared" si="125"/>
        <v>55</v>
      </c>
      <c r="N648" s="22">
        <f t="shared" si="126"/>
        <v>0.31024930747922436</v>
      </c>
      <c r="O648" s="22">
        <f t="shared" si="127"/>
        <v>0.25623268698060941</v>
      </c>
      <c r="P648" s="22">
        <f t="shared" si="128"/>
        <v>5.4016620498614942E-2</v>
      </c>
      <c r="Q648" t="str">
        <f t="shared" si="129"/>
        <v/>
      </c>
      <c r="S648">
        <f t="shared" si="130"/>
        <v>55.000935200000001</v>
      </c>
      <c r="T648" s="23">
        <f t="shared" si="131"/>
        <v>5.4951820498614939E-2</v>
      </c>
    </row>
    <row r="649" spans="1:20" ht="15" customHeight="1" x14ac:dyDescent="0.35">
      <c r="A649" t="str">
        <f>Benchmarking!A649</f>
        <v>Health Catalyst Inc</v>
      </c>
      <c r="B649" t="str">
        <f>Benchmarking!B649</f>
        <v>hcat</v>
      </c>
      <c r="C649" t="str">
        <f>Benchmarking!C649</f>
        <v>Health Care</v>
      </c>
      <c r="D649" s="17">
        <f>Benchmarking!D649</f>
        <v>545</v>
      </c>
      <c r="E649" s="17">
        <f>Benchmarking!E649</f>
        <v>324</v>
      </c>
      <c r="F649" s="17">
        <f>Benchmarking!F649</f>
        <v>320</v>
      </c>
      <c r="G649" s="17">
        <f>Benchmarking!G649</f>
        <v>1189</v>
      </c>
      <c r="H649" t="str">
        <f t="shared" si="120"/>
        <v>Environmental</v>
      </c>
      <c r="I649" t="str">
        <f t="shared" si="121"/>
        <v>Governance</v>
      </c>
      <c r="J649" s="19">
        <f t="shared" si="122"/>
        <v>221</v>
      </c>
      <c r="K649" s="19">
        <f t="shared" si="123"/>
        <v>4</v>
      </c>
      <c r="L649" s="19">
        <f t="shared" si="124"/>
        <v>225</v>
      </c>
      <c r="M649" s="17">
        <f t="shared" si="125"/>
        <v>225</v>
      </c>
      <c r="N649" s="22">
        <f t="shared" si="126"/>
        <v>0.87119113573407203</v>
      </c>
      <c r="O649" s="22">
        <f t="shared" si="127"/>
        <v>0.76038781163434899</v>
      </c>
      <c r="P649" s="22">
        <f t="shared" si="128"/>
        <v>0.11080332409972304</v>
      </c>
      <c r="Q649" t="str">
        <f t="shared" si="129"/>
        <v/>
      </c>
      <c r="S649">
        <f t="shared" si="130"/>
        <v>225.00093509999999</v>
      </c>
      <c r="T649" s="23">
        <f t="shared" si="131"/>
        <v>0.11173842409972304</v>
      </c>
    </row>
    <row r="650" spans="1:20" ht="15" customHeight="1" x14ac:dyDescent="0.35">
      <c r="A650" t="str">
        <f>Benchmarking!A650</f>
        <v>Healthcare Services Acquisition Corp</v>
      </c>
      <c r="B650" t="str">
        <f>Benchmarking!B650</f>
        <v>hcar</v>
      </c>
      <c r="C650" t="str">
        <f>Benchmarking!C650</f>
        <v>Unclassified</v>
      </c>
      <c r="D650" s="17">
        <f>Benchmarking!D650</f>
        <v>245</v>
      </c>
      <c r="E650" s="17">
        <f>Benchmarking!E650</f>
        <v>205</v>
      </c>
      <c r="F650" s="17">
        <f>Benchmarking!F650</f>
        <v>300</v>
      </c>
      <c r="G650" s="17">
        <f>Benchmarking!G650</f>
        <v>750</v>
      </c>
      <c r="H650" t="str">
        <f t="shared" si="120"/>
        <v>Governance</v>
      </c>
      <c r="I650" t="str">
        <f t="shared" si="121"/>
        <v>Social</v>
      </c>
      <c r="J650" s="19">
        <f t="shared" si="122"/>
        <v>40</v>
      </c>
      <c r="K650" s="19">
        <f t="shared" si="123"/>
        <v>-95</v>
      </c>
      <c r="L650" s="19">
        <f t="shared" si="124"/>
        <v>-55</v>
      </c>
      <c r="M650" s="17">
        <f t="shared" si="125"/>
        <v>95</v>
      </c>
      <c r="N650" s="22">
        <f t="shared" si="126"/>
        <v>0.23268698060941828</v>
      </c>
      <c r="O650" s="22">
        <f t="shared" si="127"/>
        <v>7.3407202216066489E-2</v>
      </c>
      <c r="P650" s="22">
        <f t="shared" si="128"/>
        <v>0.15927977839335178</v>
      </c>
      <c r="Q650" t="str">
        <f t="shared" si="129"/>
        <v/>
      </c>
      <c r="S650">
        <f t="shared" si="130"/>
        <v>95.000934999999998</v>
      </c>
      <c r="T650" s="23">
        <f t="shared" si="131"/>
        <v>0.16021477839335177</v>
      </c>
    </row>
    <row r="651" spans="1:20" ht="15" customHeight="1" x14ac:dyDescent="0.35">
      <c r="A651" t="str">
        <f>Benchmarking!A651</f>
        <v>Harpoon Therapeutics Inc</v>
      </c>
      <c r="B651" t="str">
        <f>Benchmarking!B651</f>
        <v>harp</v>
      </c>
      <c r="C651" t="str">
        <f>Benchmarking!C651</f>
        <v>Biotechnology</v>
      </c>
      <c r="D651" s="17">
        <f>Benchmarking!D651</f>
        <v>485</v>
      </c>
      <c r="E651" s="17">
        <f>Benchmarking!E651</f>
        <v>300</v>
      </c>
      <c r="F651" s="17">
        <f>Benchmarking!F651</f>
        <v>310</v>
      </c>
      <c r="G651" s="17">
        <f>Benchmarking!G651</f>
        <v>1095</v>
      </c>
      <c r="H651" t="str">
        <f t="shared" si="120"/>
        <v>Environmental</v>
      </c>
      <c r="I651" t="str">
        <f t="shared" si="121"/>
        <v>Social</v>
      </c>
      <c r="J651" s="19">
        <f t="shared" si="122"/>
        <v>185</v>
      </c>
      <c r="K651" s="19">
        <f t="shared" si="123"/>
        <v>-10</v>
      </c>
      <c r="L651" s="19">
        <f t="shared" si="124"/>
        <v>175</v>
      </c>
      <c r="M651" s="17">
        <f t="shared" si="125"/>
        <v>185</v>
      </c>
      <c r="N651" s="22">
        <f t="shared" si="126"/>
        <v>0.56371191135734067</v>
      </c>
      <c r="O651" s="22">
        <f t="shared" si="127"/>
        <v>0.36565096952908588</v>
      </c>
      <c r="P651" s="22">
        <f t="shared" si="128"/>
        <v>0.19806094182825479</v>
      </c>
      <c r="Q651" t="str">
        <f t="shared" si="129"/>
        <v/>
      </c>
      <c r="S651">
        <f t="shared" si="130"/>
        <v>185.0009349</v>
      </c>
      <c r="T651" s="23">
        <f t="shared" si="131"/>
        <v>0.19899584182825478</v>
      </c>
    </row>
    <row r="652" spans="1:20" ht="15" customHeight="1" x14ac:dyDescent="0.35">
      <c r="A652" t="str">
        <f>Benchmarking!A652</f>
        <v>Haynes International Inc</v>
      </c>
      <c r="B652" t="str">
        <f>Benchmarking!B652</f>
        <v>hayn</v>
      </c>
      <c r="C652" t="str">
        <f>Benchmarking!C652</f>
        <v>Metals &amp; Mining</v>
      </c>
      <c r="D652" s="17">
        <f>Benchmarking!D652</f>
        <v>500</v>
      </c>
      <c r="E652" s="17">
        <f>Benchmarking!E652</f>
        <v>301</v>
      </c>
      <c r="F652" s="17">
        <f>Benchmarking!F652</f>
        <v>300</v>
      </c>
      <c r="G652" s="17">
        <f>Benchmarking!G652</f>
        <v>1101</v>
      </c>
      <c r="H652" t="str">
        <f t="shared" si="120"/>
        <v>Environmental</v>
      </c>
      <c r="I652" t="str">
        <f t="shared" si="121"/>
        <v>Governance</v>
      </c>
      <c r="J652" s="19">
        <f t="shared" si="122"/>
        <v>199</v>
      </c>
      <c r="K652" s="19">
        <f t="shared" si="123"/>
        <v>1</v>
      </c>
      <c r="L652" s="19">
        <f t="shared" si="124"/>
        <v>200</v>
      </c>
      <c r="M652" s="17">
        <f t="shared" si="125"/>
        <v>200</v>
      </c>
      <c r="N652" s="22">
        <f t="shared" si="126"/>
        <v>0.61080332409972304</v>
      </c>
      <c r="O652" s="22">
        <f t="shared" si="127"/>
        <v>0.39335180055401664</v>
      </c>
      <c r="P652" s="22">
        <f t="shared" si="128"/>
        <v>0.2174515235457064</v>
      </c>
      <c r="Q652" t="str">
        <f t="shared" si="129"/>
        <v/>
      </c>
      <c r="S652">
        <f t="shared" si="130"/>
        <v>200.00093480000001</v>
      </c>
      <c r="T652" s="23">
        <f t="shared" si="131"/>
        <v>0.21838632354570642</v>
      </c>
    </row>
    <row r="653" spans="1:20" ht="15" customHeight="1" x14ac:dyDescent="0.35">
      <c r="A653" t="str">
        <f>Benchmarking!A653</f>
        <v>Patriot National Bancorp Inc</v>
      </c>
      <c r="B653" t="str">
        <f>Benchmarking!B653</f>
        <v>pnbk</v>
      </c>
      <c r="C653" t="str">
        <f>Benchmarking!C653</f>
        <v>Banking</v>
      </c>
      <c r="D653" s="17">
        <f>Benchmarking!D653</f>
        <v>205</v>
      </c>
      <c r="E653" s="17">
        <f>Benchmarking!E653</f>
        <v>302</v>
      </c>
      <c r="F653" s="17">
        <f>Benchmarking!F653</f>
        <v>210</v>
      </c>
      <c r="G653" s="17">
        <f>Benchmarking!G653</f>
        <v>717</v>
      </c>
      <c r="H653" t="str">
        <f t="shared" si="120"/>
        <v>Social</v>
      </c>
      <c r="I653" t="str">
        <f t="shared" si="121"/>
        <v>Environmental</v>
      </c>
      <c r="J653" s="19">
        <f t="shared" si="122"/>
        <v>-97</v>
      </c>
      <c r="K653" s="19">
        <f t="shared" si="123"/>
        <v>92</v>
      </c>
      <c r="L653" s="19">
        <f t="shared" si="124"/>
        <v>-5</v>
      </c>
      <c r="M653" s="17">
        <f t="shared" si="125"/>
        <v>97</v>
      </c>
      <c r="N653" s="22">
        <f t="shared" si="126"/>
        <v>0.18421052631578946</v>
      </c>
      <c r="O653" s="22">
        <f t="shared" si="127"/>
        <v>5.6786703601108032E-2</v>
      </c>
      <c r="P653" s="22">
        <f t="shared" si="128"/>
        <v>0.12742382271468145</v>
      </c>
      <c r="Q653" t="str">
        <f t="shared" si="129"/>
        <v/>
      </c>
      <c r="S653">
        <f t="shared" si="130"/>
        <v>97.000934700000002</v>
      </c>
      <c r="T653" s="23">
        <f t="shared" si="131"/>
        <v>0.12835852271468146</v>
      </c>
    </row>
    <row r="654" spans="1:20" ht="15" customHeight="1" x14ac:dyDescent="0.35">
      <c r="A654" t="str">
        <f>Benchmarking!A654</f>
        <v>Harbor Custom Development Inc</v>
      </c>
      <c r="B654" t="str">
        <f>Benchmarking!B654</f>
        <v>hcdi</v>
      </c>
      <c r="C654" t="str">
        <f>Benchmarking!C654</f>
        <v>Consumer products</v>
      </c>
      <c r="D654" s="17">
        <f>Benchmarking!D654</f>
        <v>222</v>
      </c>
      <c r="E654" s="17">
        <f>Benchmarking!E654</f>
        <v>221</v>
      </c>
      <c r="F654" s="17">
        <f>Benchmarking!F654</f>
        <v>208</v>
      </c>
      <c r="G654" s="17">
        <f>Benchmarking!G654</f>
        <v>651</v>
      </c>
      <c r="H654" t="str">
        <f t="shared" si="120"/>
        <v>Environmental</v>
      </c>
      <c r="I654" t="str">
        <f t="shared" si="121"/>
        <v>Governance</v>
      </c>
      <c r="J654" s="19">
        <f t="shared" si="122"/>
        <v>1</v>
      </c>
      <c r="K654" s="19">
        <f t="shared" si="123"/>
        <v>13</v>
      </c>
      <c r="L654" s="19">
        <f t="shared" si="124"/>
        <v>14</v>
      </c>
      <c r="M654" s="17">
        <f t="shared" si="125"/>
        <v>14</v>
      </c>
      <c r="N654" s="22">
        <f t="shared" si="126"/>
        <v>9.4182825484764546E-2</v>
      </c>
      <c r="O654" s="22">
        <f t="shared" si="127"/>
        <v>0.11772853185595568</v>
      </c>
      <c r="P654" s="22">
        <f t="shared" si="128"/>
        <v>-2.3545706371191133E-2</v>
      </c>
      <c r="Q654" t="str">
        <f t="shared" si="129"/>
        <v/>
      </c>
      <c r="S654">
        <f t="shared" si="130"/>
        <v>14.000934600000001</v>
      </c>
      <c r="T654" s="23">
        <f t="shared" si="131"/>
        <v>-2.2611106371191132E-2</v>
      </c>
    </row>
    <row r="655" spans="1:20" ht="15" customHeight="1" x14ac:dyDescent="0.35">
      <c r="A655" t="str">
        <f>Benchmarking!A655</f>
        <v>Heritage-Crystal Clean Inc</v>
      </c>
      <c r="B655" t="str">
        <f>Benchmarking!B655</f>
        <v>hcci</v>
      </c>
      <c r="C655" t="str">
        <f>Benchmarking!C655</f>
        <v>Commercial Services &amp; Supplies</v>
      </c>
      <c r="D655" s="17">
        <f>Benchmarking!D655</f>
        <v>525</v>
      </c>
      <c r="E655" s="17">
        <f>Benchmarking!E655</f>
        <v>400</v>
      </c>
      <c r="F655" s="17">
        <f>Benchmarking!F655</f>
        <v>300</v>
      </c>
      <c r="G655" s="17">
        <f>Benchmarking!G655</f>
        <v>1225</v>
      </c>
      <c r="H655" t="str">
        <f t="shared" si="120"/>
        <v>Environmental</v>
      </c>
      <c r="I655" t="str">
        <f t="shared" si="121"/>
        <v>Governance</v>
      </c>
      <c r="J655" s="19">
        <f t="shared" si="122"/>
        <v>125</v>
      </c>
      <c r="K655" s="19">
        <f t="shared" si="123"/>
        <v>100</v>
      </c>
      <c r="L655" s="19">
        <f t="shared" si="124"/>
        <v>225</v>
      </c>
      <c r="M655" s="17">
        <f t="shared" si="125"/>
        <v>225</v>
      </c>
      <c r="N655" s="22">
        <f t="shared" si="126"/>
        <v>0.91274238227146809</v>
      </c>
      <c r="O655" s="22">
        <f t="shared" si="127"/>
        <v>0.39335180055401664</v>
      </c>
      <c r="P655" s="22">
        <f t="shared" si="128"/>
        <v>0.51939058171745145</v>
      </c>
      <c r="Q655" t="str">
        <f t="shared" si="129"/>
        <v>High ESG / weak pillar (analytical flag - not an ESG rating) - warrants investigation</v>
      </c>
      <c r="S655">
        <f t="shared" si="130"/>
        <v>225.0009345</v>
      </c>
      <c r="T655" s="23">
        <f t="shared" si="131"/>
        <v>0.5203250817174514</v>
      </c>
    </row>
    <row r="656" spans="1:20" ht="15" customHeight="1" x14ac:dyDescent="0.35">
      <c r="A656" t="str">
        <f>Benchmarking!A656</f>
        <v>Pinnacle Financial Partners Inc</v>
      </c>
      <c r="B656" t="str">
        <f>Benchmarking!B656</f>
        <v>pnfp</v>
      </c>
      <c r="C656" t="str">
        <f>Benchmarking!C656</f>
        <v>Banking</v>
      </c>
      <c r="D656" s="17">
        <f>Benchmarking!D656</f>
        <v>271</v>
      </c>
      <c r="E656" s="17">
        <f>Benchmarking!E656</f>
        <v>328</v>
      </c>
      <c r="F656" s="17">
        <f>Benchmarking!F656</f>
        <v>250</v>
      </c>
      <c r="G656" s="17">
        <f>Benchmarking!G656</f>
        <v>849</v>
      </c>
      <c r="H656" t="str">
        <f t="shared" si="120"/>
        <v>Social</v>
      </c>
      <c r="I656" t="str">
        <f t="shared" si="121"/>
        <v>Governance</v>
      </c>
      <c r="J656" s="19">
        <f t="shared" si="122"/>
        <v>-57</v>
      </c>
      <c r="K656" s="19">
        <f t="shared" si="123"/>
        <v>78</v>
      </c>
      <c r="L656" s="19">
        <f t="shared" si="124"/>
        <v>21</v>
      </c>
      <c r="M656" s="17">
        <f t="shared" si="125"/>
        <v>78</v>
      </c>
      <c r="N656" s="22">
        <f t="shared" si="126"/>
        <v>0.33795013850415512</v>
      </c>
      <c r="O656" s="22">
        <f t="shared" si="127"/>
        <v>0.296398891966759</v>
      </c>
      <c r="P656" s="22">
        <f t="shared" si="128"/>
        <v>4.1551246537396114E-2</v>
      </c>
      <c r="Q656" t="str">
        <f t="shared" si="129"/>
        <v/>
      </c>
      <c r="S656">
        <f t="shared" si="130"/>
        <v>78.000934400000006</v>
      </c>
      <c r="T656" s="23">
        <f t="shared" si="131"/>
        <v>4.2485646537396116E-2</v>
      </c>
    </row>
    <row r="657" spans="1:20" ht="15" customHeight="1" x14ac:dyDescent="0.35">
      <c r="A657" t="str">
        <f>Benchmarking!A657</f>
        <v>POINT Biopharma Global Inc</v>
      </c>
      <c r="B657" t="str">
        <f>Benchmarking!B657</f>
        <v>pnt</v>
      </c>
      <c r="C657" t="str">
        <f>Benchmarking!C657</f>
        <v>Biotechnology</v>
      </c>
      <c r="D657" s="17">
        <f>Benchmarking!D657</f>
        <v>320</v>
      </c>
      <c r="E657" s="17">
        <f>Benchmarking!E657</f>
        <v>221</v>
      </c>
      <c r="F657" s="17">
        <f>Benchmarking!F657</f>
        <v>285</v>
      </c>
      <c r="G657" s="17">
        <f>Benchmarking!G657</f>
        <v>826</v>
      </c>
      <c r="H657" t="str">
        <f t="shared" si="120"/>
        <v>Environmental</v>
      </c>
      <c r="I657" t="str">
        <f t="shared" si="121"/>
        <v>Social</v>
      </c>
      <c r="J657" s="19">
        <f t="shared" si="122"/>
        <v>99</v>
      </c>
      <c r="K657" s="19">
        <f t="shared" si="123"/>
        <v>-64</v>
      </c>
      <c r="L657" s="19">
        <f t="shared" si="124"/>
        <v>35</v>
      </c>
      <c r="M657" s="17">
        <f t="shared" si="125"/>
        <v>99</v>
      </c>
      <c r="N657" s="22">
        <f t="shared" si="126"/>
        <v>0.31717451523545709</v>
      </c>
      <c r="O657" s="22">
        <f t="shared" si="127"/>
        <v>0.1481994459833795</v>
      </c>
      <c r="P657" s="22">
        <f t="shared" si="128"/>
        <v>0.16897506925207759</v>
      </c>
      <c r="Q657" t="str">
        <f t="shared" si="129"/>
        <v/>
      </c>
      <c r="S657">
        <f t="shared" si="130"/>
        <v>99.000934299999997</v>
      </c>
      <c r="T657" s="23">
        <f t="shared" si="131"/>
        <v>0.16990936925207759</v>
      </c>
    </row>
    <row r="658" spans="1:20" ht="15" customHeight="1" x14ac:dyDescent="0.35">
      <c r="A658" t="str">
        <f>Benchmarking!A658</f>
        <v>Predictive Oncology Inc</v>
      </c>
      <c r="B658" t="str">
        <f>Benchmarking!B658</f>
        <v>poai</v>
      </c>
      <c r="C658" t="str">
        <f>Benchmarking!C658</f>
        <v>Health Care</v>
      </c>
      <c r="D658" s="17">
        <f>Benchmarking!D658</f>
        <v>278</v>
      </c>
      <c r="E658" s="17">
        <f>Benchmarking!E658</f>
        <v>297</v>
      </c>
      <c r="F658" s="17">
        <f>Benchmarking!F658</f>
        <v>220</v>
      </c>
      <c r="G658" s="17">
        <f>Benchmarking!G658</f>
        <v>795</v>
      </c>
      <c r="H658" t="str">
        <f t="shared" si="120"/>
        <v>Social</v>
      </c>
      <c r="I658" t="str">
        <f t="shared" si="121"/>
        <v>Governance</v>
      </c>
      <c r="J658" s="19">
        <f t="shared" si="122"/>
        <v>-19</v>
      </c>
      <c r="K658" s="19">
        <f t="shared" si="123"/>
        <v>77</v>
      </c>
      <c r="L658" s="19">
        <f t="shared" si="124"/>
        <v>58</v>
      </c>
      <c r="M658" s="17">
        <f t="shared" si="125"/>
        <v>77</v>
      </c>
      <c r="N658" s="22">
        <f t="shared" si="126"/>
        <v>0.28393351800554018</v>
      </c>
      <c r="O658" s="22">
        <f t="shared" si="127"/>
        <v>0.19113573407202217</v>
      </c>
      <c r="P658" s="22">
        <f t="shared" si="128"/>
        <v>9.2797783933518008E-2</v>
      </c>
      <c r="Q658" t="str">
        <f t="shared" si="129"/>
        <v/>
      </c>
      <c r="S658">
        <f t="shared" si="130"/>
        <v>77.000934200000003</v>
      </c>
      <c r="T658" s="23">
        <f t="shared" si="131"/>
        <v>9.3731983933518004E-2</v>
      </c>
    </row>
    <row r="659" spans="1:20" ht="15" customHeight="1" x14ac:dyDescent="0.35">
      <c r="A659" t="str">
        <f>Benchmarking!A659</f>
        <v>Polar Power Inc</v>
      </c>
      <c r="B659" t="str">
        <f>Benchmarking!B659</f>
        <v>pola</v>
      </c>
      <c r="C659" t="str">
        <f>Benchmarking!C659</f>
        <v>Electrical Equipment</v>
      </c>
      <c r="D659" s="17">
        <f>Benchmarking!D659</f>
        <v>200</v>
      </c>
      <c r="E659" s="17">
        <f>Benchmarking!E659</f>
        <v>200</v>
      </c>
      <c r="F659" s="17">
        <f>Benchmarking!F659</f>
        <v>200</v>
      </c>
      <c r="G659" s="17">
        <f>Benchmarking!G659</f>
        <v>600</v>
      </c>
      <c r="H659" t="str">
        <f t="shared" si="120"/>
        <v>Environmental</v>
      </c>
      <c r="I659" t="str">
        <f t="shared" si="121"/>
        <v>Environmental</v>
      </c>
      <c r="J659" s="19">
        <f t="shared" si="122"/>
        <v>0</v>
      </c>
      <c r="K659" s="19">
        <f t="shared" si="123"/>
        <v>0</v>
      </c>
      <c r="L659" s="19">
        <f t="shared" si="124"/>
        <v>0</v>
      </c>
      <c r="M659" s="17">
        <f t="shared" si="125"/>
        <v>0</v>
      </c>
      <c r="N659" s="22">
        <f t="shared" si="126"/>
        <v>1.3850415512465374E-3</v>
      </c>
      <c r="O659" s="22">
        <f t="shared" si="127"/>
        <v>1.3850415512465374E-3</v>
      </c>
      <c r="P659" s="22">
        <f t="shared" si="128"/>
        <v>0</v>
      </c>
      <c r="Q659" t="str">
        <f t="shared" si="129"/>
        <v/>
      </c>
      <c r="S659">
        <f t="shared" si="130"/>
        <v>9.3409999999999999E-4</v>
      </c>
      <c r="T659" s="23">
        <f t="shared" si="131"/>
        <v>9.3409999999999999E-4</v>
      </c>
    </row>
    <row r="660" spans="1:20" ht="15" customHeight="1" x14ac:dyDescent="0.35">
      <c r="A660" t="str">
        <f>Benchmarking!A660</f>
        <v>Insulet Corp</v>
      </c>
      <c r="B660" t="str">
        <f>Benchmarking!B660</f>
        <v>podd</v>
      </c>
      <c r="C660" t="str">
        <f>Benchmarking!C660</f>
        <v>Health Care</v>
      </c>
      <c r="D660" s="17">
        <f>Benchmarking!D660</f>
        <v>215</v>
      </c>
      <c r="E660" s="17">
        <f>Benchmarking!E660</f>
        <v>233</v>
      </c>
      <c r="F660" s="17">
        <f>Benchmarking!F660</f>
        <v>205</v>
      </c>
      <c r="G660" s="17">
        <f>Benchmarking!G660</f>
        <v>653</v>
      </c>
      <c r="H660" t="str">
        <f t="shared" si="120"/>
        <v>Social</v>
      </c>
      <c r="I660" t="str">
        <f t="shared" si="121"/>
        <v>Governance</v>
      </c>
      <c r="J660" s="19">
        <f t="shared" si="122"/>
        <v>-18</v>
      </c>
      <c r="K660" s="19">
        <f t="shared" si="123"/>
        <v>28</v>
      </c>
      <c r="L660" s="19">
        <f t="shared" si="124"/>
        <v>10</v>
      </c>
      <c r="M660" s="17">
        <f t="shared" si="125"/>
        <v>28</v>
      </c>
      <c r="N660" s="22">
        <f t="shared" si="126"/>
        <v>9.9722991689750698E-2</v>
      </c>
      <c r="O660" s="22">
        <f t="shared" si="127"/>
        <v>8.3102493074792241E-2</v>
      </c>
      <c r="P660" s="22">
        <f t="shared" si="128"/>
        <v>1.6620498614958457E-2</v>
      </c>
      <c r="Q660" t="str">
        <f t="shared" si="129"/>
        <v/>
      </c>
      <c r="S660">
        <f t="shared" si="130"/>
        <v>28.000934000000001</v>
      </c>
      <c r="T660" s="23">
        <f t="shared" si="131"/>
        <v>1.7554498614958457E-2</v>
      </c>
    </row>
    <row r="661" spans="1:20" ht="15" customHeight="1" x14ac:dyDescent="0.35">
      <c r="A661" t="str">
        <f>Benchmarking!A661</f>
        <v>Power Integrations Inc</v>
      </c>
      <c r="B661" t="str">
        <f>Benchmarking!B661</f>
        <v>powi</v>
      </c>
      <c r="C661" t="str">
        <f>Benchmarking!C661</f>
        <v>Semiconductors</v>
      </c>
      <c r="D661" s="17">
        <f>Benchmarking!D661</f>
        <v>575</v>
      </c>
      <c r="E661" s="17">
        <f>Benchmarking!E661</f>
        <v>285</v>
      </c>
      <c r="F661" s="17">
        <f>Benchmarking!F661</f>
        <v>305</v>
      </c>
      <c r="G661" s="17">
        <f>Benchmarking!G661</f>
        <v>1165</v>
      </c>
      <c r="H661" t="str">
        <f t="shared" si="120"/>
        <v>Environmental</v>
      </c>
      <c r="I661" t="str">
        <f t="shared" si="121"/>
        <v>Social</v>
      </c>
      <c r="J661" s="19">
        <f t="shared" si="122"/>
        <v>290</v>
      </c>
      <c r="K661" s="19">
        <f t="shared" si="123"/>
        <v>-20</v>
      </c>
      <c r="L661" s="19">
        <f t="shared" si="124"/>
        <v>270</v>
      </c>
      <c r="M661" s="17">
        <f t="shared" si="125"/>
        <v>290</v>
      </c>
      <c r="N661" s="22">
        <f t="shared" si="126"/>
        <v>0.81163434903047094</v>
      </c>
      <c r="O661" s="22">
        <f t="shared" si="127"/>
        <v>0.33795013850415512</v>
      </c>
      <c r="P661" s="22">
        <f t="shared" si="128"/>
        <v>0.47368421052631582</v>
      </c>
      <c r="Q661" t="str">
        <f t="shared" si="129"/>
        <v>High ESG / weak pillar (analytical flag - not an ESG rating) - warrants investigation</v>
      </c>
      <c r="S661">
        <f t="shared" si="130"/>
        <v>290.00093390000001</v>
      </c>
      <c r="T661" s="23">
        <f t="shared" si="131"/>
        <v>0.47461811052631581</v>
      </c>
    </row>
    <row r="662" spans="1:20" ht="15" customHeight="1" x14ac:dyDescent="0.35">
      <c r="A662" t="str">
        <f>Benchmarking!A662</f>
        <v>Ammo Inc</v>
      </c>
      <c r="B662" t="str">
        <f>Benchmarking!B662</f>
        <v>poww</v>
      </c>
      <c r="C662" t="str">
        <f>Benchmarking!C662</f>
        <v>Leisure Products</v>
      </c>
      <c r="D662" s="17">
        <f>Benchmarking!D662</f>
        <v>233</v>
      </c>
      <c r="E662" s="17">
        <f>Benchmarking!E662</f>
        <v>224</v>
      </c>
      <c r="F662" s="17">
        <f>Benchmarking!F662</f>
        <v>200</v>
      </c>
      <c r="G662" s="17">
        <f>Benchmarking!G662</f>
        <v>657</v>
      </c>
      <c r="H662" t="str">
        <f t="shared" si="120"/>
        <v>Environmental</v>
      </c>
      <c r="I662" t="str">
        <f t="shared" si="121"/>
        <v>Governance</v>
      </c>
      <c r="J662" s="19">
        <f t="shared" si="122"/>
        <v>9</v>
      </c>
      <c r="K662" s="19">
        <f t="shared" si="123"/>
        <v>24</v>
      </c>
      <c r="L662" s="19">
        <f t="shared" si="124"/>
        <v>33</v>
      </c>
      <c r="M662" s="17">
        <f t="shared" si="125"/>
        <v>33</v>
      </c>
      <c r="N662" s="22">
        <f t="shared" si="126"/>
        <v>0.11080332409972299</v>
      </c>
      <c r="O662" s="22">
        <f t="shared" si="127"/>
        <v>2.7700831024930748E-3</v>
      </c>
      <c r="P662" s="22">
        <f t="shared" si="128"/>
        <v>0.10803324099722991</v>
      </c>
      <c r="Q662" t="str">
        <f t="shared" si="129"/>
        <v/>
      </c>
      <c r="S662">
        <f t="shared" si="130"/>
        <v>33.000933799999999</v>
      </c>
      <c r="T662" s="23">
        <f t="shared" si="131"/>
        <v>0.10896704099722991</v>
      </c>
    </row>
    <row r="663" spans="1:20" ht="15" customHeight="1" x14ac:dyDescent="0.35">
      <c r="A663" t="str">
        <f>Benchmarking!A663</f>
        <v>Primeenergy Resources Corp</v>
      </c>
      <c r="B663" t="str">
        <f>Benchmarking!B663</f>
        <v>pnrg</v>
      </c>
      <c r="C663" t="str">
        <f>Benchmarking!C663</f>
        <v>Energy</v>
      </c>
      <c r="D663" s="17">
        <f>Benchmarking!D663</f>
        <v>200</v>
      </c>
      <c r="E663" s="17">
        <f>Benchmarking!E663</f>
        <v>200</v>
      </c>
      <c r="F663" s="17">
        <f>Benchmarking!F663</f>
        <v>260</v>
      </c>
      <c r="G663" s="17">
        <f>Benchmarking!G663</f>
        <v>660</v>
      </c>
      <c r="H663" t="str">
        <f t="shared" si="120"/>
        <v>Governance</v>
      </c>
      <c r="I663" t="str">
        <f t="shared" si="121"/>
        <v>Environmental</v>
      </c>
      <c r="J663" s="19">
        <f t="shared" si="122"/>
        <v>0</v>
      </c>
      <c r="K663" s="19">
        <f t="shared" si="123"/>
        <v>-60</v>
      </c>
      <c r="L663" s="19">
        <f t="shared" si="124"/>
        <v>-60</v>
      </c>
      <c r="M663" s="17">
        <f t="shared" si="125"/>
        <v>60</v>
      </c>
      <c r="N663" s="22">
        <f t="shared" si="126"/>
        <v>0.11911357340720222</v>
      </c>
      <c r="O663" s="22">
        <f t="shared" si="127"/>
        <v>1.3850415512465374E-3</v>
      </c>
      <c r="P663" s="22">
        <f t="shared" si="128"/>
        <v>0.11772853185595568</v>
      </c>
      <c r="Q663" t="str">
        <f t="shared" si="129"/>
        <v/>
      </c>
      <c r="S663">
        <f t="shared" si="130"/>
        <v>60.000933699999997</v>
      </c>
      <c r="T663" s="23">
        <f t="shared" si="131"/>
        <v>0.11866223185595567</v>
      </c>
    </row>
    <row r="664" spans="1:20" ht="15" customHeight="1" x14ac:dyDescent="0.35">
      <c r="A664" t="str">
        <f>Benchmarking!A664</f>
        <v>Pennant Group Inc</v>
      </c>
      <c r="B664" t="str">
        <f>Benchmarking!B664</f>
        <v>pntg</v>
      </c>
      <c r="C664" t="str">
        <f>Benchmarking!C664</f>
        <v>Health Care</v>
      </c>
      <c r="D664" s="17">
        <f>Benchmarking!D664</f>
        <v>245</v>
      </c>
      <c r="E664" s="17">
        <f>Benchmarking!E664</f>
        <v>306</v>
      </c>
      <c r="F664" s="17">
        <f>Benchmarking!F664</f>
        <v>200</v>
      </c>
      <c r="G664" s="17">
        <f>Benchmarking!G664</f>
        <v>751</v>
      </c>
      <c r="H664" t="str">
        <f t="shared" si="120"/>
        <v>Social</v>
      </c>
      <c r="I664" t="str">
        <f t="shared" si="121"/>
        <v>Governance</v>
      </c>
      <c r="J664" s="19">
        <f t="shared" si="122"/>
        <v>-61</v>
      </c>
      <c r="K664" s="19">
        <f t="shared" si="123"/>
        <v>106</v>
      </c>
      <c r="L664" s="19">
        <f t="shared" si="124"/>
        <v>45</v>
      </c>
      <c r="M664" s="17">
        <f t="shared" si="125"/>
        <v>106</v>
      </c>
      <c r="N664" s="22">
        <f t="shared" si="126"/>
        <v>0.23407202216066483</v>
      </c>
      <c r="O664" s="22">
        <f t="shared" si="127"/>
        <v>2.7700831024930748E-3</v>
      </c>
      <c r="P664" s="22">
        <f t="shared" si="128"/>
        <v>0.23130193905817176</v>
      </c>
      <c r="Q664" t="str">
        <f t="shared" si="129"/>
        <v/>
      </c>
      <c r="S664">
        <f t="shared" si="130"/>
        <v>106.0009336</v>
      </c>
      <c r="T664" s="23">
        <f t="shared" si="131"/>
        <v>0.23223553905817176</v>
      </c>
    </row>
    <row r="665" spans="1:20" ht="15" customHeight="1" x14ac:dyDescent="0.35">
      <c r="A665" t="str">
        <f>Benchmarking!A665</f>
        <v>Pacific Premier Bancorp Inc</v>
      </c>
      <c r="B665" t="str">
        <f>Benchmarking!B665</f>
        <v>ppbi</v>
      </c>
      <c r="C665" t="str">
        <f>Benchmarking!C665</f>
        <v>Banking</v>
      </c>
      <c r="D665" s="17">
        <f>Benchmarking!D665</f>
        <v>565</v>
      </c>
      <c r="E665" s="17">
        <f>Benchmarking!E665</f>
        <v>328</v>
      </c>
      <c r="F665" s="17">
        <f>Benchmarking!F665</f>
        <v>315</v>
      </c>
      <c r="G665" s="17">
        <f>Benchmarking!G665</f>
        <v>1208</v>
      </c>
      <c r="H665" t="str">
        <f t="shared" si="120"/>
        <v>Environmental</v>
      </c>
      <c r="I665" t="str">
        <f t="shared" si="121"/>
        <v>Governance</v>
      </c>
      <c r="J665" s="19">
        <f t="shared" si="122"/>
        <v>237</v>
      </c>
      <c r="K665" s="19">
        <f t="shared" si="123"/>
        <v>13</v>
      </c>
      <c r="L665" s="19">
        <f t="shared" si="124"/>
        <v>250</v>
      </c>
      <c r="M665" s="17">
        <f t="shared" si="125"/>
        <v>250</v>
      </c>
      <c r="N665" s="22">
        <f t="shared" si="126"/>
        <v>0.90027700831024926</v>
      </c>
      <c r="O665" s="22">
        <f t="shared" si="127"/>
        <v>0.80609418282548473</v>
      </c>
      <c r="P665" s="22">
        <f t="shared" si="128"/>
        <v>9.4182825484764532E-2</v>
      </c>
      <c r="Q665" t="str">
        <f t="shared" si="129"/>
        <v/>
      </c>
      <c r="S665">
        <f t="shared" si="130"/>
        <v>250.0009335</v>
      </c>
      <c r="T665" s="23">
        <f t="shared" si="131"/>
        <v>9.5116325484764536E-2</v>
      </c>
    </row>
    <row r="666" spans="1:20" ht="15" customHeight="1" x14ac:dyDescent="0.35">
      <c r="A666" t="str">
        <f>Benchmarking!A666</f>
        <v>Perma-Pipe International Holdings Inc</v>
      </c>
      <c r="B666" t="str">
        <f>Benchmarking!B666</f>
        <v>ppih</v>
      </c>
      <c r="C666" t="str">
        <f>Benchmarking!C666</f>
        <v>Machinery</v>
      </c>
      <c r="D666" s="17">
        <f>Benchmarking!D666</f>
        <v>500</v>
      </c>
      <c r="E666" s="17">
        <f>Benchmarking!E666</f>
        <v>260</v>
      </c>
      <c r="F666" s="17">
        <f>Benchmarking!F666</f>
        <v>300</v>
      </c>
      <c r="G666" s="17">
        <f>Benchmarking!G666</f>
        <v>1060</v>
      </c>
      <c r="H666" t="str">
        <f t="shared" si="120"/>
        <v>Environmental</v>
      </c>
      <c r="I666" t="str">
        <f t="shared" si="121"/>
        <v>Social</v>
      </c>
      <c r="J666" s="19">
        <f t="shared" si="122"/>
        <v>240</v>
      </c>
      <c r="K666" s="19">
        <f t="shared" si="123"/>
        <v>-40</v>
      </c>
      <c r="L666" s="19">
        <f t="shared" si="124"/>
        <v>200</v>
      </c>
      <c r="M666" s="17">
        <f t="shared" si="125"/>
        <v>240</v>
      </c>
      <c r="N666" s="22">
        <f t="shared" si="126"/>
        <v>0.51523545706371188</v>
      </c>
      <c r="O666" s="22">
        <f t="shared" si="127"/>
        <v>0.28947368421052633</v>
      </c>
      <c r="P666" s="22">
        <f t="shared" si="128"/>
        <v>0.22576177285318555</v>
      </c>
      <c r="Q666" t="str">
        <f t="shared" si="129"/>
        <v/>
      </c>
      <c r="S666">
        <f t="shared" si="130"/>
        <v>240.00093340000001</v>
      </c>
      <c r="T666" s="23">
        <f t="shared" si="131"/>
        <v>0.22669517285318555</v>
      </c>
    </row>
    <row r="667" spans="1:20" ht="15" customHeight="1" x14ac:dyDescent="0.35">
      <c r="A667" t="str">
        <f>Benchmarking!A667</f>
        <v>Pilgrims Pride Corp</v>
      </c>
      <c r="B667" t="str">
        <f>Benchmarking!B667</f>
        <v>ppc</v>
      </c>
      <c r="C667" t="str">
        <f>Benchmarking!C667</f>
        <v>Food Products</v>
      </c>
      <c r="D667" s="17">
        <f>Benchmarking!D667</f>
        <v>500</v>
      </c>
      <c r="E667" s="17">
        <f>Benchmarking!E667</f>
        <v>302</v>
      </c>
      <c r="F667" s="17">
        <f>Benchmarking!F667</f>
        <v>220</v>
      </c>
      <c r="G667" s="17">
        <f>Benchmarking!G667</f>
        <v>1022</v>
      </c>
      <c r="H667" t="str">
        <f t="shared" si="120"/>
        <v>Environmental</v>
      </c>
      <c r="I667" t="str">
        <f t="shared" si="121"/>
        <v>Governance</v>
      </c>
      <c r="J667" s="19">
        <f t="shared" si="122"/>
        <v>198</v>
      </c>
      <c r="K667" s="19">
        <f t="shared" si="123"/>
        <v>82</v>
      </c>
      <c r="L667" s="19">
        <f t="shared" si="124"/>
        <v>280</v>
      </c>
      <c r="M667" s="17">
        <f t="shared" si="125"/>
        <v>280</v>
      </c>
      <c r="N667" s="22">
        <f t="shared" si="126"/>
        <v>0.48614958448753465</v>
      </c>
      <c r="O667" s="22">
        <f t="shared" si="127"/>
        <v>0.19113573407202217</v>
      </c>
      <c r="P667" s="22">
        <f t="shared" si="128"/>
        <v>0.29501385041551248</v>
      </c>
      <c r="Q667" t="str">
        <f t="shared" si="129"/>
        <v/>
      </c>
      <c r="S667">
        <f t="shared" si="130"/>
        <v>280.00093329999999</v>
      </c>
      <c r="T667" s="23">
        <f t="shared" si="131"/>
        <v>0.29594715041551251</v>
      </c>
    </row>
    <row r="668" spans="1:20" ht="15" customHeight="1" x14ac:dyDescent="0.35">
      <c r="A668" t="str">
        <f>Benchmarking!A668</f>
        <v>PRA Group Inc</v>
      </c>
      <c r="B668" t="str">
        <f>Benchmarking!B668</f>
        <v>praa</v>
      </c>
      <c r="C668" t="str">
        <f>Benchmarking!C668</f>
        <v>Financial Services</v>
      </c>
      <c r="D668" s="17">
        <f>Benchmarking!D668</f>
        <v>473</v>
      </c>
      <c r="E668" s="17">
        <f>Benchmarking!E668</f>
        <v>321</v>
      </c>
      <c r="F668" s="17">
        <f>Benchmarking!F668</f>
        <v>310</v>
      </c>
      <c r="G668" s="17">
        <f>Benchmarking!G668</f>
        <v>1104</v>
      </c>
      <c r="H668" t="str">
        <f t="shared" si="120"/>
        <v>Environmental</v>
      </c>
      <c r="I668" t="str">
        <f t="shared" si="121"/>
        <v>Governance</v>
      </c>
      <c r="J668" s="19">
        <f t="shared" si="122"/>
        <v>152</v>
      </c>
      <c r="K668" s="19">
        <f t="shared" si="123"/>
        <v>11</v>
      </c>
      <c r="L668" s="19">
        <f t="shared" si="124"/>
        <v>163</v>
      </c>
      <c r="M668" s="17">
        <f t="shared" si="125"/>
        <v>163</v>
      </c>
      <c r="N668" s="22">
        <f t="shared" si="126"/>
        <v>0.62188365650969524</v>
      </c>
      <c r="O668" s="22">
        <f t="shared" si="127"/>
        <v>0.49307479224376732</v>
      </c>
      <c r="P668" s="22">
        <f t="shared" si="128"/>
        <v>0.12880886426592791</v>
      </c>
      <c r="Q668" t="str">
        <f t="shared" si="129"/>
        <v/>
      </c>
      <c r="S668">
        <f t="shared" si="130"/>
        <v>163.00093319999999</v>
      </c>
      <c r="T668" s="23">
        <f t="shared" si="131"/>
        <v>0.12974206426592791</v>
      </c>
    </row>
    <row r="669" spans="1:20" ht="15" customHeight="1" x14ac:dyDescent="0.35">
      <c r="A669" t="str">
        <f>Benchmarking!A669</f>
        <v>Pioneer Power Solutions Inc</v>
      </c>
      <c r="B669" t="str">
        <f>Benchmarking!B669</f>
        <v>ppsi</v>
      </c>
      <c r="C669" t="str">
        <f>Benchmarking!C669</f>
        <v>Electrical Equipment</v>
      </c>
      <c r="D669" s="17">
        <f>Benchmarking!D669</f>
        <v>299</v>
      </c>
      <c r="E669" s="17">
        <f>Benchmarking!E669</f>
        <v>305</v>
      </c>
      <c r="F669" s="17">
        <f>Benchmarking!F669</f>
        <v>315</v>
      </c>
      <c r="G669" s="17">
        <f>Benchmarking!G669</f>
        <v>919</v>
      </c>
      <c r="H669" t="str">
        <f t="shared" si="120"/>
        <v>Governance</v>
      </c>
      <c r="I669" t="str">
        <f t="shared" si="121"/>
        <v>Environmental</v>
      </c>
      <c r="J669" s="19">
        <f t="shared" si="122"/>
        <v>-6</v>
      </c>
      <c r="K669" s="19">
        <f t="shared" si="123"/>
        <v>-10</v>
      </c>
      <c r="L669" s="19">
        <f t="shared" si="124"/>
        <v>-16</v>
      </c>
      <c r="M669" s="17">
        <f t="shared" si="125"/>
        <v>16</v>
      </c>
      <c r="N669" s="22">
        <f t="shared" si="126"/>
        <v>0.38919667590027701</v>
      </c>
      <c r="O669" s="22">
        <f t="shared" si="127"/>
        <v>0.35318559556786705</v>
      </c>
      <c r="P669" s="22">
        <f t="shared" si="128"/>
        <v>3.6011080332409962E-2</v>
      </c>
      <c r="Q669" t="str">
        <f t="shared" si="129"/>
        <v/>
      </c>
      <c r="S669">
        <f t="shared" si="130"/>
        <v>16.000933100000001</v>
      </c>
      <c r="T669" s="23">
        <f t="shared" si="131"/>
        <v>3.6944180332409961E-2</v>
      </c>
    </row>
    <row r="670" spans="1:20" ht="15" customHeight="1" x14ac:dyDescent="0.35">
      <c r="A670" t="str">
        <f>Benchmarking!A670</f>
        <v>Praxis Precision Medicines Inc</v>
      </c>
      <c r="B670" t="str">
        <f>Benchmarking!B670</f>
        <v>prax</v>
      </c>
      <c r="C670" t="str">
        <f>Benchmarking!C670</f>
        <v>Biotechnology</v>
      </c>
      <c r="D670" s="17">
        <f>Benchmarking!D670</f>
        <v>200</v>
      </c>
      <c r="E670" s="17">
        <f>Benchmarking!E670</f>
        <v>215</v>
      </c>
      <c r="F670" s="17">
        <f>Benchmarking!F670</f>
        <v>215</v>
      </c>
      <c r="G670" s="17">
        <f>Benchmarking!G670</f>
        <v>630</v>
      </c>
      <c r="H670" t="str">
        <f t="shared" si="120"/>
        <v>Social</v>
      </c>
      <c r="I670" t="str">
        <f t="shared" si="121"/>
        <v>Environmental</v>
      </c>
      <c r="J670" s="19">
        <f t="shared" si="122"/>
        <v>-15</v>
      </c>
      <c r="K670" s="19">
        <f t="shared" si="123"/>
        <v>0</v>
      </c>
      <c r="L670" s="19">
        <f t="shared" si="124"/>
        <v>-15</v>
      </c>
      <c r="M670" s="17">
        <f t="shared" si="125"/>
        <v>15</v>
      </c>
      <c r="N670" s="22">
        <f t="shared" si="126"/>
        <v>5.817174515235457E-2</v>
      </c>
      <c r="O670" s="22">
        <f t="shared" si="127"/>
        <v>1.3850415512465374E-3</v>
      </c>
      <c r="P670" s="22">
        <f t="shared" si="128"/>
        <v>5.6786703601108032E-2</v>
      </c>
      <c r="Q670" t="str">
        <f t="shared" si="129"/>
        <v/>
      </c>
      <c r="S670">
        <f t="shared" si="130"/>
        <v>15.000933</v>
      </c>
      <c r="T670" s="23">
        <f t="shared" si="131"/>
        <v>5.7719703601108036E-2</v>
      </c>
    </row>
    <row r="671" spans="1:20" ht="15" customHeight="1" x14ac:dyDescent="0.35">
      <c r="A671" t="str">
        <f>Benchmarking!A671</f>
        <v>Procept Biorobotics Corp</v>
      </c>
      <c r="B671" t="str">
        <f>Benchmarking!B671</f>
        <v>prct</v>
      </c>
      <c r="C671" t="str">
        <f>Benchmarking!C671</f>
        <v>Health Care</v>
      </c>
      <c r="D671" s="17">
        <f>Benchmarking!D671</f>
        <v>200</v>
      </c>
      <c r="E671" s="17">
        <f>Benchmarking!E671</f>
        <v>224</v>
      </c>
      <c r="F671" s="17">
        <f>Benchmarking!F671</f>
        <v>300</v>
      </c>
      <c r="G671" s="17">
        <f>Benchmarking!G671</f>
        <v>724</v>
      </c>
      <c r="H671" t="str">
        <f t="shared" si="120"/>
        <v>Governance</v>
      </c>
      <c r="I671" t="str">
        <f t="shared" si="121"/>
        <v>Environmental</v>
      </c>
      <c r="J671" s="19">
        <f t="shared" si="122"/>
        <v>-24</v>
      </c>
      <c r="K671" s="19">
        <f t="shared" si="123"/>
        <v>-76</v>
      </c>
      <c r="L671" s="19">
        <f t="shared" si="124"/>
        <v>-100</v>
      </c>
      <c r="M671" s="17">
        <f t="shared" si="125"/>
        <v>100</v>
      </c>
      <c r="N671" s="22">
        <f t="shared" si="126"/>
        <v>0.19113573407202217</v>
      </c>
      <c r="O671" s="22">
        <f t="shared" si="127"/>
        <v>1.3850415512465374E-3</v>
      </c>
      <c r="P671" s="22">
        <f t="shared" si="128"/>
        <v>0.18975069252077564</v>
      </c>
      <c r="Q671" t="str">
        <f t="shared" si="129"/>
        <v/>
      </c>
      <c r="S671">
        <f t="shared" si="130"/>
        <v>100.0009329</v>
      </c>
      <c r="T671" s="23">
        <f t="shared" si="131"/>
        <v>0.19068359252077563</v>
      </c>
    </row>
    <row r="672" spans="1:20" ht="15" customHeight="1" x14ac:dyDescent="0.35">
      <c r="A672" t="str">
        <f>Benchmarking!A672</f>
        <v>Porch Group Inc</v>
      </c>
      <c r="B672" t="str">
        <f>Benchmarking!B672</f>
        <v>prch</v>
      </c>
      <c r="C672" t="str">
        <f>Benchmarking!C672</f>
        <v>Retail</v>
      </c>
      <c r="D672" s="17">
        <f>Benchmarking!D672</f>
        <v>225</v>
      </c>
      <c r="E672" s="17">
        <f>Benchmarking!E672</f>
        <v>227</v>
      </c>
      <c r="F672" s="17">
        <f>Benchmarking!F672</f>
        <v>215</v>
      </c>
      <c r="G672" s="17">
        <f>Benchmarking!G672</f>
        <v>667</v>
      </c>
      <c r="H672" t="str">
        <f t="shared" si="120"/>
        <v>Social</v>
      </c>
      <c r="I672" t="str">
        <f t="shared" si="121"/>
        <v>Governance</v>
      </c>
      <c r="J672" s="19">
        <f t="shared" si="122"/>
        <v>-2</v>
      </c>
      <c r="K672" s="19">
        <f t="shared" si="123"/>
        <v>12</v>
      </c>
      <c r="L672" s="19">
        <f t="shared" si="124"/>
        <v>10</v>
      </c>
      <c r="M672" s="17">
        <f t="shared" si="125"/>
        <v>12</v>
      </c>
      <c r="N672" s="22">
        <f t="shared" si="126"/>
        <v>0.12465373961218837</v>
      </c>
      <c r="O672" s="22">
        <f t="shared" si="127"/>
        <v>0.15373961218836565</v>
      </c>
      <c r="P672" s="22">
        <f t="shared" si="128"/>
        <v>-2.9085872576177285E-2</v>
      </c>
      <c r="Q672" t="str">
        <f t="shared" si="129"/>
        <v/>
      </c>
      <c r="S672">
        <f t="shared" si="130"/>
        <v>12.000932799999999</v>
      </c>
      <c r="T672" s="23">
        <f t="shared" si="131"/>
        <v>-2.8153072576177284E-2</v>
      </c>
    </row>
    <row r="673" spans="1:20" ht="15" customHeight="1" x14ac:dyDescent="0.35">
      <c r="A673" t="str">
        <f>Benchmarking!A673</f>
        <v>Artisan Acquisition Corp</v>
      </c>
      <c r="B673" t="str">
        <f>Benchmarking!B673</f>
        <v>pre</v>
      </c>
      <c r="C673" t="str">
        <f>Benchmarking!C673</f>
        <v>Unclassified</v>
      </c>
      <c r="D673" s="17">
        <f>Benchmarking!D673</f>
        <v>245</v>
      </c>
      <c r="E673" s="17">
        <f>Benchmarking!E673</f>
        <v>203</v>
      </c>
      <c r="F673" s="17">
        <f>Benchmarking!F673</f>
        <v>265</v>
      </c>
      <c r="G673" s="17">
        <f>Benchmarking!G673</f>
        <v>713</v>
      </c>
      <c r="H673" t="str">
        <f t="shared" si="120"/>
        <v>Governance</v>
      </c>
      <c r="I673" t="str">
        <f t="shared" si="121"/>
        <v>Social</v>
      </c>
      <c r="J673" s="19">
        <f t="shared" si="122"/>
        <v>42</v>
      </c>
      <c r="K673" s="19">
        <f t="shared" si="123"/>
        <v>-62</v>
      </c>
      <c r="L673" s="19">
        <f t="shared" si="124"/>
        <v>-20</v>
      </c>
      <c r="M673" s="17">
        <f t="shared" si="125"/>
        <v>62</v>
      </c>
      <c r="N673" s="22">
        <f t="shared" si="126"/>
        <v>0.17867036011080331</v>
      </c>
      <c r="O673" s="22">
        <f t="shared" si="127"/>
        <v>5.1246537396121887E-2</v>
      </c>
      <c r="P673" s="22">
        <f t="shared" si="128"/>
        <v>0.12742382271468142</v>
      </c>
      <c r="Q673" t="str">
        <f t="shared" si="129"/>
        <v/>
      </c>
      <c r="S673">
        <f t="shared" si="130"/>
        <v>62.0009327</v>
      </c>
      <c r="T673" s="23">
        <f t="shared" si="131"/>
        <v>0.12835652271468143</v>
      </c>
    </row>
    <row r="674" spans="1:20" ht="15" customHeight="1" x14ac:dyDescent="0.35">
      <c r="A674" t="str">
        <f>Benchmarking!A674</f>
        <v>Perdoceo Education Corp</v>
      </c>
      <c r="B674" t="str">
        <f>Benchmarking!B674</f>
        <v>prdo</v>
      </c>
      <c r="C674" t="str">
        <f>Benchmarking!C674</f>
        <v>Diversified Consumer Services</v>
      </c>
      <c r="D674" s="17">
        <f>Benchmarking!D674</f>
        <v>365</v>
      </c>
      <c r="E674" s="17">
        <f>Benchmarking!E674</f>
        <v>297</v>
      </c>
      <c r="F674" s="17">
        <f>Benchmarking!F674</f>
        <v>250</v>
      </c>
      <c r="G674" s="17">
        <f>Benchmarking!G674</f>
        <v>912</v>
      </c>
      <c r="H674" t="str">
        <f t="shared" si="120"/>
        <v>Environmental</v>
      </c>
      <c r="I674" t="str">
        <f t="shared" si="121"/>
        <v>Governance</v>
      </c>
      <c r="J674" s="19">
        <f t="shared" si="122"/>
        <v>68</v>
      </c>
      <c r="K674" s="19">
        <f t="shared" si="123"/>
        <v>47</v>
      </c>
      <c r="L674" s="19">
        <f t="shared" si="124"/>
        <v>115</v>
      </c>
      <c r="M674" s="17">
        <f t="shared" si="125"/>
        <v>115</v>
      </c>
      <c r="N674" s="22">
        <f t="shared" si="126"/>
        <v>0.38365650969529086</v>
      </c>
      <c r="O674" s="22">
        <f t="shared" si="127"/>
        <v>0.296398891966759</v>
      </c>
      <c r="P674" s="22">
        <f t="shared" si="128"/>
        <v>8.7257617728531855E-2</v>
      </c>
      <c r="Q674" t="str">
        <f t="shared" si="129"/>
        <v/>
      </c>
      <c r="S674">
        <f t="shared" si="130"/>
        <v>115.0009326</v>
      </c>
      <c r="T674" s="23">
        <f t="shared" si="131"/>
        <v>8.8190217728531861E-2</v>
      </c>
    </row>
    <row r="675" spans="1:20" ht="15" customHeight="1" x14ac:dyDescent="0.35">
      <c r="A675" t="str">
        <f>Benchmarking!A675</f>
        <v>Shineco Inc</v>
      </c>
      <c r="B675" t="str">
        <f>Benchmarking!B675</f>
        <v>sisi</v>
      </c>
      <c r="C675" t="str">
        <f>Benchmarking!C675</f>
        <v>Consumer products</v>
      </c>
      <c r="D675" s="17">
        <f>Benchmarking!D675</f>
        <v>340</v>
      </c>
      <c r="E675" s="17">
        <f>Benchmarking!E675</f>
        <v>346</v>
      </c>
      <c r="F675" s="17">
        <f>Benchmarking!F675</f>
        <v>305</v>
      </c>
      <c r="G675" s="17">
        <f>Benchmarking!G675</f>
        <v>991</v>
      </c>
      <c r="H675" t="str">
        <f t="shared" si="120"/>
        <v>Social</v>
      </c>
      <c r="I675" t="str">
        <f t="shared" si="121"/>
        <v>Governance</v>
      </c>
      <c r="J675" s="19">
        <f t="shared" si="122"/>
        <v>-6</v>
      </c>
      <c r="K675" s="19">
        <f t="shared" si="123"/>
        <v>41</v>
      </c>
      <c r="L675" s="19">
        <f t="shared" si="124"/>
        <v>35</v>
      </c>
      <c r="M675" s="17">
        <f t="shared" si="125"/>
        <v>41</v>
      </c>
      <c r="N675" s="22">
        <f t="shared" si="126"/>
        <v>0.44875346260387811</v>
      </c>
      <c r="O675" s="22">
        <f t="shared" si="127"/>
        <v>0.39473684210526316</v>
      </c>
      <c r="P675" s="22">
        <f t="shared" si="128"/>
        <v>5.4016620498614942E-2</v>
      </c>
      <c r="Q675" t="str">
        <f t="shared" si="129"/>
        <v/>
      </c>
      <c r="S675">
        <f t="shared" si="130"/>
        <v>41.000932499999998</v>
      </c>
      <c r="T675" s="23">
        <f t="shared" si="131"/>
        <v>5.4949120498614945E-2</v>
      </c>
    </row>
    <row r="676" spans="1:20" ht="15" customHeight="1" x14ac:dyDescent="0.35">
      <c r="A676" t="str">
        <f>Benchmarking!A676</f>
        <v>SiTime Corp</v>
      </c>
      <c r="B676" t="str">
        <f>Benchmarking!B676</f>
        <v>sitm</v>
      </c>
      <c r="C676" t="str">
        <f>Benchmarking!C676</f>
        <v>Semiconductors</v>
      </c>
      <c r="D676" s="17">
        <f>Benchmarking!D676</f>
        <v>505</v>
      </c>
      <c r="E676" s="17">
        <f>Benchmarking!E676</f>
        <v>304</v>
      </c>
      <c r="F676" s="17">
        <f>Benchmarking!F676</f>
        <v>300</v>
      </c>
      <c r="G676" s="17">
        <f>Benchmarking!G676</f>
        <v>1109</v>
      </c>
      <c r="H676" t="str">
        <f t="shared" si="120"/>
        <v>Environmental</v>
      </c>
      <c r="I676" t="str">
        <f t="shared" si="121"/>
        <v>Governance</v>
      </c>
      <c r="J676" s="19">
        <f t="shared" si="122"/>
        <v>201</v>
      </c>
      <c r="K676" s="19">
        <f t="shared" si="123"/>
        <v>4</v>
      </c>
      <c r="L676" s="19">
        <f t="shared" si="124"/>
        <v>205</v>
      </c>
      <c r="M676" s="17">
        <f t="shared" si="125"/>
        <v>205</v>
      </c>
      <c r="N676" s="22">
        <f t="shared" si="126"/>
        <v>0.63296398891966754</v>
      </c>
      <c r="O676" s="22">
        <f t="shared" si="127"/>
        <v>0.39335180055401664</v>
      </c>
      <c r="P676" s="22">
        <f t="shared" si="128"/>
        <v>0.2396121883656509</v>
      </c>
      <c r="Q676" t="str">
        <f t="shared" si="129"/>
        <v/>
      </c>
      <c r="S676">
        <f t="shared" si="130"/>
        <v>205.00093240000001</v>
      </c>
      <c r="T676" s="23">
        <f t="shared" si="131"/>
        <v>0.2405445883656509</v>
      </c>
    </row>
    <row r="677" spans="1:20" ht="15" customHeight="1" x14ac:dyDescent="0.35">
      <c r="A677" t="str">
        <f>Benchmarking!A677</f>
        <v>Sirius XM Holdings Inc</v>
      </c>
      <c r="B677" t="str">
        <f>Benchmarking!B677</f>
        <v>siri</v>
      </c>
      <c r="C677" t="str">
        <f>Benchmarking!C677</f>
        <v>Media</v>
      </c>
      <c r="D677" s="17">
        <f>Benchmarking!D677</f>
        <v>240</v>
      </c>
      <c r="E677" s="17">
        <f>Benchmarking!E677</f>
        <v>302</v>
      </c>
      <c r="F677" s="17">
        <f>Benchmarking!F677</f>
        <v>205</v>
      </c>
      <c r="G677" s="17">
        <f>Benchmarking!G677</f>
        <v>747</v>
      </c>
      <c r="H677" t="str">
        <f t="shared" si="120"/>
        <v>Social</v>
      </c>
      <c r="I677" t="str">
        <f t="shared" si="121"/>
        <v>Governance</v>
      </c>
      <c r="J677" s="19">
        <f t="shared" si="122"/>
        <v>-62</v>
      </c>
      <c r="K677" s="19">
        <f t="shared" si="123"/>
        <v>97</v>
      </c>
      <c r="L677" s="19">
        <f t="shared" si="124"/>
        <v>35</v>
      </c>
      <c r="M677" s="17">
        <f t="shared" si="125"/>
        <v>97</v>
      </c>
      <c r="N677" s="22">
        <f t="shared" si="126"/>
        <v>0.22437673130193905</v>
      </c>
      <c r="O677" s="22">
        <f t="shared" si="127"/>
        <v>8.3102493074792241E-2</v>
      </c>
      <c r="P677" s="22">
        <f t="shared" si="128"/>
        <v>0.1412742382271468</v>
      </c>
      <c r="Q677" t="str">
        <f t="shared" si="129"/>
        <v/>
      </c>
      <c r="S677">
        <f t="shared" si="130"/>
        <v>97.000932300000002</v>
      </c>
      <c r="T677" s="23">
        <f t="shared" si="131"/>
        <v>0.14220653822714679</v>
      </c>
    </row>
    <row r="678" spans="1:20" ht="15" customHeight="1" x14ac:dyDescent="0.35">
      <c r="A678" t="str">
        <f>Benchmarking!A678</f>
        <v>Scienjoy Holding Corp</v>
      </c>
      <c r="B678" t="str">
        <f>Benchmarking!B678</f>
        <v>sj</v>
      </c>
      <c r="C678" t="str">
        <f>Benchmarking!C678</f>
        <v>Media</v>
      </c>
      <c r="D678" s="17">
        <f>Benchmarking!D678</f>
        <v>260</v>
      </c>
      <c r="E678" s="17">
        <f>Benchmarking!E678</f>
        <v>320</v>
      </c>
      <c r="F678" s="17">
        <f>Benchmarking!F678</f>
        <v>240</v>
      </c>
      <c r="G678" s="17">
        <f>Benchmarking!G678</f>
        <v>820</v>
      </c>
      <c r="H678" t="str">
        <f t="shared" si="120"/>
        <v>Social</v>
      </c>
      <c r="I678" t="str">
        <f t="shared" si="121"/>
        <v>Governance</v>
      </c>
      <c r="J678" s="19">
        <f t="shared" si="122"/>
        <v>-60</v>
      </c>
      <c r="K678" s="19">
        <f t="shared" si="123"/>
        <v>80</v>
      </c>
      <c r="L678" s="19">
        <f t="shared" si="124"/>
        <v>20</v>
      </c>
      <c r="M678" s="17">
        <f t="shared" si="125"/>
        <v>80</v>
      </c>
      <c r="N678" s="22">
        <f t="shared" si="126"/>
        <v>0.31024930747922436</v>
      </c>
      <c r="O678" s="22">
        <f t="shared" si="127"/>
        <v>0.2742382271468144</v>
      </c>
      <c r="P678" s="22">
        <f t="shared" si="128"/>
        <v>3.6011080332409962E-2</v>
      </c>
      <c r="Q678" t="str">
        <f t="shared" si="129"/>
        <v/>
      </c>
      <c r="S678">
        <f t="shared" si="130"/>
        <v>80.000932199999994</v>
      </c>
      <c r="T678" s="23">
        <f t="shared" si="131"/>
        <v>3.6943280332409963E-2</v>
      </c>
    </row>
    <row r="679" spans="1:20" ht="15" customHeight="1" x14ac:dyDescent="0.35">
      <c r="A679" t="str">
        <f>Benchmarking!A679</f>
        <v>Powered Brands</v>
      </c>
      <c r="B679" t="str">
        <f>Benchmarking!B679</f>
        <v>pow</v>
      </c>
      <c r="C679" t="str">
        <f>Benchmarking!C679</f>
        <v>Unclassified</v>
      </c>
      <c r="D679" s="17">
        <f>Benchmarking!D679</f>
        <v>235</v>
      </c>
      <c r="E679" s="17">
        <f>Benchmarking!E679</f>
        <v>231</v>
      </c>
      <c r="F679" s="17">
        <f>Benchmarking!F679</f>
        <v>250</v>
      </c>
      <c r="G679" s="17">
        <f>Benchmarking!G679</f>
        <v>716</v>
      </c>
      <c r="H679" t="str">
        <f t="shared" si="120"/>
        <v>Governance</v>
      </c>
      <c r="I679" t="str">
        <f t="shared" si="121"/>
        <v>Social</v>
      </c>
      <c r="J679" s="19">
        <f t="shared" si="122"/>
        <v>4</v>
      </c>
      <c r="K679" s="19">
        <f t="shared" si="123"/>
        <v>-19</v>
      </c>
      <c r="L679" s="19">
        <f t="shared" si="124"/>
        <v>-15</v>
      </c>
      <c r="M679" s="17">
        <f t="shared" si="125"/>
        <v>19</v>
      </c>
      <c r="N679" s="22">
        <f t="shared" si="126"/>
        <v>0.18144044321329639</v>
      </c>
      <c r="O679" s="22">
        <f t="shared" si="127"/>
        <v>0.19667590027700832</v>
      </c>
      <c r="P679" s="22">
        <f t="shared" si="128"/>
        <v>-1.5235457063711932E-2</v>
      </c>
      <c r="Q679" t="str">
        <f t="shared" si="129"/>
        <v/>
      </c>
      <c r="S679">
        <f t="shared" si="130"/>
        <v>19.0009321</v>
      </c>
      <c r="T679" s="23">
        <f t="shared" si="131"/>
        <v>-1.4303357063711932E-2</v>
      </c>
    </row>
    <row r="680" spans="1:20" ht="15" customHeight="1" x14ac:dyDescent="0.35">
      <c r="A680" t="str">
        <f>Benchmarking!A680</f>
        <v>Powell Industries Inc</v>
      </c>
      <c r="B680" t="str">
        <f>Benchmarking!B680</f>
        <v>powl</v>
      </c>
      <c r="C680" t="str">
        <f>Benchmarking!C680</f>
        <v>Electrical Equipment</v>
      </c>
      <c r="D680" s="17">
        <f>Benchmarking!D680</f>
        <v>500</v>
      </c>
      <c r="E680" s="17">
        <f>Benchmarking!E680</f>
        <v>240</v>
      </c>
      <c r="F680" s="17">
        <f>Benchmarking!F680</f>
        <v>215</v>
      </c>
      <c r="G680" s="17">
        <f>Benchmarking!G680</f>
        <v>955</v>
      </c>
      <c r="H680" t="str">
        <f t="shared" si="120"/>
        <v>Environmental</v>
      </c>
      <c r="I680" t="str">
        <f t="shared" si="121"/>
        <v>Governance</v>
      </c>
      <c r="J680" s="19">
        <f t="shared" si="122"/>
        <v>260</v>
      </c>
      <c r="K680" s="19">
        <f t="shared" si="123"/>
        <v>25</v>
      </c>
      <c r="L680" s="19">
        <f t="shared" si="124"/>
        <v>285</v>
      </c>
      <c r="M680" s="17">
        <f t="shared" si="125"/>
        <v>285</v>
      </c>
      <c r="N680" s="22">
        <f t="shared" si="126"/>
        <v>0.42797783933518008</v>
      </c>
      <c r="O680" s="22">
        <f t="shared" si="127"/>
        <v>0.15373961218836565</v>
      </c>
      <c r="P680" s="22">
        <f t="shared" si="128"/>
        <v>0.27423822714681445</v>
      </c>
      <c r="Q680" t="str">
        <f t="shared" si="129"/>
        <v/>
      </c>
      <c r="S680">
        <f t="shared" si="130"/>
        <v>285.00093199999998</v>
      </c>
      <c r="T680" s="23">
        <f t="shared" si="131"/>
        <v>0.27517022714681444</v>
      </c>
    </row>
    <row r="681" spans="1:20" ht="15" customHeight="1" x14ac:dyDescent="0.35">
      <c r="A681" t="str">
        <f>Benchmarking!A681</f>
        <v>Upwork Inc</v>
      </c>
      <c r="B681" t="str">
        <f>Benchmarking!B681</f>
        <v>upwk</v>
      </c>
      <c r="C681" t="str">
        <f>Benchmarking!C681</f>
        <v>Professional Services</v>
      </c>
      <c r="D681" s="17">
        <f>Benchmarking!D681</f>
        <v>275</v>
      </c>
      <c r="E681" s="17">
        <f>Benchmarking!E681</f>
        <v>264</v>
      </c>
      <c r="F681" s="17">
        <f>Benchmarking!F681</f>
        <v>278</v>
      </c>
      <c r="G681" s="17">
        <f>Benchmarking!G681</f>
        <v>817</v>
      </c>
      <c r="H681" t="str">
        <f t="shared" si="120"/>
        <v>Governance</v>
      </c>
      <c r="I681" t="str">
        <f t="shared" si="121"/>
        <v>Social</v>
      </c>
      <c r="J681" s="19">
        <f t="shared" si="122"/>
        <v>11</v>
      </c>
      <c r="K681" s="19">
        <f t="shared" si="123"/>
        <v>-14</v>
      </c>
      <c r="L681" s="19">
        <f t="shared" si="124"/>
        <v>-3</v>
      </c>
      <c r="M681" s="17">
        <f t="shared" si="125"/>
        <v>14</v>
      </c>
      <c r="N681" s="22">
        <f t="shared" si="126"/>
        <v>0.30332409972299168</v>
      </c>
      <c r="O681" s="22">
        <f t="shared" si="127"/>
        <v>0.30609418282548478</v>
      </c>
      <c r="P681" s="22">
        <f t="shared" si="128"/>
        <v>-2.7700831024931039E-3</v>
      </c>
      <c r="Q681" t="str">
        <f t="shared" si="129"/>
        <v/>
      </c>
      <c r="S681">
        <f t="shared" si="130"/>
        <v>14.000931899999999</v>
      </c>
      <c r="T681" s="23">
        <f t="shared" si="131"/>
        <v>-1.8381831024931038E-3</v>
      </c>
    </row>
    <row r="682" spans="1:20" ht="15" customHeight="1" x14ac:dyDescent="0.35">
      <c r="A682" t="str">
        <f>Benchmarking!A682</f>
        <v>USA Truck Inc</v>
      </c>
      <c r="B682" t="str">
        <f>Benchmarking!B682</f>
        <v>usak</v>
      </c>
      <c r="C682" t="str">
        <f>Benchmarking!C682</f>
        <v>Road &amp; Rail</v>
      </c>
      <c r="D682" s="17">
        <f>Benchmarking!D682</f>
        <v>532</v>
      </c>
      <c r="E682" s="17">
        <f>Benchmarking!E682</f>
        <v>311</v>
      </c>
      <c r="F682" s="17">
        <f>Benchmarking!F682</f>
        <v>303</v>
      </c>
      <c r="G682" s="17">
        <f>Benchmarking!G682</f>
        <v>1146</v>
      </c>
      <c r="H682" t="str">
        <f t="shared" si="120"/>
        <v>Environmental</v>
      </c>
      <c r="I682" t="str">
        <f t="shared" si="121"/>
        <v>Governance</v>
      </c>
      <c r="J682" s="19">
        <f t="shared" si="122"/>
        <v>221</v>
      </c>
      <c r="K682" s="19">
        <f t="shared" si="123"/>
        <v>8</v>
      </c>
      <c r="L682" s="19">
        <f t="shared" si="124"/>
        <v>229</v>
      </c>
      <c r="M682" s="17">
        <f t="shared" si="125"/>
        <v>229</v>
      </c>
      <c r="N682" s="22">
        <f t="shared" si="126"/>
        <v>0.75623268698060941</v>
      </c>
      <c r="O682" s="22">
        <f t="shared" si="127"/>
        <v>0.62742382271468145</v>
      </c>
      <c r="P682" s="22">
        <f t="shared" si="128"/>
        <v>0.12880886426592797</v>
      </c>
      <c r="Q682" t="str">
        <f t="shared" si="129"/>
        <v/>
      </c>
      <c r="S682">
        <f t="shared" si="130"/>
        <v>229.00093179999999</v>
      </c>
      <c r="T682" s="23">
        <f t="shared" si="131"/>
        <v>0.12974066426592798</v>
      </c>
    </row>
    <row r="683" spans="1:20" ht="15" customHeight="1" x14ac:dyDescent="0.35">
      <c r="A683" t="str">
        <f>Benchmarking!A683</f>
        <v>US Gold Corp</v>
      </c>
      <c r="B683" t="str">
        <f>Benchmarking!B683</f>
        <v>usau</v>
      </c>
      <c r="C683" t="str">
        <f>Benchmarking!C683</f>
        <v>Metals &amp; Mining</v>
      </c>
      <c r="D683" s="17">
        <f>Benchmarking!D683</f>
        <v>400</v>
      </c>
      <c r="E683" s="17">
        <f>Benchmarking!E683</f>
        <v>240</v>
      </c>
      <c r="F683" s="17">
        <f>Benchmarking!F683</f>
        <v>300</v>
      </c>
      <c r="G683" s="17">
        <f>Benchmarking!G683</f>
        <v>940</v>
      </c>
      <c r="H683" t="str">
        <f t="shared" si="120"/>
        <v>Environmental</v>
      </c>
      <c r="I683" t="str">
        <f t="shared" si="121"/>
        <v>Social</v>
      </c>
      <c r="J683" s="19">
        <f t="shared" si="122"/>
        <v>160</v>
      </c>
      <c r="K683" s="19">
        <f t="shared" si="123"/>
        <v>-60</v>
      </c>
      <c r="L683" s="19">
        <f t="shared" si="124"/>
        <v>100</v>
      </c>
      <c r="M683" s="17">
        <f t="shared" si="125"/>
        <v>160</v>
      </c>
      <c r="N683" s="22">
        <f t="shared" si="126"/>
        <v>0.40858725761772852</v>
      </c>
      <c r="O683" s="22">
        <f t="shared" si="127"/>
        <v>0.23268698060941828</v>
      </c>
      <c r="P683" s="22">
        <f t="shared" si="128"/>
        <v>0.17590027700831024</v>
      </c>
      <c r="Q683" t="str">
        <f t="shared" si="129"/>
        <v/>
      </c>
      <c r="S683">
        <f t="shared" si="130"/>
        <v>160.0009317</v>
      </c>
      <c r="T683" s="23">
        <f t="shared" si="131"/>
        <v>0.17683197700831024</v>
      </c>
    </row>
    <row r="684" spans="1:20" ht="15" customHeight="1" x14ac:dyDescent="0.35">
      <c r="A684" t="str">
        <f>Benchmarking!A684</f>
        <v>Universal Stainless &amp; Alloy Products Inc</v>
      </c>
      <c r="B684" t="str">
        <f>Benchmarking!B684</f>
        <v>usap</v>
      </c>
      <c r="C684" t="str">
        <f>Benchmarking!C684</f>
        <v>Metals &amp; Mining</v>
      </c>
      <c r="D684" s="17">
        <f>Benchmarking!D684</f>
        <v>238</v>
      </c>
      <c r="E684" s="17">
        <f>Benchmarking!E684</f>
        <v>231</v>
      </c>
      <c r="F684" s="17">
        <f>Benchmarking!F684</f>
        <v>200</v>
      </c>
      <c r="G684" s="17">
        <f>Benchmarking!G684</f>
        <v>669</v>
      </c>
      <c r="H684" t="str">
        <f t="shared" si="120"/>
        <v>Environmental</v>
      </c>
      <c r="I684" t="str">
        <f t="shared" si="121"/>
        <v>Governance</v>
      </c>
      <c r="J684" s="19">
        <f t="shared" si="122"/>
        <v>7</v>
      </c>
      <c r="K684" s="19">
        <f t="shared" si="123"/>
        <v>31</v>
      </c>
      <c r="L684" s="19">
        <f t="shared" si="124"/>
        <v>38</v>
      </c>
      <c r="M684" s="17">
        <f t="shared" si="125"/>
        <v>38</v>
      </c>
      <c r="N684" s="22">
        <f t="shared" si="126"/>
        <v>0.12880886426592797</v>
      </c>
      <c r="O684" s="22">
        <f t="shared" si="127"/>
        <v>2.7700831024930748E-3</v>
      </c>
      <c r="P684" s="22">
        <f t="shared" si="128"/>
        <v>0.12603878116343489</v>
      </c>
      <c r="Q684" t="str">
        <f t="shared" si="129"/>
        <v/>
      </c>
      <c r="S684">
        <f t="shared" si="130"/>
        <v>38.000931600000001</v>
      </c>
      <c r="T684" s="23">
        <f t="shared" si="131"/>
        <v>0.1269703811634349</v>
      </c>
    </row>
    <row r="685" spans="1:20" ht="15" customHeight="1" x14ac:dyDescent="0.35">
      <c r="A685" t="str">
        <f>Benchmarking!A685</f>
        <v>US Energy Corp</v>
      </c>
      <c r="B685" t="str">
        <f>Benchmarking!B685</f>
        <v>useg</v>
      </c>
      <c r="C685" t="str">
        <f>Benchmarking!C685</f>
        <v>Energy</v>
      </c>
      <c r="D685" s="17">
        <f>Benchmarking!D685</f>
        <v>438</v>
      </c>
      <c r="E685" s="17">
        <f>Benchmarking!E685</f>
        <v>265</v>
      </c>
      <c r="F685" s="17">
        <f>Benchmarking!F685</f>
        <v>315</v>
      </c>
      <c r="G685" s="17">
        <f>Benchmarking!G685</f>
        <v>1018</v>
      </c>
      <c r="H685" t="str">
        <f t="shared" si="120"/>
        <v>Environmental</v>
      </c>
      <c r="I685" t="str">
        <f t="shared" si="121"/>
        <v>Social</v>
      </c>
      <c r="J685" s="19">
        <f t="shared" si="122"/>
        <v>173</v>
      </c>
      <c r="K685" s="19">
        <f t="shared" si="123"/>
        <v>-50</v>
      </c>
      <c r="L685" s="19">
        <f t="shared" si="124"/>
        <v>123</v>
      </c>
      <c r="M685" s="17">
        <f t="shared" si="125"/>
        <v>173</v>
      </c>
      <c r="N685" s="22">
        <f t="shared" si="126"/>
        <v>0.48476454293628807</v>
      </c>
      <c r="O685" s="22">
        <f t="shared" si="127"/>
        <v>0.31024930747922436</v>
      </c>
      <c r="P685" s="22">
        <f t="shared" si="128"/>
        <v>0.17451523545706371</v>
      </c>
      <c r="Q685" t="str">
        <f t="shared" si="129"/>
        <v/>
      </c>
      <c r="S685">
        <f t="shared" si="130"/>
        <v>173.00093150000001</v>
      </c>
      <c r="T685" s="23">
        <f t="shared" si="131"/>
        <v>0.17544673545706371</v>
      </c>
    </row>
    <row r="686" spans="1:20" ht="15" customHeight="1" x14ac:dyDescent="0.35">
      <c r="A686" t="str">
        <f>Benchmarking!A686</f>
        <v>Usio Inc</v>
      </c>
      <c r="B686" t="str">
        <f>Benchmarking!B686</f>
        <v>usio</v>
      </c>
      <c r="C686" t="str">
        <f>Benchmarking!C686</f>
        <v>Technology</v>
      </c>
      <c r="D686" s="17">
        <f>Benchmarking!D686</f>
        <v>285</v>
      </c>
      <c r="E686" s="17">
        <f>Benchmarking!E686</f>
        <v>245</v>
      </c>
      <c r="F686" s="17">
        <f>Benchmarking!F686</f>
        <v>240</v>
      </c>
      <c r="G686" s="17">
        <f>Benchmarking!G686</f>
        <v>770</v>
      </c>
      <c r="H686" t="str">
        <f t="shared" si="120"/>
        <v>Environmental</v>
      </c>
      <c r="I686" t="str">
        <f t="shared" si="121"/>
        <v>Governance</v>
      </c>
      <c r="J686" s="19">
        <f t="shared" si="122"/>
        <v>40</v>
      </c>
      <c r="K686" s="19">
        <f t="shared" si="123"/>
        <v>5</v>
      </c>
      <c r="L686" s="19">
        <f t="shared" si="124"/>
        <v>45</v>
      </c>
      <c r="M686" s="17">
        <f t="shared" si="125"/>
        <v>45</v>
      </c>
      <c r="N686" s="22">
        <f t="shared" si="126"/>
        <v>0.26454293628808867</v>
      </c>
      <c r="O686" s="22">
        <f t="shared" si="127"/>
        <v>0.25623268698060941</v>
      </c>
      <c r="P686" s="22">
        <f t="shared" si="128"/>
        <v>8.3102493074792561E-3</v>
      </c>
      <c r="Q686" t="str">
        <f t="shared" si="129"/>
        <v/>
      </c>
      <c r="S686">
        <f t="shared" si="130"/>
        <v>45.000931399999999</v>
      </c>
      <c r="T686" s="23">
        <f t="shared" si="131"/>
        <v>9.2416493074792567E-3</v>
      </c>
    </row>
    <row r="687" spans="1:20" ht="15" customHeight="1" x14ac:dyDescent="0.35">
      <c r="A687" t="str">
        <f>Benchmarking!A687</f>
        <v>United Therapeutics Corp</v>
      </c>
      <c r="B687" t="str">
        <f>Benchmarking!B687</f>
        <v>uthr</v>
      </c>
      <c r="C687" t="str">
        <f>Benchmarking!C687</f>
        <v>Biotechnology</v>
      </c>
      <c r="D687" s="17">
        <f>Benchmarking!D687</f>
        <v>233</v>
      </c>
      <c r="E687" s="17">
        <f>Benchmarking!E687</f>
        <v>259</v>
      </c>
      <c r="F687" s="17">
        <f>Benchmarking!F687</f>
        <v>300</v>
      </c>
      <c r="G687" s="17">
        <f>Benchmarking!G687</f>
        <v>792</v>
      </c>
      <c r="H687" t="str">
        <f t="shared" si="120"/>
        <v>Governance</v>
      </c>
      <c r="I687" t="str">
        <f t="shared" si="121"/>
        <v>Environmental</v>
      </c>
      <c r="J687" s="19">
        <f t="shared" si="122"/>
        <v>-26</v>
      </c>
      <c r="K687" s="19">
        <f t="shared" si="123"/>
        <v>-41</v>
      </c>
      <c r="L687" s="19">
        <f t="shared" si="124"/>
        <v>-67</v>
      </c>
      <c r="M687" s="17">
        <f t="shared" si="125"/>
        <v>67</v>
      </c>
      <c r="N687" s="22">
        <f t="shared" si="126"/>
        <v>0.28116343490304707</v>
      </c>
      <c r="O687" s="22">
        <f t="shared" si="127"/>
        <v>0.21606648199445982</v>
      </c>
      <c r="P687" s="22">
        <f t="shared" si="128"/>
        <v>6.5096952908587247E-2</v>
      </c>
      <c r="Q687" t="str">
        <f t="shared" si="129"/>
        <v/>
      </c>
      <c r="S687">
        <f t="shared" si="130"/>
        <v>67.000931300000005</v>
      </c>
      <c r="T687" s="23">
        <f t="shared" si="131"/>
        <v>6.6028252908587243E-2</v>
      </c>
    </row>
    <row r="688" spans="1:20" ht="15" customHeight="1" x14ac:dyDescent="0.35">
      <c r="A688" t="str">
        <f>Benchmarking!A688</f>
        <v>Urogen Pharma Ltd</v>
      </c>
      <c r="B688" t="str">
        <f>Benchmarking!B688</f>
        <v>urgn</v>
      </c>
      <c r="C688" t="str">
        <f>Benchmarking!C688</f>
        <v>Biotechnology</v>
      </c>
      <c r="D688" s="17">
        <f>Benchmarking!D688</f>
        <v>210</v>
      </c>
      <c r="E688" s="17">
        <f>Benchmarking!E688</f>
        <v>251</v>
      </c>
      <c r="F688" s="17">
        <f>Benchmarking!F688</f>
        <v>290</v>
      </c>
      <c r="G688" s="17">
        <f>Benchmarking!G688</f>
        <v>751</v>
      </c>
      <c r="H688" t="str">
        <f t="shared" si="120"/>
        <v>Governance</v>
      </c>
      <c r="I688" t="str">
        <f t="shared" si="121"/>
        <v>Environmental</v>
      </c>
      <c r="J688" s="19">
        <f t="shared" si="122"/>
        <v>-41</v>
      </c>
      <c r="K688" s="19">
        <f t="shared" si="123"/>
        <v>-39</v>
      </c>
      <c r="L688" s="19">
        <f t="shared" si="124"/>
        <v>-80</v>
      </c>
      <c r="M688" s="17">
        <f t="shared" si="125"/>
        <v>80</v>
      </c>
      <c r="N688" s="22">
        <f t="shared" si="126"/>
        <v>0.23407202216066483</v>
      </c>
      <c r="O688" s="22">
        <f t="shared" si="127"/>
        <v>9.141274238227147E-2</v>
      </c>
      <c r="P688" s="22">
        <f t="shared" si="128"/>
        <v>0.14265927977839338</v>
      </c>
      <c r="Q688" t="str">
        <f t="shared" si="129"/>
        <v/>
      </c>
      <c r="S688">
        <f t="shared" si="130"/>
        <v>80.000931199999997</v>
      </c>
      <c r="T688" s="23">
        <f t="shared" si="131"/>
        <v>0.14359047977839337</v>
      </c>
    </row>
    <row r="689" spans="1:20" ht="15" customHeight="1" x14ac:dyDescent="0.35">
      <c r="A689" t="str">
        <f>Benchmarking!A689</f>
        <v>Urban Outfitters Inc</v>
      </c>
      <c r="B689" t="str">
        <f>Benchmarking!B689</f>
        <v>urbn</v>
      </c>
      <c r="C689" t="str">
        <f>Benchmarking!C689</f>
        <v>Retail</v>
      </c>
      <c r="D689" s="17">
        <f>Benchmarking!D689</f>
        <v>335</v>
      </c>
      <c r="E689" s="17">
        <f>Benchmarking!E689</f>
        <v>300</v>
      </c>
      <c r="F689" s="17">
        <f>Benchmarking!F689</f>
        <v>300</v>
      </c>
      <c r="G689" s="17">
        <f>Benchmarking!G689</f>
        <v>935</v>
      </c>
      <c r="H689" t="str">
        <f t="shared" si="120"/>
        <v>Environmental</v>
      </c>
      <c r="I689" t="str">
        <f t="shared" si="121"/>
        <v>Social</v>
      </c>
      <c r="J689" s="19">
        <f t="shared" si="122"/>
        <v>35</v>
      </c>
      <c r="K689" s="19">
        <f t="shared" si="123"/>
        <v>0</v>
      </c>
      <c r="L689" s="19">
        <f t="shared" si="124"/>
        <v>35</v>
      </c>
      <c r="M689" s="17">
        <f t="shared" si="125"/>
        <v>35</v>
      </c>
      <c r="N689" s="22">
        <f t="shared" si="126"/>
        <v>0.40166204986149584</v>
      </c>
      <c r="O689" s="22">
        <f t="shared" si="127"/>
        <v>0.36565096952908588</v>
      </c>
      <c r="P689" s="22">
        <f t="shared" si="128"/>
        <v>3.6011080332409962E-2</v>
      </c>
      <c r="Q689" t="str">
        <f t="shared" si="129"/>
        <v/>
      </c>
      <c r="S689">
        <f t="shared" si="130"/>
        <v>35.000931100000003</v>
      </c>
      <c r="T689" s="23">
        <f t="shared" si="131"/>
        <v>3.6942180332409959E-2</v>
      </c>
    </row>
    <row r="690" spans="1:20" ht="15" customHeight="1" x14ac:dyDescent="0.35">
      <c r="A690" t="str">
        <f>Benchmarking!A690</f>
        <v>Utime Ltd</v>
      </c>
      <c r="B690" t="str">
        <f>Benchmarking!B690</f>
        <v>utme</v>
      </c>
      <c r="C690" t="str">
        <f>Benchmarking!C690</f>
        <v>Electrical Equipment</v>
      </c>
      <c r="D690" s="17">
        <f>Benchmarking!D690</f>
        <v>217</v>
      </c>
      <c r="E690" s="17">
        <f>Benchmarking!E690</f>
        <v>200</v>
      </c>
      <c r="F690" s="17">
        <f>Benchmarking!F690</f>
        <v>200</v>
      </c>
      <c r="G690" s="17">
        <f>Benchmarking!G690</f>
        <v>617</v>
      </c>
      <c r="H690" t="str">
        <f t="shared" si="120"/>
        <v>Environmental</v>
      </c>
      <c r="I690" t="str">
        <f t="shared" si="121"/>
        <v>Social</v>
      </c>
      <c r="J690" s="19">
        <f t="shared" si="122"/>
        <v>17</v>
      </c>
      <c r="K690" s="19">
        <f t="shared" si="123"/>
        <v>0</v>
      </c>
      <c r="L690" s="19">
        <f t="shared" si="124"/>
        <v>17</v>
      </c>
      <c r="M690" s="17">
        <f t="shared" si="125"/>
        <v>17</v>
      </c>
      <c r="N690" s="22">
        <f t="shared" si="126"/>
        <v>3.6011080332409975E-2</v>
      </c>
      <c r="O690" s="22">
        <f t="shared" si="127"/>
        <v>2.7700831024930748E-3</v>
      </c>
      <c r="P690" s="22">
        <f t="shared" si="128"/>
        <v>3.3240997229916899E-2</v>
      </c>
      <c r="Q690" t="str">
        <f t="shared" si="129"/>
        <v/>
      </c>
      <c r="S690">
        <f t="shared" si="130"/>
        <v>17.000931000000001</v>
      </c>
      <c r="T690" s="23">
        <f t="shared" si="131"/>
        <v>3.4171997229916901E-2</v>
      </c>
    </row>
    <row r="691" spans="1:20" ht="15" customHeight="1" x14ac:dyDescent="0.35">
      <c r="A691" t="str">
        <f>Benchmarking!A691</f>
        <v>Minerva Surgical Inc</v>
      </c>
      <c r="B691" t="str">
        <f>Benchmarking!B691</f>
        <v>utrs</v>
      </c>
      <c r="C691" t="str">
        <f>Benchmarking!C691</f>
        <v>Health Care</v>
      </c>
      <c r="D691" s="17">
        <f>Benchmarking!D691</f>
        <v>205</v>
      </c>
      <c r="E691" s="17">
        <f>Benchmarking!E691</f>
        <v>201</v>
      </c>
      <c r="F691" s="17">
        <f>Benchmarking!F691</f>
        <v>210</v>
      </c>
      <c r="G691" s="17">
        <f>Benchmarking!G691</f>
        <v>616</v>
      </c>
      <c r="H691" t="str">
        <f t="shared" si="120"/>
        <v>Governance</v>
      </c>
      <c r="I691" t="str">
        <f t="shared" si="121"/>
        <v>Social</v>
      </c>
      <c r="J691" s="19">
        <f t="shared" si="122"/>
        <v>4</v>
      </c>
      <c r="K691" s="19">
        <f t="shared" si="123"/>
        <v>-9</v>
      </c>
      <c r="L691" s="19">
        <f t="shared" si="124"/>
        <v>-5</v>
      </c>
      <c r="M691" s="17">
        <f t="shared" si="125"/>
        <v>9</v>
      </c>
      <c r="N691" s="22">
        <f t="shared" si="126"/>
        <v>3.3240997229916899E-2</v>
      </c>
      <c r="O691" s="22">
        <f t="shared" si="127"/>
        <v>3.1855955678670361E-2</v>
      </c>
      <c r="P691" s="22">
        <f t="shared" si="128"/>
        <v>1.385041551246538E-3</v>
      </c>
      <c r="Q691" t="str">
        <f t="shared" si="129"/>
        <v/>
      </c>
      <c r="S691">
        <f t="shared" si="130"/>
        <v>9.0009309000000002</v>
      </c>
      <c r="T691" s="23">
        <f t="shared" si="131"/>
        <v>2.3159415512465382E-3</v>
      </c>
    </row>
    <row r="692" spans="1:20" ht="15" customHeight="1" x14ac:dyDescent="0.35">
      <c r="A692" t="str">
        <f>Benchmarking!A692</f>
        <v>UTStarcom Holdings Corp</v>
      </c>
      <c r="B692" t="str">
        <f>Benchmarking!B692</f>
        <v>utsi</v>
      </c>
      <c r="C692" t="str">
        <f>Benchmarking!C692</f>
        <v>Communications</v>
      </c>
      <c r="D692" s="17">
        <f>Benchmarking!D692</f>
        <v>340</v>
      </c>
      <c r="E692" s="17">
        <f>Benchmarking!E692</f>
        <v>310</v>
      </c>
      <c r="F692" s="17">
        <f>Benchmarking!F692</f>
        <v>365</v>
      </c>
      <c r="G692" s="17">
        <f>Benchmarking!G692</f>
        <v>1015</v>
      </c>
      <c r="H692" t="str">
        <f t="shared" si="120"/>
        <v>Governance</v>
      </c>
      <c r="I692" t="str">
        <f t="shared" si="121"/>
        <v>Social</v>
      </c>
      <c r="J692" s="19">
        <f t="shared" si="122"/>
        <v>30</v>
      </c>
      <c r="K692" s="19">
        <f t="shared" si="123"/>
        <v>-55</v>
      </c>
      <c r="L692" s="19">
        <f t="shared" si="124"/>
        <v>-25</v>
      </c>
      <c r="M692" s="17">
        <f t="shared" si="125"/>
        <v>55</v>
      </c>
      <c r="N692" s="22">
        <f t="shared" si="126"/>
        <v>0.48337950138504154</v>
      </c>
      <c r="O692" s="22">
        <f t="shared" si="127"/>
        <v>0.39473684210526316</v>
      </c>
      <c r="P692" s="22">
        <f t="shared" si="128"/>
        <v>8.864265927977838E-2</v>
      </c>
      <c r="Q692" t="str">
        <f t="shared" si="129"/>
        <v/>
      </c>
      <c r="S692">
        <f t="shared" si="130"/>
        <v>55.000930799999999</v>
      </c>
      <c r="T692" s="23">
        <f t="shared" si="131"/>
        <v>8.9573459279778375E-2</v>
      </c>
    </row>
    <row r="693" spans="1:20" ht="15" customHeight="1" x14ac:dyDescent="0.35">
      <c r="A693" t="str">
        <f>Benchmarking!A693</f>
        <v>Uxin Ltd</v>
      </c>
      <c r="B693" t="str">
        <f>Benchmarking!B693</f>
        <v>uxin</v>
      </c>
      <c r="C693" t="str">
        <f>Benchmarking!C693</f>
        <v>Retail</v>
      </c>
      <c r="D693" s="17">
        <f>Benchmarking!D693</f>
        <v>203</v>
      </c>
      <c r="E693" s="17">
        <f>Benchmarking!E693</f>
        <v>202</v>
      </c>
      <c r="F693" s="17">
        <f>Benchmarking!F693</f>
        <v>225</v>
      </c>
      <c r="G693" s="17">
        <f>Benchmarking!G693</f>
        <v>630</v>
      </c>
      <c r="H693" t="str">
        <f t="shared" si="120"/>
        <v>Governance</v>
      </c>
      <c r="I693" t="str">
        <f t="shared" si="121"/>
        <v>Social</v>
      </c>
      <c r="J693" s="19">
        <f t="shared" si="122"/>
        <v>1</v>
      </c>
      <c r="K693" s="19">
        <f t="shared" si="123"/>
        <v>-23</v>
      </c>
      <c r="L693" s="19">
        <f t="shared" si="124"/>
        <v>-22</v>
      </c>
      <c r="M693" s="17">
        <f t="shared" si="125"/>
        <v>23</v>
      </c>
      <c r="N693" s="22">
        <f t="shared" si="126"/>
        <v>5.817174515235457E-2</v>
      </c>
      <c r="O693" s="22">
        <f t="shared" si="127"/>
        <v>4.5706371191135735E-2</v>
      </c>
      <c r="P693" s="22">
        <f t="shared" si="128"/>
        <v>1.2465373961218836E-2</v>
      </c>
      <c r="Q693" t="str">
        <f t="shared" si="129"/>
        <v/>
      </c>
      <c r="S693">
        <f t="shared" si="130"/>
        <v>23.000930700000001</v>
      </c>
      <c r="T693" s="23">
        <f t="shared" si="131"/>
        <v>1.3396073961218835E-2</v>
      </c>
    </row>
    <row r="694" spans="1:20" ht="15" customHeight="1" x14ac:dyDescent="0.35">
      <c r="A694" t="str">
        <f>Benchmarking!A694</f>
        <v>Univest Financial Corp</v>
      </c>
      <c r="B694" t="str">
        <f>Benchmarking!B694</f>
        <v>uvsp</v>
      </c>
      <c r="C694" t="str">
        <f>Benchmarking!C694</f>
        <v>Banking</v>
      </c>
      <c r="D694" s="17">
        <f>Benchmarking!D694</f>
        <v>331</v>
      </c>
      <c r="E694" s="17">
        <f>Benchmarking!E694</f>
        <v>322</v>
      </c>
      <c r="F694" s="17">
        <f>Benchmarking!F694</f>
        <v>305</v>
      </c>
      <c r="G694" s="17">
        <f>Benchmarking!G694</f>
        <v>958</v>
      </c>
      <c r="H694" t="str">
        <f t="shared" si="120"/>
        <v>Environmental</v>
      </c>
      <c r="I694" t="str">
        <f t="shared" si="121"/>
        <v>Governance</v>
      </c>
      <c r="J694" s="19">
        <f t="shared" si="122"/>
        <v>9</v>
      </c>
      <c r="K694" s="19">
        <f t="shared" si="123"/>
        <v>17</v>
      </c>
      <c r="L694" s="19">
        <f t="shared" si="124"/>
        <v>26</v>
      </c>
      <c r="M694" s="17">
        <f t="shared" si="125"/>
        <v>26</v>
      </c>
      <c r="N694" s="22">
        <f t="shared" si="126"/>
        <v>0.43074792243767313</v>
      </c>
      <c r="O694" s="22">
        <f t="shared" si="127"/>
        <v>0.38642659279778391</v>
      </c>
      <c r="P694" s="22">
        <f t="shared" si="128"/>
        <v>4.4321329639889218E-2</v>
      </c>
      <c r="Q694" t="str">
        <f t="shared" si="129"/>
        <v/>
      </c>
      <c r="S694">
        <f t="shared" si="130"/>
        <v>26.0009306</v>
      </c>
      <c r="T694" s="23">
        <f t="shared" si="131"/>
        <v>4.5251929639889214E-2</v>
      </c>
    </row>
    <row r="695" spans="1:20" ht="15" customHeight="1" x14ac:dyDescent="0.35">
      <c r="A695" t="str">
        <f>Benchmarking!A695</f>
        <v>Cheetah Mobile Inc</v>
      </c>
      <c r="B695" t="str">
        <f>Benchmarking!B695</f>
        <v>cmcm</v>
      </c>
      <c r="C695" t="str">
        <f>Benchmarking!C695</f>
        <v>Technology</v>
      </c>
      <c r="D695" s="17">
        <f>Benchmarking!D695</f>
        <v>205</v>
      </c>
      <c r="E695" s="17">
        <f>Benchmarking!E695</f>
        <v>214</v>
      </c>
      <c r="F695" s="17">
        <f>Benchmarking!F695</f>
        <v>215</v>
      </c>
      <c r="G695" s="17">
        <f>Benchmarking!G695</f>
        <v>634</v>
      </c>
      <c r="H695" t="str">
        <f t="shared" si="120"/>
        <v>Governance</v>
      </c>
      <c r="I695" t="str">
        <f t="shared" si="121"/>
        <v>Environmental</v>
      </c>
      <c r="J695" s="19">
        <f t="shared" si="122"/>
        <v>-9</v>
      </c>
      <c r="K695" s="19">
        <f t="shared" si="123"/>
        <v>-1</v>
      </c>
      <c r="L695" s="19">
        <f t="shared" si="124"/>
        <v>-10</v>
      </c>
      <c r="M695" s="17">
        <f t="shared" si="125"/>
        <v>10</v>
      </c>
      <c r="N695" s="22">
        <f t="shared" si="126"/>
        <v>6.6481994459833799E-2</v>
      </c>
      <c r="O695" s="22">
        <f t="shared" si="127"/>
        <v>5.6786703601108032E-2</v>
      </c>
      <c r="P695" s="22">
        <f t="shared" si="128"/>
        <v>9.6952908587257663E-3</v>
      </c>
      <c r="Q695" t="str">
        <f t="shared" si="129"/>
        <v/>
      </c>
      <c r="S695">
        <f t="shared" si="130"/>
        <v>10.000930500000001</v>
      </c>
      <c r="T695" s="23">
        <f t="shared" si="131"/>
        <v>1.0625790858725767E-2</v>
      </c>
    </row>
    <row r="696" spans="1:20" ht="15" customHeight="1" x14ac:dyDescent="0.35">
      <c r="A696" t="str">
        <f>Benchmarking!A696</f>
        <v>Commercial Metals Co</v>
      </c>
      <c r="B696" t="str">
        <f>Benchmarking!B696</f>
        <v>cmc</v>
      </c>
      <c r="C696" t="str">
        <f>Benchmarking!C696</f>
        <v>Metals &amp; Mining</v>
      </c>
      <c r="D696" s="17">
        <f>Benchmarking!D696</f>
        <v>223</v>
      </c>
      <c r="E696" s="17">
        <f>Benchmarking!E696</f>
        <v>212</v>
      </c>
      <c r="F696" s="17">
        <f>Benchmarking!F696</f>
        <v>200</v>
      </c>
      <c r="G696" s="17">
        <f>Benchmarking!G696</f>
        <v>635</v>
      </c>
      <c r="H696" t="str">
        <f t="shared" si="120"/>
        <v>Environmental</v>
      </c>
      <c r="I696" t="str">
        <f t="shared" si="121"/>
        <v>Governance</v>
      </c>
      <c r="J696" s="19">
        <f t="shared" si="122"/>
        <v>11</v>
      </c>
      <c r="K696" s="19">
        <f t="shared" si="123"/>
        <v>12</v>
      </c>
      <c r="L696" s="19">
        <f t="shared" si="124"/>
        <v>23</v>
      </c>
      <c r="M696" s="17">
        <f t="shared" si="125"/>
        <v>23</v>
      </c>
      <c r="N696" s="22">
        <f t="shared" si="126"/>
        <v>6.9252077562326875E-2</v>
      </c>
      <c r="O696" s="22">
        <f t="shared" si="127"/>
        <v>2.7700831024930748E-3</v>
      </c>
      <c r="P696" s="22">
        <f t="shared" si="128"/>
        <v>6.6481994459833799E-2</v>
      </c>
      <c r="Q696" t="str">
        <f t="shared" si="129"/>
        <v/>
      </c>
      <c r="S696">
        <f t="shared" si="130"/>
        <v>23.000930400000001</v>
      </c>
      <c r="T696" s="23">
        <f t="shared" si="131"/>
        <v>6.7412394459833797E-2</v>
      </c>
    </row>
    <row r="697" spans="1:20" ht="15" customHeight="1" x14ac:dyDescent="0.35">
      <c r="A697" t="str">
        <f>Benchmarking!A697</f>
        <v>United States Lime &amp; Minerals Inc</v>
      </c>
      <c r="B697" t="str">
        <f>Benchmarking!B697</f>
        <v>uslm</v>
      </c>
      <c r="C697" t="str">
        <f>Benchmarking!C697</f>
        <v>Construction</v>
      </c>
      <c r="D697" s="17">
        <f>Benchmarking!D697</f>
        <v>500</v>
      </c>
      <c r="E697" s="17">
        <f>Benchmarking!E697</f>
        <v>233</v>
      </c>
      <c r="F697" s="17">
        <f>Benchmarking!F697</f>
        <v>300</v>
      </c>
      <c r="G697" s="17">
        <f>Benchmarking!G697</f>
        <v>1033</v>
      </c>
      <c r="H697" t="str">
        <f t="shared" si="120"/>
        <v>Environmental</v>
      </c>
      <c r="I697" t="str">
        <f t="shared" si="121"/>
        <v>Social</v>
      </c>
      <c r="J697" s="19">
        <f t="shared" si="122"/>
        <v>267</v>
      </c>
      <c r="K697" s="19">
        <f t="shared" si="123"/>
        <v>-67</v>
      </c>
      <c r="L697" s="19">
        <f t="shared" si="124"/>
        <v>200</v>
      </c>
      <c r="M697" s="17">
        <f t="shared" si="125"/>
        <v>267</v>
      </c>
      <c r="N697" s="22">
        <f t="shared" si="126"/>
        <v>0.49307479224376732</v>
      </c>
      <c r="O697" s="22">
        <f t="shared" si="127"/>
        <v>0.2077562326869806</v>
      </c>
      <c r="P697" s="22">
        <f t="shared" si="128"/>
        <v>0.28531855955678675</v>
      </c>
      <c r="Q697" t="str">
        <f t="shared" si="129"/>
        <v/>
      </c>
      <c r="S697">
        <f t="shared" si="130"/>
        <v>267.00093029999999</v>
      </c>
      <c r="T697" s="23">
        <f t="shared" si="131"/>
        <v>0.28624885955678675</v>
      </c>
    </row>
    <row r="698" spans="1:20" ht="15" customHeight="1" x14ac:dyDescent="0.35">
      <c r="A698" t="str">
        <f>Benchmarking!A698</f>
        <v>Utah Medical Products Inc</v>
      </c>
      <c r="B698" t="str">
        <f>Benchmarking!B698</f>
        <v>utmd</v>
      </c>
      <c r="C698" t="str">
        <f>Benchmarking!C698</f>
        <v>Health Care</v>
      </c>
      <c r="D698" s="17">
        <f>Benchmarking!D698</f>
        <v>240</v>
      </c>
      <c r="E698" s="17">
        <f>Benchmarking!E698</f>
        <v>236</v>
      </c>
      <c r="F698" s="17">
        <f>Benchmarking!F698</f>
        <v>250</v>
      </c>
      <c r="G698" s="17">
        <f>Benchmarking!G698</f>
        <v>726</v>
      </c>
      <c r="H698" t="str">
        <f t="shared" si="120"/>
        <v>Governance</v>
      </c>
      <c r="I698" t="str">
        <f t="shared" si="121"/>
        <v>Social</v>
      </c>
      <c r="J698" s="19">
        <f t="shared" si="122"/>
        <v>4</v>
      </c>
      <c r="K698" s="19">
        <f t="shared" si="123"/>
        <v>-14</v>
      </c>
      <c r="L698" s="19">
        <f t="shared" si="124"/>
        <v>-10</v>
      </c>
      <c r="M698" s="17">
        <f t="shared" si="125"/>
        <v>14</v>
      </c>
      <c r="N698" s="22">
        <f t="shared" si="126"/>
        <v>0.19390581717451524</v>
      </c>
      <c r="O698" s="22">
        <f t="shared" si="127"/>
        <v>0.2188365650969529</v>
      </c>
      <c r="P698" s="22">
        <f t="shared" si="128"/>
        <v>-2.4930747922437657E-2</v>
      </c>
      <c r="Q698" t="str">
        <f t="shared" si="129"/>
        <v/>
      </c>
      <c r="S698">
        <f t="shared" si="130"/>
        <v>14.000930200000001</v>
      </c>
      <c r="T698" s="23">
        <f t="shared" si="131"/>
        <v>-2.4000547922437658E-2</v>
      </c>
    </row>
    <row r="699" spans="1:20" ht="15" customHeight="1" x14ac:dyDescent="0.35">
      <c r="A699" t="str">
        <f>Benchmarking!A699</f>
        <v>Compass Minerals International Inc</v>
      </c>
      <c r="B699" t="str">
        <f>Benchmarking!B699</f>
        <v>cmp</v>
      </c>
      <c r="C699" t="str">
        <f>Benchmarking!C699</f>
        <v>Metals &amp; Mining</v>
      </c>
      <c r="D699" s="17">
        <f>Benchmarking!D699</f>
        <v>505</v>
      </c>
      <c r="E699" s="17">
        <f>Benchmarking!E699</f>
        <v>302</v>
      </c>
      <c r="F699" s="17">
        <f>Benchmarking!F699</f>
        <v>320</v>
      </c>
      <c r="G699" s="17">
        <f>Benchmarking!G699</f>
        <v>1127</v>
      </c>
      <c r="H699" t="str">
        <f t="shared" si="120"/>
        <v>Environmental</v>
      </c>
      <c r="I699" t="str">
        <f t="shared" si="121"/>
        <v>Social</v>
      </c>
      <c r="J699" s="19">
        <f t="shared" si="122"/>
        <v>203</v>
      </c>
      <c r="K699" s="19">
        <f t="shared" si="123"/>
        <v>-18</v>
      </c>
      <c r="L699" s="19">
        <f t="shared" si="124"/>
        <v>185</v>
      </c>
      <c r="M699" s="17">
        <f t="shared" si="125"/>
        <v>203</v>
      </c>
      <c r="N699" s="22">
        <f t="shared" si="126"/>
        <v>0.68144044321329644</v>
      </c>
      <c r="O699" s="22">
        <f t="shared" si="127"/>
        <v>0.49722991689750695</v>
      </c>
      <c r="P699" s="22">
        <f t="shared" si="128"/>
        <v>0.18421052631578949</v>
      </c>
      <c r="Q699" t="str">
        <f t="shared" si="129"/>
        <v/>
      </c>
      <c r="S699">
        <f t="shared" si="130"/>
        <v>203.00093010000001</v>
      </c>
      <c r="T699" s="23">
        <f t="shared" si="131"/>
        <v>0.18514062631578948</v>
      </c>
    </row>
    <row r="700" spans="1:20" ht="15" customHeight="1" x14ac:dyDescent="0.35">
      <c r="A700" t="str">
        <f>Benchmarking!A700</f>
        <v>Concord Acquisition Corp</v>
      </c>
      <c r="B700" t="str">
        <f>Benchmarking!B700</f>
        <v>cnd</v>
      </c>
      <c r="C700" t="str">
        <f>Benchmarking!C700</f>
        <v>Unclassified</v>
      </c>
      <c r="D700" s="17">
        <f>Benchmarking!D700</f>
        <v>205</v>
      </c>
      <c r="E700" s="17">
        <f>Benchmarking!E700</f>
        <v>257</v>
      </c>
      <c r="F700" s="17">
        <f>Benchmarking!F700</f>
        <v>300</v>
      </c>
      <c r="G700" s="17">
        <f>Benchmarking!G700</f>
        <v>762</v>
      </c>
      <c r="H700" t="str">
        <f t="shared" si="120"/>
        <v>Governance</v>
      </c>
      <c r="I700" t="str">
        <f t="shared" si="121"/>
        <v>Environmental</v>
      </c>
      <c r="J700" s="19">
        <f t="shared" si="122"/>
        <v>-52</v>
      </c>
      <c r="K700" s="19">
        <f t="shared" si="123"/>
        <v>-43</v>
      </c>
      <c r="L700" s="19">
        <f t="shared" si="124"/>
        <v>-95</v>
      </c>
      <c r="M700" s="17">
        <f t="shared" si="125"/>
        <v>95</v>
      </c>
      <c r="N700" s="22">
        <f t="shared" si="126"/>
        <v>0.24792243767313019</v>
      </c>
      <c r="O700" s="22">
        <f t="shared" si="127"/>
        <v>5.6786703601108032E-2</v>
      </c>
      <c r="P700" s="22">
        <f t="shared" si="128"/>
        <v>0.19113573407202217</v>
      </c>
      <c r="Q700" t="str">
        <f t="shared" si="129"/>
        <v/>
      </c>
      <c r="S700">
        <f t="shared" si="130"/>
        <v>95.000929999999997</v>
      </c>
      <c r="T700" s="23">
        <f t="shared" si="131"/>
        <v>0.19206573407202215</v>
      </c>
    </row>
    <row r="701" spans="1:20" ht="15" customHeight="1" x14ac:dyDescent="0.35">
      <c r="A701" t="str">
        <f>Benchmarking!A701</f>
        <v>CNFinance Holdings Ltd</v>
      </c>
      <c r="B701" t="str">
        <f>Benchmarking!B701</f>
        <v>cnf</v>
      </c>
      <c r="C701" t="str">
        <f>Benchmarking!C701</f>
        <v>Financial Services</v>
      </c>
      <c r="D701" s="17">
        <f>Benchmarking!D701</f>
        <v>200</v>
      </c>
      <c r="E701" s="17">
        <f>Benchmarking!E701</f>
        <v>200</v>
      </c>
      <c r="F701" s="17">
        <f>Benchmarking!F701</f>
        <v>220</v>
      </c>
      <c r="G701" s="17">
        <f>Benchmarking!G701</f>
        <v>620</v>
      </c>
      <c r="H701" t="str">
        <f t="shared" si="120"/>
        <v>Governance</v>
      </c>
      <c r="I701" t="str">
        <f t="shared" si="121"/>
        <v>Environmental</v>
      </c>
      <c r="J701" s="19">
        <f t="shared" si="122"/>
        <v>0</v>
      </c>
      <c r="K701" s="19">
        <f t="shared" si="123"/>
        <v>-20</v>
      </c>
      <c r="L701" s="19">
        <f t="shared" si="124"/>
        <v>-20</v>
      </c>
      <c r="M701" s="17">
        <f t="shared" si="125"/>
        <v>20</v>
      </c>
      <c r="N701" s="22">
        <f t="shared" si="126"/>
        <v>4.0166204986149583E-2</v>
      </c>
      <c r="O701" s="22">
        <f t="shared" si="127"/>
        <v>1.3850415512465374E-3</v>
      </c>
      <c r="P701" s="22">
        <f t="shared" si="128"/>
        <v>3.8781163434903045E-2</v>
      </c>
      <c r="Q701" t="str">
        <f t="shared" si="129"/>
        <v/>
      </c>
      <c r="S701">
        <f t="shared" si="130"/>
        <v>20.000929899999999</v>
      </c>
      <c r="T701" s="23">
        <f t="shared" si="131"/>
        <v>3.9711063434903042E-2</v>
      </c>
    </row>
    <row r="702" spans="1:20" ht="15" customHeight="1" x14ac:dyDescent="0.35">
      <c r="A702" t="str">
        <f>Benchmarking!A702</f>
        <v>Conmed Corp</v>
      </c>
      <c r="B702" t="str">
        <f>Benchmarking!B702</f>
        <v>cnmd</v>
      </c>
      <c r="C702" t="str">
        <f>Benchmarking!C702</f>
        <v>Health Care</v>
      </c>
      <c r="D702" s="17">
        <f>Benchmarking!D702</f>
        <v>441</v>
      </c>
      <c r="E702" s="17">
        <f>Benchmarking!E702</f>
        <v>300</v>
      </c>
      <c r="F702" s="17">
        <f>Benchmarking!F702</f>
        <v>270</v>
      </c>
      <c r="G702" s="17">
        <f>Benchmarking!G702</f>
        <v>1011</v>
      </c>
      <c r="H702" t="str">
        <f t="shared" si="120"/>
        <v>Environmental</v>
      </c>
      <c r="I702" t="str">
        <f t="shared" si="121"/>
        <v>Governance</v>
      </c>
      <c r="J702" s="19">
        <f t="shared" si="122"/>
        <v>141</v>
      </c>
      <c r="K702" s="19">
        <f t="shared" si="123"/>
        <v>30</v>
      </c>
      <c r="L702" s="19">
        <f t="shared" si="124"/>
        <v>171</v>
      </c>
      <c r="M702" s="17">
        <f t="shared" si="125"/>
        <v>171</v>
      </c>
      <c r="N702" s="22">
        <f t="shared" si="126"/>
        <v>0.47783933518005539</v>
      </c>
      <c r="O702" s="22">
        <f t="shared" si="127"/>
        <v>0.34626038781163437</v>
      </c>
      <c r="P702" s="22">
        <f t="shared" si="128"/>
        <v>0.13157894736842102</v>
      </c>
      <c r="Q702" t="str">
        <f t="shared" si="129"/>
        <v/>
      </c>
      <c r="S702">
        <f t="shared" si="130"/>
        <v>171.00092979999999</v>
      </c>
      <c r="T702" s="23">
        <f t="shared" si="131"/>
        <v>0.13250874736842103</v>
      </c>
    </row>
    <row r="703" spans="1:20" ht="15" customHeight="1" x14ac:dyDescent="0.35">
      <c r="A703" t="str">
        <f>Benchmarking!A703</f>
        <v>Cinemark Holdings Inc</v>
      </c>
      <c r="B703" t="str">
        <f>Benchmarking!B703</f>
        <v>cnk</v>
      </c>
      <c r="C703" t="str">
        <f>Benchmarking!C703</f>
        <v>Media</v>
      </c>
      <c r="D703" s="17">
        <f>Benchmarking!D703</f>
        <v>330</v>
      </c>
      <c r="E703" s="17">
        <f>Benchmarking!E703</f>
        <v>300</v>
      </c>
      <c r="F703" s="17">
        <f>Benchmarking!F703</f>
        <v>300</v>
      </c>
      <c r="G703" s="17">
        <f>Benchmarking!G703</f>
        <v>930</v>
      </c>
      <c r="H703" t="str">
        <f t="shared" si="120"/>
        <v>Environmental</v>
      </c>
      <c r="I703" t="str">
        <f t="shared" si="121"/>
        <v>Social</v>
      </c>
      <c r="J703" s="19">
        <f t="shared" si="122"/>
        <v>30</v>
      </c>
      <c r="K703" s="19">
        <f t="shared" si="123"/>
        <v>0</v>
      </c>
      <c r="L703" s="19">
        <f t="shared" si="124"/>
        <v>30</v>
      </c>
      <c r="M703" s="17">
        <f t="shared" si="125"/>
        <v>30</v>
      </c>
      <c r="N703" s="22">
        <f t="shared" si="126"/>
        <v>0.39750692520775621</v>
      </c>
      <c r="O703" s="22">
        <f t="shared" si="127"/>
        <v>0.36565096952908588</v>
      </c>
      <c r="P703" s="22">
        <f t="shared" si="128"/>
        <v>3.1855955678670334E-2</v>
      </c>
      <c r="Q703" t="str">
        <f t="shared" si="129"/>
        <v/>
      </c>
      <c r="S703">
        <f t="shared" si="130"/>
        <v>30.0009297</v>
      </c>
      <c r="T703" s="23">
        <f t="shared" si="131"/>
        <v>3.2785655678670332E-2</v>
      </c>
    </row>
    <row r="704" spans="1:20" ht="15" customHeight="1" x14ac:dyDescent="0.35">
      <c r="A704" t="str">
        <f>Benchmarking!A704</f>
        <v>Cannae Holdings Inc</v>
      </c>
      <c r="B704" t="str">
        <f>Benchmarking!B704</f>
        <v>cnne</v>
      </c>
      <c r="C704" t="str">
        <f>Benchmarking!C704</f>
        <v>Financial Services</v>
      </c>
      <c r="D704" s="17">
        <f>Benchmarking!D704</f>
        <v>215</v>
      </c>
      <c r="E704" s="17">
        <f>Benchmarking!E704</f>
        <v>203</v>
      </c>
      <c r="F704" s="17">
        <f>Benchmarking!F704</f>
        <v>203</v>
      </c>
      <c r="G704" s="17">
        <f>Benchmarking!G704</f>
        <v>621</v>
      </c>
      <c r="H704" t="str">
        <f t="shared" si="120"/>
        <v>Environmental</v>
      </c>
      <c r="I704" t="str">
        <f t="shared" si="121"/>
        <v>Social</v>
      </c>
      <c r="J704" s="19">
        <f t="shared" si="122"/>
        <v>12</v>
      </c>
      <c r="K704" s="19">
        <f t="shared" si="123"/>
        <v>0</v>
      </c>
      <c r="L704" s="19">
        <f t="shared" si="124"/>
        <v>12</v>
      </c>
      <c r="M704" s="17">
        <f t="shared" si="125"/>
        <v>12</v>
      </c>
      <c r="N704" s="22">
        <f t="shared" si="126"/>
        <v>4.2936288088642659E-2</v>
      </c>
      <c r="O704" s="22">
        <f t="shared" si="127"/>
        <v>5.1246537396121887E-2</v>
      </c>
      <c r="P704" s="22">
        <f t="shared" si="128"/>
        <v>-8.3102493074792283E-3</v>
      </c>
      <c r="Q704" t="str">
        <f t="shared" si="129"/>
        <v/>
      </c>
      <c r="S704">
        <f t="shared" si="130"/>
        <v>12.000929599999999</v>
      </c>
      <c r="T704" s="23">
        <f t="shared" si="131"/>
        <v>-7.3806493074792283E-3</v>
      </c>
    </row>
    <row r="705" spans="1:20" ht="15" customHeight="1" x14ac:dyDescent="0.35">
      <c r="A705" t="str">
        <f>Benchmarking!A705</f>
        <v>CNO Financial Group Inc</v>
      </c>
      <c r="B705" t="str">
        <f>Benchmarking!B705</f>
        <v>cno</v>
      </c>
      <c r="C705" t="str">
        <f>Benchmarking!C705</f>
        <v>Insurance</v>
      </c>
      <c r="D705" s="17">
        <f>Benchmarking!D705</f>
        <v>500</v>
      </c>
      <c r="E705" s="17">
        <f>Benchmarking!E705</f>
        <v>322</v>
      </c>
      <c r="F705" s="17">
        <f>Benchmarking!F705</f>
        <v>315</v>
      </c>
      <c r="G705" s="17">
        <f>Benchmarking!G705</f>
        <v>1137</v>
      </c>
      <c r="H705" t="str">
        <f t="shared" si="120"/>
        <v>Environmental</v>
      </c>
      <c r="I705" t="str">
        <f t="shared" si="121"/>
        <v>Governance</v>
      </c>
      <c r="J705" s="19">
        <f t="shared" si="122"/>
        <v>178</v>
      </c>
      <c r="K705" s="19">
        <f t="shared" si="123"/>
        <v>7</v>
      </c>
      <c r="L705" s="19">
        <f t="shared" si="124"/>
        <v>185</v>
      </c>
      <c r="M705" s="17">
        <f t="shared" si="125"/>
        <v>185</v>
      </c>
      <c r="N705" s="22">
        <f t="shared" si="126"/>
        <v>0.72022160664819945</v>
      </c>
      <c r="O705" s="22">
        <f t="shared" si="127"/>
        <v>0.51246537396121883</v>
      </c>
      <c r="P705" s="22">
        <f t="shared" si="128"/>
        <v>0.20775623268698062</v>
      </c>
      <c r="Q705" t="str">
        <f t="shared" si="129"/>
        <v/>
      </c>
      <c r="S705">
        <f t="shared" si="130"/>
        <v>185.00092950000001</v>
      </c>
      <c r="T705" s="23">
        <f t="shared" si="131"/>
        <v>0.20868573268698062</v>
      </c>
    </row>
    <row r="706" spans="1:20" ht="15" customHeight="1" x14ac:dyDescent="0.35">
      <c r="A706" t="str">
        <f>Benchmarking!A706</f>
        <v>CNA Financial Corp</v>
      </c>
      <c r="B706" t="str">
        <f>Benchmarking!B706</f>
        <v>cna</v>
      </c>
      <c r="C706" t="str">
        <f>Benchmarking!C706</f>
        <v>Insurance</v>
      </c>
      <c r="D706" s="17">
        <f>Benchmarking!D706</f>
        <v>540</v>
      </c>
      <c r="E706" s="17">
        <f>Benchmarking!E706</f>
        <v>329</v>
      </c>
      <c r="F706" s="17">
        <f>Benchmarking!F706</f>
        <v>340</v>
      </c>
      <c r="G706" s="17">
        <f>Benchmarking!G706</f>
        <v>1209</v>
      </c>
      <c r="H706" t="str">
        <f t="shared" si="120"/>
        <v>Environmental</v>
      </c>
      <c r="I706" t="str">
        <f t="shared" si="121"/>
        <v>Social</v>
      </c>
      <c r="J706" s="19">
        <f t="shared" si="122"/>
        <v>211</v>
      </c>
      <c r="K706" s="19">
        <f t="shared" si="123"/>
        <v>-11</v>
      </c>
      <c r="L706" s="19">
        <f t="shared" si="124"/>
        <v>200</v>
      </c>
      <c r="M706" s="17">
        <f t="shared" si="125"/>
        <v>211</v>
      </c>
      <c r="N706" s="22">
        <f t="shared" si="126"/>
        <v>0.9016620498614959</v>
      </c>
      <c r="O706" s="22">
        <f t="shared" si="127"/>
        <v>0.81440443213296398</v>
      </c>
      <c r="P706" s="22">
        <f t="shared" si="128"/>
        <v>8.7257617728531911E-2</v>
      </c>
      <c r="Q706" t="str">
        <f t="shared" si="129"/>
        <v/>
      </c>
      <c r="S706">
        <f t="shared" si="130"/>
        <v>211.00092939999999</v>
      </c>
      <c r="T706" s="23">
        <f t="shared" si="131"/>
        <v>8.8187017728531908E-2</v>
      </c>
    </row>
    <row r="707" spans="1:20" ht="15" customHeight="1" x14ac:dyDescent="0.35">
      <c r="A707" t="str">
        <f>Benchmarking!A707</f>
        <v>Costamare Inc</v>
      </c>
      <c r="B707" t="str">
        <f>Benchmarking!B707</f>
        <v>cmre</v>
      </c>
      <c r="C707" t="str">
        <f>Benchmarking!C707</f>
        <v>Marine</v>
      </c>
      <c r="D707" s="17">
        <f>Benchmarking!D707</f>
        <v>242</v>
      </c>
      <c r="E707" s="17">
        <f>Benchmarking!E707</f>
        <v>204</v>
      </c>
      <c r="F707" s="17">
        <f>Benchmarking!F707</f>
        <v>200</v>
      </c>
      <c r="G707" s="17">
        <f>Benchmarking!G707</f>
        <v>646</v>
      </c>
      <c r="H707" t="str">
        <f t="shared" si="120"/>
        <v>Environmental</v>
      </c>
      <c r="I707" t="str">
        <f t="shared" si="121"/>
        <v>Governance</v>
      </c>
      <c r="J707" s="19">
        <f t="shared" si="122"/>
        <v>38</v>
      </c>
      <c r="K707" s="19">
        <f t="shared" si="123"/>
        <v>4</v>
      </c>
      <c r="L707" s="19">
        <f t="shared" si="124"/>
        <v>42</v>
      </c>
      <c r="M707" s="17">
        <f t="shared" si="125"/>
        <v>42</v>
      </c>
      <c r="N707" s="22">
        <f t="shared" si="126"/>
        <v>8.5872576177285317E-2</v>
      </c>
      <c r="O707" s="22">
        <f t="shared" si="127"/>
        <v>2.7700831024930748E-3</v>
      </c>
      <c r="P707" s="22">
        <f t="shared" si="128"/>
        <v>8.3102493074792241E-2</v>
      </c>
      <c r="Q707" t="str">
        <f t="shared" si="129"/>
        <v/>
      </c>
      <c r="S707">
        <f t="shared" si="130"/>
        <v>42.000929300000003</v>
      </c>
      <c r="T707" s="23">
        <f t="shared" si="131"/>
        <v>8.4031793074792235E-2</v>
      </c>
    </row>
    <row r="708" spans="1:20" ht="15" customHeight="1" x14ac:dyDescent="0.35">
      <c r="A708" t="str">
        <f>Benchmarking!A708</f>
        <v>Granite Construction Inc</v>
      </c>
      <c r="B708" t="str">
        <f>Benchmarking!B708</f>
        <v>gva</v>
      </c>
      <c r="C708" t="str">
        <f>Benchmarking!C708</f>
        <v>Construction</v>
      </c>
      <c r="D708" s="17">
        <f>Benchmarking!D708</f>
        <v>200</v>
      </c>
      <c r="E708" s="17">
        <f>Benchmarking!E708</f>
        <v>200</v>
      </c>
      <c r="F708" s="17">
        <f>Benchmarking!F708</f>
        <v>200</v>
      </c>
      <c r="G708" s="17">
        <f>Benchmarking!G708</f>
        <v>600</v>
      </c>
      <c r="H708" t="str">
        <f t="shared" ref="H708:H725" si="132">IF(AND(D708&gt;=E708,D708&gt;=F708),"Environmental",IF(AND(E708&gt;=D708,E708&gt;=F708),"Social","Governance"))</f>
        <v>Environmental</v>
      </c>
      <c r="I708" t="str">
        <f t="shared" ref="I708:I725" si="133">IF(AND(D708&lt;=E708,D708&lt;=F708),"Environmental",IF(AND(E708&lt;=D708,E708&lt;=F708),"Social","Governance"))</f>
        <v>Environmental</v>
      </c>
      <c r="J708" s="19">
        <f t="shared" ref="J708:J725" si="134">D708-E708</f>
        <v>0</v>
      </c>
      <c r="K708" s="19">
        <f t="shared" ref="K708:K725" si="135">E708-F708</f>
        <v>0</v>
      </c>
      <c r="L708" s="19">
        <f t="shared" ref="L708:L725" si="136">D708-F708</f>
        <v>0</v>
      </c>
      <c r="M708" s="17">
        <f t="shared" ref="M708:M725" si="137">MAX(D708:F708)-MIN(D708:F708)</f>
        <v>0</v>
      </c>
      <c r="N708" s="22">
        <f t="shared" ref="N708:N725" si="138">RANK(G708,$G$4:$G$725,1)/COUNT($G$4:$G$725)</f>
        <v>1.3850415512465374E-3</v>
      </c>
      <c r="O708" s="22">
        <f t="shared" ref="O708:O725" si="139">MIN(RANK(D708,$D$4:$D$725,1)/COUNT($D$4:$D$725),RANK(E708,$E$4:$E$725,1)/COUNT($E$4:$E$725),RANK(F708,$F$4:$F$725,1)/COUNT($F$4:$F$725))</f>
        <v>1.3850415512465374E-3</v>
      </c>
      <c r="P708" s="22">
        <f t="shared" ref="P708:P771" si="140">N708-O708</f>
        <v>0</v>
      </c>
      <c r="Q708" t="str">
        <f t="shared" ref="Q708:Q771" si="141">IF(AND(N708&gt;=0.7,P708&gt;=0.4),"High ESG / weak pillar (analytical flag - not an ESG rating) - warrants investigation","")</f>
        <v/>
      </c>
      <c r="S708">
        <f t="shared" ref="S708:S725" si="142">M708+(10000-ROW())/10000000</f>
        <v>9.2920000000000003E-4</v>
      </c>
      <c r="T708" s="23">
        <f t="shared" ref="T708:T725" si="143">P708+(10000-ROW())/10000000</f>
        <v>9.2920000000000003E-4</v>
      </c>
    </row>
    <row r="709" spans="1:20" ht="15" customHeight="1" x14ac:dyDescent="0.35">
      <c r="A709" t="str">
        <f>Benchmarking!A709</f>
        <v>Fabrinet</v>
      </c>
      <c r="B709" t="str">
        <f>Benchmarking!B709</f>
        <v>fn</v>
      </c>
      <c r="C709" t="str">
        <f>Benchmarking!C709</f>
        <v>Electrical Equipment</v>
      </c>
      <c r="D709" s="17">
        <f>Benchmarking!D709</f>
        <v>510</v>
      </c>
      <c r="E709" s="17">
        <f>Benchmarking!E709</f>
        <v>209</v>
      </c>
      <c r="F709" s="17">
        <f>Benchmarking!F709</f>
        <v>210</v>
      </c>
      <c r="G709" s="17">
        <f>Benchmarking!G709</f>
        <v>929</v>
      </c>
      <c r="H709" t="str">
        <f t="shared" si="132"/>
        <v>Environmental</v>
      </c>
      <c r="I709" t="str">
        <f t="shared" si="133"/>
        <v>Social</v>
      </c>
      <c r="J709" s="19">
        <f t="shared" si="134"/>
        <v>301</v>
      </c>
      <c r="K709" s="19">
        <f t="shared" si="135"/>
        <v>-1</v>
      </c>
      <c r="L709" s="19">
        <f t="shared" si="136"/>
        <v>300</v>
      </c>
      <c r="M709" s="17">
        <f t="shared" si="137"/>
        <v>301</v>
      </c>
      <c r="N709" s="22">
        <f t="shared" si="138"/>
        <v>0.39473684210526316</v>
      </c>
      <c r="O709" s="22">
        <f t="shared" si="139"/>
        <v>0.10526315789473684</v>
      </c>
      <c r="P709" s="22">
        <f t="shared" si="140"/>
        <v>0.28947368421052633</v>
      </c>
      <c r="Q709" t="str">
        <f t="shared" si="141"/>
        <v/>
      </c>
      <c r="S709">
        <f t="shared" si="142"/>
        <v>301.00092910000001</v>
      </c>
      <c r="T709" s="23">
        <f t="shared" si="143"/>
        <v>0.29040278421052634</v>
      </c>
    </row>
    <row r="710" spans="1:20" ht="15" customHeight="1" x14ac:dyDescent="0.35">
      <c r="A710" t="str">
        <f>Benchmarking!A710</f>
        <v>Hyatt Hotels Corp</v>
      </c>
      <c r="B710" t="str">
        <f>Benchmarking!B710</f>
        <v>h</v>
      </c>
      <c r="C710" t="str">
        <f>Benchmarking!C710</f>
        <v>Hotels, Restaurants &amp; Leisure</v>
      </c>
      <c r="D710" s="17">
        <f>Benchmarking!D710</f>
        <v>235</v>
      </c>
      <c r="E710" s="17">
        <f>Benchmarking!E710</f>
        <v>209</v>
      </c>
      <c r="F710" s="17">
        <f>Benchmarking!F710</f>
        <v>205</v>
      </c>
      <c r="G710" s="17">
        <f>Benchmarking!G710</f>
        <v>649</v>
      </c>
      <c r="H710" t="str">
        <f t="shared" si="132"/>
        <v>Environmental</v>
      </c>
      <c r="I710" t="str">
        <f t="shared" si="133"/>
        <v>Governance</v>
      </c>
      <c r="J710" s="19">
        <f t="shared" si="134"/>
        <v>26</v>
      </c>
      <c r="K710" s="19">
        <f t="shared" si="135"/>
        <v>4</v>
      </c>
      <c r="L710" s="19">
        <f t="shared" si="136"/>
        <v>30</v>
      </c>
      <c r="M710" s="17">
        <f t="shared" si="137"/>
        <v>30</v>
      </c>
      <c r="N710" s="22">
        <f t="shared" si="138"/>
        <v>9.141274238227147E-2</v>
      </c>
      <c r="O710" s="22">
        <f t="shared" si="139"/>
        <v>8.3102493074792241E-2</v>
      </c>
      <c r="P710" s="22">
        <f t="shared" si="140"/>
        <v>8.3102493074792283E-3</v>
      </c>
      <c r="Q710" t="str">
        <f t="shared" si="141"/>
        <v/>
      </c>
      <c r="S710">
        <f t="shared" si="142"/>
        <v>30.000928999999999</v>
      </c>
      <c r="T710" s="23">
        <f t="shared" si="143"/>
        <v>9.2392493074792276E-3</v>
      </c>
    </row>
    <row r="711" spans="1:20" ht="15" customHeight="1" x14ac:dyDescent="0.35">
      <c r="A711" t="str">
        <f>Benchmarking!A711</f>
        <v>Hannon Armstrong Sustainable Infrastructure Capital Inc</v>
      </c>
      <c r="B711" t="str">
        <f>Benchmarking!B711</f>
        <v>hasi</v>
      </c>
      <c r="C711" t="str">
        <f>Benchmarking!C711</f>
        <v>Real Estate</v>
      </c>
      <c r="D711" s="17">
        <f>Benchmarking!D711</f>
        <v>646</v>
      </c>
      <c r="E711" s="17">
        <f>Benchmarking!E711</f>
        <v>404</v>
      </c>
      <c r="F711" s="17">
        <f>Benchmarking!F711</f>
        <v>313</v>
      </c>
      <c r="G711" s="17">
        <f>Benchmarking!G711</f>
        <v>1363</v>
      </c>
      <c r="H711" t="str">
        <f t="shared" si="132"/>
        <v>Environmental</v>
      </c>
      <c r="I711" t="str">
        <f t="shared" si="133"/>
        <v>Governance</v>
      </c>
      <c r="J711" s="19">
        <f t="shared" si="134"/>
        <v>242</v>
      </c>
      <c r="K711" s="19">
        <f t="shared" si="135"/>
        <v>91</v>
      </c>
      <c r="L711" s="19">
        <f t="shared" si="136"/>
        <v>333</v>
      </c>
      <c r="M711" s="17">
        <f t="shared" si="137"/>
        <v>333</v>
      </c>
      <c r="N711" s="22">
        <f t="shared" si="138"/>
        <v>0.97922437673130192</v>
      </c>
      <c r="O711" s="22">
        <f t="shared" si="139"/>
        <v>0.81301939058171746</v>
      </c>
      <c r="P711" s="22">
        <f t="shared" si="140"/>
        <v>0.16620498614958445</v>
      </c>
      <c r="Q711" t="str">
        <f t="shared" si="141"/>
        <v/>
      </c>
      <c r="S711">
        <f t="shared" si="142"/>
        <v>333.00092890000002</v>
      </c>
      <c r="T711" s="23">
        <f t="shared" si="143"/>
        <v>0.16713388614958447</v>
      </c>
    </row>
    <row r="712" spans="1:20" ht="15" customHeight="1" x14ac:dyDescent="0.35">
      <c r="A712" t="str">
        <f>Benchmarking!A712</f>
        <v>Hayward Holdings Inc</v>
      </c>
      <c r="B712" t="str">
        <f>Benchmarking!B712</f>
        <v>hayw</v>
      </c>
      <c r="C712" t="str">
        <f>Benchmarking!C712</f>
        <v>Building</v>
      </c>
      <c r="D712" s="17">
        <f>Benchmarking!D712</f>
        <v>535</v>
      </c>
      <c r="E712" s="17">
        <f>Benchmarking!E712</f>
        <v>305</v>
      </c>
      <c r="F712" s="17">
        <f>Benchmarking!F712</f>
        <v>300</v>
      </c>
      <c r="G712" s="17">
        <f>Benchmarking!G712</f>
        <v>1140</v>
      </c>
      <c r="H712" t="str">
        <f t="shared" si="132"/>
        <v>Environmental</v>
      </c>
      <c r="I712" t="str">
        <f t="shared" si="133"/>
        <v>Governance</v>
      </c>
      <c r="J712" s="19">
        <f t="shared" si="134"/>
        <v>230</v>
      </c>
      <c r="K712" s="19">
        <f t="shared" si="135"/>
        <v>5</v>
      </c>
      <c r="L712" s="19">
        <f t="shared" si="136"/>
        <v>235</v>
      </c>
      <c r="M712" s="17">
        <f t="shared" si="137"/>
        <v>235</v>
      </c>
      <c r="N712" s="22">
        <f t="shared" si="138"/>
        <v>0.73268698060941828</v>
      </c>
      <c r="O712" s="22">
        <f t="shared" si="139"/>
        <v>0.39335180055401664</v>
      </c>
      <c r="P712" s="22">
        <f t="shared" si="140"/>
        <v>0.33933518005540164</v>
      </c>
      <c r="Q712" t="str">
        <f t="shared" si="141"/>
        <v/>
      </c>
      <c r="S712">
        <f t="shared" si="142"/>
        <v>235.0009288</v>
      </c>
      <c r="T712" s="23">
        <f t="shared" si="143"/>
        <v>0.34026398005540165</v>
      </c>
    </row>
    <row r="713" spans="1:20" ht="15" customHeight="1" x14ac:dyDescent="0.35">
      <c r="A713" t="str">
        <f>Benchmarking!A713</f>
        <v>Hamilton Beach Brands Holding Co</v>
      </c>
      <c r="B713" t="str">
        <f>Benchmarking!B713</f>
        <v>hbb</v>
      </c>
      <c r="C713" t="str">
        <f>Benchmarking!C713</f>
        <v>Consumer products</v>
      </c>
      <c r="D713" s="17">
        <f>Benchmarking!D713</f>
        <v>245</v>
      </c>
      <c r="E713" s="17">
        <f>Benchmarking!E713</f>
        <v>272</v>
      </c>
      <c r="F713" s="17">
        <f>Benchmarking!F713</f>
        <v>230</v>
      </c>
      <c r="G713" s="17">
        <f>Benchmarking!G713</f>
        <v>747</v>
      </c>
      <c r="H713" t="str">
        <f t="shared" si="132"/>
        <v>Social</v>
      </c>
      <c r="I713" t="str">
        <f t="shared" si="133"/>
        <v>Governance</v>
      </c>
      <c r="J713" s="19">
        <f t="shared" si="134"/>
        <v>-27</v>
      </c>
      <c r="K713" s="19">
        <f t="shared" si="135"/>
        <v>42</v>
      </c>
      <c r="L713" s="19">
        <f t="shared" si="136"/>
        <v>15</v>
      </c>
      <c r="M713" s="17">
        <f t="shared" si="137"/>
        <v>42</v>
      </c>
      <c r="N713" s="22">
        <f t="shared" si="138"/>
        <v>0.22437673130193905</v>
      </c>
      <c r="O713" s="22">
        <f t="shared" si="139"/>
        <v>0.22991689750692521</v>
      </c>
      <c r="P713" s="22">
        <f t="shared" si="140"/>
        <v>-5.5401662049861522E-3</v>
      </c>
      <c r="Q713" t="str">
        <f t="shared" si="141"/>
        <v/>
      </c>
      <c r="S713">
        <f t="shared" si="142"/>
        <v>42.000928700000003</v>
      </c>
      <c r="T713" s="23">
        <f t="shared" si="143"/>
        <v>-4.611466204986152E-3</v>
      </c>
    </row>
    <row r="714" spans="1:20" ht="15" customHeight="1" x14ac:dyDescent="0.35">
      <c r="A714" t="str">
        <f>Benchmarking!A714</f>
        <v>Warrior Met Coal Inc</v>
      </c>
      <c r="B714" t="str">
        <f>Benchmarking!B714</f>
        <v>hcc</v>
      </c>
      <c r="C714" t="str">
        <f>Benchmarking!C714</f>
        <v>Metals &amp; Mining</v>
      </c>
      <c r="D714" s="17">
        <f>Benchmarking!D714</f>
        <v>215</v>
      </c>
      <c r="E714" s="17">
        <f>Benchmarking!E714</f>
        <v>200</v>
      </c>
      <c r="F714" s="17">
        <f>Benchmarking!F714</f>
        <v>200</v>
      </c>
      <c r="G714" s="17">
        <f>Benchmarking!G714</f>
        <v>615</v>
      </c>
      <c r="H714" t="str">
        <f t="shared" si="132"/>
        <v>Environmental</v>
      </c>
      <c r="I714" t="str">
        <f t="shared" si="133"/>
        <v>Social</v>
      </c>
      <c r="J714" s="19">
        <f t="shared" si="134"/>
        <v>15</v>
      </c>
      <c r="K714" s="19">
        <f t="shared" si="135"/>
        <v>0</v>
      </c>
      <c r="L714" s="19">
        <f t="shared" si="136"/>
        <v>15</v>
      </c>
      <c r="M714" s="17">
        <f t="shared" si="137"/>
        <v>15</v>
      </c>
      <c r="N714" s="22">
        <f t="shared" si="138"/>
        <v>2.9085872576177285E-2</v>
      </c>
      <c r="O714" s="22">
        <f t="shared" si="139"/>
        <v>2.7700831024930748E-3</v>
      </c>
      <c r="P714" s="22">
        <f t="shared" si="140"/>
        <v>2.6315789473684209E-2</v>
      </c>
      <c r="Q714" t="str">
        <f t="shared" si="141"/>
        <v/>
      </c>
      <c r="S714">
        <f t="shared" si="142"/>
        <v>15.0009286</v>
      </c>
      <c r="T714" s="23">
        <f t="shared" si="143"/>
        <v>2.7244389473684211E-2</v>
      </c>
    </row>
    <row r="715" spans="1:20" ht="15" customHeight="1" x14ac:dyDescent="0.35">
      <c r="A715" t="str">
        <f>Benchmarking!A715</f>
        <v>Hci Group Inc</v>
      </c>
      <c r="B715" t="str">
        <f>Benchmarking!B715</f>
        <v>hci</v>
      </c>
      <c r="C715" t="str">
        <f>Benchmarking!C715</f>
        <v>Insurance</v>
      </c>
      <c r="D715" s="17">
        <f>Benchmarking!D715</f>
        <v>205</v>
      </c>
      <c r="E715" s="17">
        <f>Benchmarking!E715</f>
        <v>260</v>
      </c>
      <c r="F715" s="17">
        <f>Benchmarking!F715</f>
        <v>300</v>
      </c>
      <c r="G715" s="17">
        <f>Benchmarking!G715</f>
        <v>765</v>
      </c>
      <c r="H715" t="str">
        <f t="shared" si="132"/>
        <v>Governance</v>
      </c>
      <c r="I715" t="str">
        <f t="shared" si="133"/>
        <v>Environmental</v>
      </c>
      <c r="J715" s="19">
        <f t="shared" si="134"/>
        <v>-55</v>
      </c>
      <c r="K715" s="19">
        <f t="shared" si="135"/>
        <v>-40</v>
      </c>
      <c r="L715" s="19">
        <f t="shared" si="136"/>
        <v>-95</v>
      </c>
      <c r="M715" s="17">
        <f t="shared" si="137"/>
        <v>95</v>
      </c>
      <c r="N715" s="22">
        <f t="shared" si="138"/>
        <v>0.25346260387811637</v>
      </c>
      <c r="O715" s="22">
        <f t="shared" si="139"/>
        <v>5.6786703601108032E-2</v>
      </c>
      <c r="P715" s="22">
        <f t="shared" si="140"/>
        <v>0.19667590027700832</v>
      </c>
      <c r="Q715" t="str">
        <f t="shared" si="141"/>
        <v/>
      </c>
      <c r="S715">
        <f t="shared" si="142"/>
        <v>95.000928500000001</v>
      </c>
      <c r="T715" s="23">
        <f t="shared" si="143"/>
        <v>0.19760440027700832</v>
      </c>
    </row>
    <row r="716" spans="1:20" ht="15" customHeight="1" x14ac:dyDescent="0.35">
      <c r="A716" t="str">
        <f>Benchmarking!A716</f>
        <v>Hawaiian Electric Industries Inc</v>
      </c>
      <c r="B716" t="str">
        <f>Benchmarking!B716</f>
        <v>he</v>
      </c>
      <c r="C716" t="str">
        <f>Benchmarking!C716</f>
        <v>Utilities</v>
      </c>
      <c r="D716" s="17">
        <f>Benchmarking!D716</f>
        <v>585</v>
      </c>
      <c r="E716" s="17">
        <f>Benchmarking!E716</f>
        <v>348</v>
      </c>
      <c r="F716" s="17">
        <f>Benchmarking!F716</f>
        <v>310</v>
      </c>
      <c r="G716" s="17">
        <f>Benchmarking!G716</f>
        <v>1243</v>
      </c>
      <c r="H716" t="str">
        <f t="shared" si="132"/>
        <v>Environmental</v>
      </c>
      <c r="I716" t="str">
        <f t="shared" si="133"/>
        <v>Governance</v>
      </c>
      <c r="J716" s="19">
        <f t="shared" si="134"/>
        <v>237</v>
      </c>
      <c r="K716" s="19">
        <f t="shared" si="135"/>
        <v>38</v>
      </c>
      <c r="L716" s="19">
        <f t="shared" si="136"/>
        <v>275</v>
      </c>
      <c r="M716" s="17">
        <f t="shared" si="137"/>
        <v>275</v>
      </c>
      <c r="N716" s="22">
        <f t="shared" si="138"/>
        <v>0.92659279778393355</v>
      </c>
      <c r="O716" s="22">
        <f t="shared" si="139"/>
        <v>0.74653739612188363</v>
      </c>
      <c r="P716" s="22">
        <f t="shared" si="140"/>
        <v>0.18005540166204992</v>
      </c>
      <c r="Q716" t="str">
        <f t="shared" si="141"/>
        <v/>
      </c>
      <c r="S716">
        <f t="shared" si="142"/>
        <v>275.00092840000002</v>
      </c>
      <c r="T716" s="23">
        <f t="shared" si="143"/>
        <v>0.18098380166204991</v>
      </c>
    </row>
    <row r="717" spans="1:20" ht="15" customHeight="1" x14ac:dyDescent="0.35">
      <c r="A717" t="str">
        <f>Benchmarking!A717</f>
        <v>Guidewire Software Inc</v>
      </c>
      <c r="B717" t="str">
        <f>Benchmarking!B717</f>
        <v>gwre</v>
      </c>
      <c r="C717" t="str">
        <f>Benchmarking!C717</f>
        <v>Technology</v>
      </c>
      <c r="D717" s="17">
        <f>Benchmarking!D717</f>
        <v>549</v>
      </c>
      <c r="E717" s="17">
        <f>Benchmarking!E717</f>
        <v>321</v>
      </c>
      <c r="F717" s="17">
        <f>Benchmarking!F717</f>
        <v>330</v>
      </c>
      <c r="G717" s="17">
        <f>Benchmarking!G717</f>
        <v>1200</v>
      </c>
      <c r="H717" t="str">
        <f t="shared" si="132"/>
        <v>Environmental</v>
      </c>
      <c r="I717" t="str">
        <f t="shared" si="133"/>
        <v>Social</v>
      </c>
      <c r="J717" s="19">
        <f t="shared" si="134"/>
        <v>228</v>
      </c>
      <c r="K717" s="19">
        <f t="shared" si="135"/>
        <v>-9</v>
      </c>
      <c r="L717" s="19">
        <f t="shared" si="136"/>
        <v>219</v>
      </c>
      <c r="M717" s="17">
        <f t="shared" si="137"/>
        <v>228</v>
      </c>
      <c r="N717" s="22">
        <f t="shared" si="138"/>
        <v>0.88642659279778391</v>
      </c>
      <c r="O717" s="22">
        <f t="shared" si="139"/>
        <v>0.72576177285318555</v>
      </c>
      <c r="P717" s="22">
        <f t="shared" si="140"/>
        <v>0.16066481994459836</v>
      </c>
      <c r="Q717" t="str">
        <f t="shared" si="141"/>
        <v/>
      </c>
      <c r="S717">
        <f t="shared" si="142"/>
        <v>228.0009283</v>
      </c>
      <c r="T717" s="23">
        <f t="shared" si="143"/>
        <v>0.16159311994459835</v>
      </c>
    </row>
    <row r="718" spans="1:20" ht="15" customHeight="1" x14ac:dyDescent="0.35">
      <c r="A718" t="str">
        <f>Benchmarking!A718</f>
        <v>Haemonetics Corp</v>
      </c>
      <c r="B718" t="str">
        <f>Benchmarking!B718</f>
        <v>hae</v>
      </c>
      <c r="C718" t="str">
        <f>Benchmarking!C718</f>
        <v>Health Care</v>
      </c>
      <c r="D718" s="17">
        <f>Benchmarking!D718</f>
        <v>448</v>
      </c>
      <c r="E718" s="17">
        <f>Benchmarking!E718</f>
        <v>303</v>
      </c>
      <c r="F718" s="17">
        <f>Benchmarking!F718</f>
        <v>305</v>
      </c>
      <c r="G718" s="17">
        <f>Benchmarking!G718</f>
        <v>1056</v>
      </c>
      <c r="H718" t="str">
        <f t="shared" si="132"/>
        <v>Environmental</v>
      </c>
      <c r="I718" t="str">
        <f t="shared" si="133"/>
        <v>Social</v>
      </c>
      <c r="J718" s="19">
        <f t="shared" si="134"/>
        <v>145</v>
      </c>
      <c r="K718" s="19">
        <f t="shared" si="135"/>
        <v>-2</v>
      </c>
      <c r="L718" s="19">
        <f t="shared" si="136"/>
        <v>143</v>
      </c>
      <c r="M718" s="17">
        <f t="shared" si="137"/>
        <v>145</v>
      </c>
      <c r="N718" s="22">
        <f t="shared" si="138"/>
        <v>0.5110803324099723</v>
      </c>
      <c r="O718" s="22">
        <f t="shared" si="139"/>
        <v>0.47783933518005539</v>
      </c>
      <c r="P718" s="22">
        <f t="shared" si="140"/>
        <v>3.3240997229916913E-2</v>
      </c>
      <c r="Q718" t="str">
        <f t="shared" si="141"/>
        <v/>
      </c>
      <c r="S718">
        <f t="shared" si="142"/>
        <v>145.0009282</v>
      </c>
      <c r="T718" s="23">
        <f t="shared" si="143"/>
        <v>3.416919722991691E-2</v>
      </c>
    </row>
    <row r="719" spans="1:20" ht="15" customHeight="1" x14ac:dyDescent="0.35">
      <c r="A719" t="str">
        <f>Benchmarking!A719</f>
        <v>Holly Energy Partners LP</v>
      </c>
      <c r="B719" t="str">
        <f>Benchmarking!B719</f>
        <v>hep</v>
      </c>
      <c r="C719" t="str">
        <f>Benchmarking!C719</f>
        <v>Energy</v>
      </c>
      <c r="D719" s="17">
        <f>Benchmarking!D719</f>
        <v>511</v>
      </c>
      <c r="E719" s="17">
        <f>Benchmarking!E719</f>
        <v>225</v>
      </c>
      <c r="F719" s="17">
        <f>Benchmarking!F719</f>
        <v>215</v>
      </c>
      <c r="G719" s="17">
        <f>Benchmarking!G719</f>
        <v>951</v>
      </c>
      <c r="H719" t="str">
        <f t="shared" si="132"/>
        <v>Environmental</v>
      </c>
      <c r="I719" t="str">
        <f t="shared" si="133"/>
        <v>Governance</v>
      </c>
      <c r="J719" s="19">
        <f t="shared" si="134"/>
        <v>286</v>
      </c>
      <c r="K719" s="19">
        <f t="shared" si="135"/>
        <v>10</v>
      </c>
      <c r="L719" s="19">
        <f t="shared" si="136"/>
        <v>296</v>
      </c>
      <c r="M719" s="17">
        <f t="shared" si="137"/>
        <v>296</v>
      </c>
      <c r="N719" s="22">
        <f t="shared" si="138"/>
        <v>0.42105263157894735</v>
      </c>
      <c r="O719" s="22">
        <f t="shared" si="139"/>
        <v>0.15373961218836565</v>
      </c>
      <c r="P719" s="22">
        <f t="shared" si="140"/>
        <v>0.26731301939058172</v>
      </c>
      <c r="Q719" t="str">
        <f t="shared" si="141"/>
        <v/>
      </c>
      <c r="S719">
        <f t="shared" si="142"/>
        <v>296.00092810000001</v>
      </c>
      <c r="T719" s="23">
        <f t="shared" si="143"/>
        <v>0.26824111939058171</v>
      </c>
    </row>
    <row r="720" spans="1:20" ht="15" customHeight="1" x14ac:dyDescent="0.35">
      <c r="A720" t="str">
        <f>Benchmarking!A720</f>
        <v>Hilton Grand Vacations Inc</v>
      </c>
      <c r="B720" t="str">
        <f>Benchmarking!B720</f>
        <v>hgv</v>
      </c>
      <c r="C720" t="str">
        <f>Benchmarking!C720</f>
        <v>Hotels, Restaurants &amp; Leisure</v>
      </c>
      <c r="D720" s="17">
        <f>Benchmarking!D720</f>
        <v>305</v>
      </c>
      <c r="E720" s="17">
        <f>Benchmarking!E720</f>
        <v>288</v>
      </c>
      <c r="F720" s="17">
        <f>Benchmarking!F720</f>
        <v>250</v>
      </c>
      <c r="G720" s="17">
        <f>Benchmarking!G720</f>
        <v>843</v>
      </c>
      <c r="H720" t="str">
        <f t="shared" si="132"/>
        <v>Environmental</v>
      </c>
      <c r="I720" t="str">
        <f t="shared" si="133"/>
        <v>Governance</v>
      </c>
      <c r="J720" s="19">
        <f t="shared" si="134"/>
        <v>17</v>
      </c>
      <c r="K720" s="19">
        <f t="shared" si="135"/>
        <v>38</v>
      </c>
      <c r="L720" s="19">
        <f t="shared" si="136"/>
        <v>55</v>
      </c>
      <c r="M720" s="17">
        <f t="shared" si="137"/>
        <v>55</v>
      </c>
      <c r="N720" s="22">
        <f t="shared" si="138"/>
        <v>0.33240997229916897</v>
      </c>
      <c r="O720" s="22">
        <f t="shared" si="139"/>
        <v>0.296398891966759</v>
      </c>
      <c r="P720" s="22">
        <f t="shared" si="140"/>
        <v>3.6011080332409962E-2</v>
      </c>
      <c r="Q720" t="str">
        <f t="shared" si="141"/>
        <v/>
      </c>
      <c r="S720">
        <f t="shared" si="142"/>
        <v>55.000928000000002</v>
      </c>
      <c r="T720" s="23">
        <f t="shared" si="143"/>
        <v>3.693908033240996E-2</v>
      </c>
    </row>
    <row r="721" spans="1:20" ht="15" customHeight="1" x14ac:dyDescent="0.35">
      <c r="A721" t="str">
        <f>Benchmarking!A721</f>
        <v>Hillenbrand Inc</v>
      </c>
      <c r="B721" t="str">
        <f>Benchmarking!B721</f>
        <v>hi</v>
      </c>
      <c r="C721" t="str">
        <f>Benchmarking!C721</f>
        <v>Machinery</v>
      </c>
      <c r="D721" s="17">
        <f>Benchmarking!D721</f>
        <v>489</v>
      </c>
      <c r="E721" s="17">
        <f>Benchmarking!E721</f>
        <v>349</v>
      </c>
      <c r="F721" s="17">
        <f>Benchmarking!F721</f>
        <v>300</v>
      </c>
      <c r="G721" s="17">
        <f>Benchmarking!G721</f>
        <v>1138</v>
      </c>
      <c r="H721" t="str">
        <f t="shared" si="132"/>
        <v>Environmental</v>
      </c>
      <c r="I721" t="str">
        <f t="shared" si="133"/>
        <v>Governance</v>
      </c>
      <c r="J721" s="19">
        <f t="shared" si="134"/>
        <v>140</v>
      </c>
      <c r="K721" s="19">
        <f t="shared" si="135"/>
        <v>49</v>
      </c>
      <c r="L721" s="19">
        <f t="shared" si="136"/>
        <v>189</v>
      </c>
      <c r="M721" s="17">
        <f t="shared" si="137"/>
        <v>189</v>
      </c>
      <c r="N721" s="22">
        <f t="shared" si="138"/>
        <v>0.72437673130193903</v>
      </c>
      <c r="O721" s="22">
        <f t="shared" si="139"/>
        <v>0.39335180055401664</v>
      </c>
      <c r="P721" s="22">
        <f t="shared" si="140"/>
        <v>0.33102493074792239</v>
      </c>
      <c r="Q721" t="str">
        <f t="shared" si="141"/>
        <v/>
      </c>
      <c r="S721">
        <f t="shared" si="142"/>
        <v>189.00092789999999</v>
      </c>
      <c r="T721" s="23">
        <f t="shared" si="143"/>
        <v>0.33195283074792237</v>
      </c>
    </row>
    <row r="722" spans="1:20" ht="15" customHeight="1" x14ac:dyDescent="0.35">
      <c r="A722" t="str">
        <f>Benchmarking!A722</f>
        <v>Howard Hughes Corp</v>
      </c>
      <c r="B722" t="str">
        <f>Benchmarking!B722</f>
        <v>hhc</v>
      </c>
      <c r="C722" t="str">
        <f>Benchmarking!C722</f>
        <v>Real Estate</v>
      </c>
      <c r="D722" s="17">
        <f>Benchmarking!D722</f>
        <v>500</v>
      </c>
      <c r="E722" s="17">
        <f>Benchmarking!E722</f>
        <v>300</v>
      </c>
      <c r="F722" s="17">
        <f>Benchmarking!F722</f>
        <v>300</v>
      </c>
      <c r="G722" s="17">
        <f>Benchmarking!G722</f>
        <v>1100</v>
      </c>
      <c r="H722" t="str">
        <f t="shared" si="132"/>
        <v>Environmental</v>
      </c>
      <c r="I722" t="str">
        <f t="shared" si="133"/>
        <v>Social</v>
      </c>
      <c r="J722" s="19">
        <f t="shared" si="134"/>
        <v>200</v>
      </c>
      <c r="K722" s="19">
        <f t="shared" si="135"/>
        <v>0</v>
      </c>
      <c r="L722" s="19">
        <f t="shared" si="136"/>
        <v>200</v>
      </c>
      <c r="M722" s="17">
        <f t="shared" si="137"/>
        <v>200</v>
      </c>
      <c r="N722" s="22">
        <f t="shared" si="138"/>
        <v>0.56925207756232687</v>
      </c>
      <c r="O722" s="22">
        <f t="shared" si="139"/>
        <v>0.36565096952908588</v>
      </c>
      <c r="P722" s="22">
        <f t="shared" si="140"/>
        <v>0.203601108033241</v>
      </c>
      <c r="Q722" t="str">
        <f t="shared" si="141"/>
        <v/>
      </c>
      <c r="S722">
        <f t="shared" si="142"/>
        <v>200.0009278</v>
      </c>
      <c r="T722" s="23">
        <f t="shared" si="143"/>
        <v>0.204528908033241</v>
      </c>
    </row>
    <row r="723" spans="1:20" ht="15" customHeight="1" x14ac:dyDescent="0.35">
      <c r="A723" t="str">
        <f>Benchmarking!A723</f>
        <v>HubSpot Inc</v>
      </c>
      <c r="B723" t="str">
        <f>Benchmarking!B723</f>
        <v>hubs</v>
      </c>
      <c r="C723" t="str">
        <f>Benchmarking!C723</f>
        <v>Technology</v>
      </c>
      <c r="D723" s="17">
        <f>Benchmarking!D723</f>
        <v>480</v>
      </c>
      <c r="E723" s="17">
        <f>Benchmarking!E723</f>
        <v>329</v>
      </c>
      <c r="F723" s="17">
        <f>Benchmarking!F723</f>
        <v>320</v>
      </c>
      <c r="G723" s="17">
        <f>Benchmarking!G723</f>
        <v>1129</v>
      </c>
      <c r="H723" t="str">
        <f t="shared" si="132"/>
        <v>Environmental</v>
      </c>
      <c r="I723" t="str">
        <f t="shared" si="133"/>
        <v>Governance</v>
      </c>
      <c r="J723" s="19">
        <f t="shared" si="134"/>
        <v>151</v>
      </c>
      <c r="K723" s="19">
        <f t="shared" si="135"/>
        <v>9</v>
      </c>
      <c r="L723" s="19">
        <f t="shared" si="136"/>
        <v>160</v>
      </c>
      <c r="M723" s="17">
        <f t="shared" si="137"/>
        <v>160</v>
      </c>
      <c r="N723" s="22">
        <f t="shared" si="138"/>
        <v>0.69390581717451527</v>
      </c>
      <c r="O723" s="22">
        <f t="shared" si="139"/>
        <v>0.49722991689750695</v>
      </c>
      <c r="P723" s="22">
        <f t="shared" si="140"/>
        <v>0.19667590027700832</v>
      </c>
      <c r="Q723" t="str">
        <f t="shared" si="141"/>
        <v/>
      </c>
      <c r="S723">
        <f t="shared" si="142"/>
        <v>160.00092770000001</v>
      </c>
      <c r="T723" s="23">
        <f t="shared" si="143"/>
        <v>0.19760360027700832</v>
      </c>
    </row>
    <row r="724" spans="1:20" ht="15" customHeight="1" x14ac:dyDescent="0.35">
      <c r="A724" t="str">
        <f>Benchmarking!A724</f>
        <v>Hess Midstream LP</v>
      </c>
      <c r="B724" t="str">
        <f>Benchmarking!B724</f>
        <v>hesm</v>
      </c>
      <c r="C724" t="str">
        <f>Benchmarking!C724</f>
        <v>Energy</v>
      </c>
      <c r="D724" s="17">
        <f>Benchmarking!D724</f>
        <v>307</v>
      </c>
      <c r="E724" s="17">
        <f>Benchmarking!E724</f>
        <v>257</v>
      </c>
      <c r="F724" s="17">
        <f>Benchmarking!F724</f>
        <v>255</v>
      </c>
      <c r="G724" s="17">
        <f>Benchmarking!G724</f>
        <v>819</v>
      </c>
      <c r="H724" t="str">
        <f t="shared" si="132"/>
        <v>Environmental</v>
      </c>
      <c r="I724" t="str">
        <f t="shared" si="133"/>
        <v>Governance</v>
      </c>
      <c r="J724" s="19">
        <f t="shared" si="134"/>
        <v>50</v>
      </c>
      <c r="K724" s="19">
        <f t="shared" si="135"/>
        <v>2</v>
      </c>
      <c r="L724" s="19">
        <f t="shared" si="136"/>
        <v>52</v>
      </c>
      <c r="M724" s="17">
        <f t="shared" si="137"/>
        <v>52</v>
      </c>
      <c r="N724" s="22">
        <f t="shared" si="138"/>
        <v>0.30747922437673131</v>
      </c>
      <c r="O724" s="22">
        <f t="shared" si="139"/>
        <v>0.27839335180055402</v>
      </c>
      <c r="P724" s="22">
        <f t="shared" si="140"/>
        <v>2.9085872576177285E-2</v>
      </c>
      <c r="Q724" t="str">
        <f t="shared" si="141"/>
        <v/>
      </c>
      <c r="S724">
        <f t="shared" si="142"/>
        <v>52.000927599999997</v>
      </c>
      <c r="T724" s="23">
        <f t="shared" si="143"/>
        <v>3.0013472576177286E-2</v>
      </c>
    </row>
    <row r="725" spans="1:20" ht="15" customHeight="1" x14ac:dyDescent="0.35">
      <c r="A725" t="str">
        <f>Benchmarking!A725</f>
        <v>HEICO Corp</v>
      </c>
      <c r="B725" t="str">
        <f>Benchmarking!B725</f>
        <v>hei</v>
      </c>
      <c r="C725" t="str">
        <f>Benchmarking!C725</f>
        <v>Aerospace &amp; Defense</v>
      </c>
      <c r="D725" s="17">
        <f>Benchmarking!D725</f>
        <v>225</v>
      </c>
      <c r="E725" s="17">
        <f>Benchmarking!E725</f>
        <v>203</v>
      </c>
      <c r="F725" s="17">
        <f>Benchmarking!F725</f>
        <v>205</v>
      </c>
      <c r="G725" s="17">
        <f>Benchmarking!G725</f>
        <v>633</v>
      </c>
      <c r="H725" t="str">
        <f t="shared" si="132"/>
        <v>Environmental</v>
      </c>
      <c r="I725" t="str">
        <f t="shared" si="133"/>
        <v>Social</v>
      </c>
      <c r="J725" s="19">
        <f t="shared" si="134"/>
        <v>22</v>
      </c>
      <c r="K725" s="19">
        <f t="shared" si="135"/>
        <v>-2</v>
      </c>
      <c r="L725" s="19">
        <f t="shared" si="136"/>
        <v>20</v>
      </c>
      <c r="M725" s="17">
        <f t="shared" si="137"/>
        <v>22</v>
      </c>
      <c r="N725" s="22">
        <f t="shared" si="138"/>
        <v>6.3711911357340723E-2</v>
      </c>
      <c r="O725" s="22">
        <f t="shared" si="139"/>
        <v>5.1246537396121887E-2</v>
      </c>
      <c r="P725" s="22">
        <f t="shared" si="140"/>
        <v>1.2465373961218836E-2</v>
      </c>
      <c r="Q725" t="str">
        <f t="shared" si="141"/>
        <v/>
      </c>
      <c r="S725">
        <f t="shared" si="142"/>
        <v>22.0009275</v>
      </c>
      <c r="T725" s="23">
        <f t="shared" si="143"/>
        <v>1.3392873961218835E-2</v>
      </c>
    </row>
  </sheetData>
  <autoFilter ref="A3:Q725" xr:uid="{00000000-0009-0000-0000-000002000000}"/>
  <mergeCells count="2">
    <mergeCell ref="A1:Q1"/>
    <mergeCell ref="A2:Q2"/>
  </mergeCells>
  <conditionalFormatting sqref="M4:M725">
    <cfRule type="colorScale" priority="3">
      <colorScale>
        <cfvo type="min"/>
        <cfvo type="percentile" val="50"/>
        <cfvo type="max"/>
        <color rgb="FFE2EFDA"/>
        <color rgb="FFFFF2CC"/>
        <color rgb="FFFCE4E4"/>
      </colorScale>
    </cfRule>
  </conditionalFormatting>
  <conditionalFormatting sqref="Q4:Q725">
    <cfRule type="expression" dxfId="0" priority="2">
      <formula>$Q4&lt;&gt;""</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090"/>
  </sheetPr>
  <dimension ref="A1:G200"/>
  <sheetViews>
    <sheetView showGridLines="0" zoomScaleNormal="100" workbookViewId="0">
      <pane ySplit="4" topLeftCell="A5" activePane="bottomLeft" state="frozen"/>
      <selection pane="bottomLeft" sqref="A1:F1"/>
    </sheetView>
  </sheetViews>
  <sheetFormatPr defaultColWidth="8.6328125" defaultRowHeight="14.5" x14ac:dyDescent="0.35"/>
  <cols>
    <col min="1" max="1" width="7" customWidth="1"/>
    <col min="2" max="2" width="28" customWidth="1"/>
    <col min="3" max="3" width="9" customWidth="1"/>
    <col min="4" max="4" width="26" customWidth="1"/>
    <col min="5" max="6" width="16" customWidth="1"/>
  </cols>
  <sheetData>
    <row r="1" spans="1:6" ht="30" customHeight="1" x14ac:dyDescent="0.35">
      <c r="A1" s="14" t="s">
        <v>2969</v>
      </c>
      <c r="B1" s="14"/>
      <c r="C1" s="14"/>
      <c r="D1" s="14"/>
      <c r="E1" s="14"/>
      <c r="F1" s="14"/>
    </row>
    <row r="2" spans="1:6" ht="18" customHeight="1" x14ac:dyDescent="0.35">
      <c r="A2" s="13" t="s">
        <v>2970</v>
      </c>
      <c r="B2" s="13"/>
      <c r="C2" s="13"/>
      <c r="D2" s="13"/>
      <c r="E2" s="13"/>
      <c r="F2" s="13"/>
    </row>
    <row r="4" spans="1:6" ht="19.5" customHeight="1" x14ac:dyDescent="0.35">
      <c r="A4" s="12" t="s">
        <v>2971</v>
      </c>
      <c r="B4" s="12"/>
      <c r="C4" s="12"/>
      <c r="D4" s="12"/>
      <c r="E4" s="12"/>
      <c r="F4" s="12"/>
    </row>
    <row r="5" spans="1:6" ht="18" customHeight="1" x14ac:dyDescent="0.35">
      <c r="A5" s="24" t="s">
        <v>2972</v>
      </c>
      <c r="B5" s="24" t="s">
        <v>2941</v>
      </c>
      <c r="C5" s="24" t="s">
        <v>2942</v>
      </c>
      <c r="D5" s="24" t="s">
        <v>2943</v>
      </c>
      <c r="E5" s="24" t="s">
        <v>2973</v>
      </c>
    </row>
    <row r="6" spans="1:6" ht="15" customHeight="1" x14ac:dyDescent="0.35">
      <c r="A6" s="25">
        <v>1</v>
      </c>
      <c r="B6" s="26" t="str">
        <f>INDEX(Benchmarking!$A$4:$A$725,MATCH(LARGE(Benchmarking!$R$4:$R$725,1),Benchmarking!$R$4:$R$725,0))</f>
        <v>Conocophillips</v>
      </c>
      <c r="C6" s="26" t="str">
        <f>INDEX(Benchmarking!$B$4:$B$725,MATCH(LARGE(Benchmarking!$R$4:$R$725,1),Benchmarking!$R$4:$R$725,0))</f>
        <v>cop</v>
      </c>
      <c r="D6" s="26" t="str">
        <f>INDEX(Benchmarking!$C$4:$C$725,MATCH(LARGE(Benchmarking!$R$4:$R$725,1),Benchmarking!$R$4:$R$725,0))</f>
        <v>Energy</v>
      </c>
      <c r="E6" s="27">
        <f>INDEX(Benchmarking!$G$4:$G$725,MATCH(LARGE(Benchmarking!$R$4:$R$725,1),Benchmarking!$R$4:$R$725,0))</f>
        <v>1536</v>
      </c>
    </row>
    <row r="7" spans="1:6" ht="15" customHeight="1" x14ac:dyDescent="0.35">
      <c r="A7" s="25">
        <v>2</v>
      </c>
      <c r="B7" s="26" t="str">
        <f>INDEX(Benchmarking!$A$4:$A$725,MATCH(LARGE(Benchmarking!$R$4:$R$725,2),Benchmarking!$R$4:$R$725,0))</f>
        <v>Microsoft Corp</v>
      </c>
      <c r="C7" s="26" t="str">
        <f>INDEX(Benchmarking!$B$4:$B$725,MATCH(LARGE(Benchmarking!$R$4:$R$725,2),Benchmarking!$R$4:$R$725,0))</f>
        <v>msft</v>
      </c>
      <c r="D7" s="26" t="str">
        <f>INDEX(Benchmarking!$C$4:$C$725,MATCH(LARGE(Benchmarking!$R$4:$R$725,2),Benchmarking!$R$4:$R$725,0))</f>
        <v>Technology</v>
      </c>
      <c r="E7" s="27">
        <f>INDEX(Benchmarking!$G$4:$G$725,MATCH(LARGE(Benchmarking!$R$4:$R$725,2),Benchmarking!$R$4:$R$725,0))</f>
        <v>1533</v>
      </c>
    </row>
    <row r="8" spans="1:6" ht="15" customHeight="1" x14ac:dyDescent="0.35">
      <c r="A8" s="25">
        <v>3</v>
      </c>
      <c r="B8" s="26" t="str">
        <f>INDEX(Benchmarking!$A$4:$A$725,MATCH(LARGE(Benchmarking!$R$4:$R$725,3),Benchmarking!$R$4:$R$725,0))</f>
        <v>Edison International</v>
      </c>
      <c r="C8" s="26" t="str">
        <f>INDEX(Benchmarking!$B$4:$B$725,MATCH(LARGE(Benchmarking!$R$4:$R$725,3),Benchmarking!$R$4:$R$725,0))</f>
        <v>eix</v>
      </c>
      <c r="D8" s="26" t="str">
        <f>INDEX(Benchmarking!$C$4:$C$725,MATCH(LARGE(Benchmarking!$R$4:$R$725,3),Benchmarking!$R$4:$R$725,0))</f>
        <v>Utilities</v>
      </c>
      <c r="E8" s="27">
        <f>INDEX(Benchmarking!$G$4:$G$725,MATCH(LARGE(Benchmarking!$R$4:$R$725,3),Benchmarking!$R$4:$R$725,0))</f>
        <v>1528</v>
      </c>
    </row>
    <row r="9" spans="1:6" ht="15" customHeight="1" x14ac:dyDescent="0.35">
      <c r="A9" s="25">
        <v>4</v>
      </c>
      <c r="B9" s="26" t="str">
        <f>INDEX(Benchmarking!$A$4:$A$725,MATCH(LARGE(Benchmarking!$R$4:$R$725,4),Benchmarking!$R$4:$R$725,0))</f>
        <v>Airbnb Inc</v>
      </c>
      <c r="C9" s="26" t="str">
        <f>INDEX(Benchmarking!$B$4:$B$725,MATCH(LARGE(Benchmarking!$R$4:$R$725,4),Benchmarking!$R$4:$R$725,0))</f>
        <v>abnb</v>
      </c>
      <c r="D9" s="26" t="str">
        <f>INDEX(Benchmarking!$C$4:$C$725,MATCH(LARGE(Benchmarking!$R$4:$R$725,4),Benchmarking!$R$4:$R$725,0))</f>
        <v>Hotels Restaurants &amp; Leisure</v>
      </c>
      <c r="E9" s="27">
        <f>INDEX(Benchmarking!$G$4:$G$725,MATCH(LARGE(Benchmarking!$R$4:$R$725,4),Benchmarking!$R$4:$R$725,0))</f>
        <v>1475</v>
      </c>
    </row>
    <row r="10" spans="1:6" ht="15" customHeight="1" x14ac:dyDescent="0.35">
      <c r="A10" s="25">
        <v>5</v>
      </c>
      <c r="B10" s="26" t="str">
        <f>INDEX(Benchmarking!$A$4:$A$725,MATCH(LARGE(Benchmarking!$R$4:$R$725,5),Benchmarking!$R$4:$R$725,0))</f>
        <v>Air Products and Chemicals Inc</v>
      </c>
      <c r="C10" s="26" t="str">
        <f>INDEX(Benchmarking!$B$4:$B$725,MATCH(LARGE(Benchmarking!$R$4:$R$725,5),Benchmarking!$R$4:$R$725,0))</f>
        <v>apd</v>
      </c>
      <c r="D10" s="26" t="str">
        <f>INDEX(Benchmarking!$C$4:$C$725,MATCH(LARGE(Benchmarking!$R$4:$R$725,5),Benchmarking!$R$4:$R$725,0))</f>
        <v>Chemicals</v>
      </c>
      <c r="E10" s="27">
        <f>INDEX(Benchmarking!$G$4:$G$725,MATCH(LARGE(Benchmarking!$R$4:$R$725,5),Benchmarking!$R$4:$R$725,0))</f>
        <v>1442</v>
      </c>
    </row>
    <row r="11" spans="1:6" ht="15" customHeight="1" x14ac:dyDescent="0.35">
      <c r="A11" s="25">
        <v>6</v>
      </c>
      <c r="B11" s="26" t="str">
        <f>INDEX(Benchmarking!$A$4:$A$725,MATCH(LARGE(Benchmarking!$R$4:$R$725,6),Benchmarking!$R$4:$R$725,0))</f>
        <v>Amazon.com Inc</v>
      </c>
      <c r="C11" s="26" t="str">
        <f>INDEX(Benchmarking!$B$4:$B$725,MATCH(LARGE(Benchmarking!$R$4:$R$725,6),Benchmarking!$R$4:$R$725,0))</f>
        <v>amzn</v>
      </c>
      <c r="D11" s="26" t="str">
        <f>INDEX(Benchmarking!$C$4:$C$725,MATCH(LARGE(Benchmarking!$R$4:$R$725,6),Benchmarking!$R$4:$R$725,0))</f>
        <v>Retail</v>
      </c>
      <c r="E11" s="27">
        <f>INDEX(Benchmarking!$G$4:$G$725,MATCH(LARGE(Benchmarking!$R$4:$R$725,6),Benchmarking!$R$4:$R$725,0))</f>
        <v>1433</v>
      </c>
    </row>
    <row r="12" spans="1:6" ht="15" customHeight="1" x14ac:dyDescent="0.35">
      <c r="A12" s="25">
        <v>7</v>
      </c>
      <c r="B12" s="26" t="str">
        <f>INDEX(Benchmarking!$A$4:$A$725,MATCH(LARGE(Benchmarking!$R$4:$R$725,7),Benchmarking!$R$4:$R$725,0))</f>
        <v>Newmont Corporation</v>
      </c>
      <c r="C12" s="26" t="str">
        <f>INDEX(Benchmarking!$B$4:$B$725,MATCH(LARGE(Benchmarking!$R$4:$R$725,7),Benchmarking!$R$4:$R$725,0))</f>
        <v>nem</v>
      </c>
      <c r="D12" s="26" t="str">
        <f>INDEX(Benchmarking!$C$4:$C$725,MATCH(LARGE(Benchmarking!$R$4:$R$725,7),Benchmarking!$R$4:$R$725,0))</f>
        <v>Metals &amp; Mining</v>
      </c>
      <c r="E12" s="27">
        <f>INDEX(Benchmarking!$G$4:$G$725,MATCH(LARGE(Benchmarking!$R$4:$R$725,7),Benchmarking!$R$4:$R$725,0))</f>
        <v>1419</v>
      </c>
    </row>
    <row r="13" spans="1:6" ht="15" customHeight="1" x14ac:dyDescent="0.35">
      <c r="A13" s="25">
        <v>8</v>
      </c>
      <c r="B13" s="26" t="str">
        <f>INDEX(Benchmarking!$A$4:$A$725,MATCH(LARGE(Benchmarking!$R$4:$R$725,8),Benchmarking!$R$4:$R$725,0))</f>
        <v>PepsiCo Inc</v>
      </c>
      <c r="C13" s="26" t="str">
        <f>INDEX(Benchmarking!$B$4:$B$725,MATCH(LARGE(Benchmarking!$R$4:$R$725,8),Benchmarking!$R$4:$R$725,0))</f>
        <v>pep</v>
      </c>
      <c r="D13" s="26" t="str">
        <f>INDEX(Benchmarking!$C$4:$C$725,MATCH(LARGE(Benchmarking!$R$4:$R$725,8),Benchmarking!$R$4:$R$725,0))</f>
        <v>Beverages</v>
      </c>
      <c r="E13" s="27">
        <f>INDEX(Benchmarking!$G$4:$G$725,MATCH(LARGE(Benchmarking!$R$4:$R$725,8),Benchmarking!$R$4:$R$725,0))</f>
        <v>1417</v>
      </c>
    </row>
    <row r="14" spans="1:6" ht="15" customHeight="1" x14ac:dyDescent="0.35">
      <c r="A14" s="25">
        <v>9</v>
      </c>
      <c r="B14" s="26" t="str">
        <f>INDEX(Benchmarking!$A$4:$A$725,MATCH(LARGE(Benchmarking!$R$4:$R$725,9),Benchmarking!$R$4:$R$725,0))</f>
        <v>Exelon Corp</v>
      </c>
      <c r="C14" s="26" t="str">
        <f>INDEX(Benchmarking!$B$4:$B$725,MATCH(LARGE(Benchmarking!$R$4:$R$725,9),Benchmarking!$R$4:$R$725,0))</f>
        <v>exc</v>
      </c>
      <c r="D14" s="26" t="str">
        <f>INDEX(Benchmarking!$C$4:$C$725,MATCH(LARGE(Benchmarking!$R$4:$R$725,9),Benchmarking!$R$4:$R$725,0))</f>
        <v>Utilities</v>
      </c>
      <c r="E14" s="27">
        <f>INDEX(Benchmarking!$G$4:$G$725,MATCH(LARGE(Benchmarking!$R$4:$R$725,9),Benchmarking!$R$4:$R$725,0))</f>
        <v>1413</v>
      </c>
    </row>
    <row r="15" spans="1:6" ht="15" customHeight="1" x14ac:dyDescent="0.35">
      <c r="A15" s="25">
        <v>10</v>
      </c>
      <c r="B15" s="26" t="str">
        <f>INDEX(Benchmarking!$A$4:$A$725,MATCH(LARGE(Benchmarking!$R$4:$R$725,10),Benchmarking!$R$4:$R$725,0))</f>
        <v>Pioneer Natural Resources Co</v>
      </c>
      <c r="C15" s="26" t="str">
        <f>INDEX(Benchmarking!$B$4:$B$725,MATCH(LARGE(Benchmarking!$R$4:$R$725,10),Benchmarking!$R$4:$R$725,0))</f>
        <v>pxd</v>
      </c>
      <c r="D15" s="26" t="str">
        <f>INDEX(Benchmarking!$C$4:$C$725,MATCH(LARGE(Benchmarking!$R$4:$R$725,10),Benchmarking!$R$4:$R$725,0))</f>
        <v>Energy</v>
      </c>
      <c r="E15" s="27">
        <f>INDEX(Benchmarking!$G$4:$G$725,MATCH(LARGE(Benchmarking!$R$4:$R$725,10),Benchmarking!$R$4:$R$725,0))</f>
        <v>1412</v>
      </c>
    </row>
    <row r="16" spans="1:6" ht="15" customHeight="1" x14ac:dyDescent="0.35">
      <c r="A16" s="25">
        <v>11</v>
      </c>
      <c r="B16" s="26" t="str">
        <f>INDEX(Benchmarking!$A$4:$A$725,MATCH(LARGE(Benchmarking!$R$4:$R$725,11),Benchmarking!$R$4:$R$725,0))</f>
        <v>Trane Technologies PLC</v>
      </c>
      <c r="C16" s="26" t="str">
        <f>INDEX(Benchmarking!$B$4:$B$725,MATCH(LARGE(Benchmarking!$R$4:$R$725,11),Benchmarking!$R$4:$R$725,0))</f>
        <v>tt</v>
      </c>
      <c r="D16" s="26" t="str">
        <f>INDEX(Benchmarking!$C$4:$C$725,MATCH(LARGE(Benchmarking!$R$4:$R$725,11),Benchmarking!$R$4:$R$725,0))</f>
        <v>Building</v>
      </c>
      <c r="E16" s="27">
        <f>INDEX(Benchmarking!$G$4:$G$725,MATCH(LARGE(Benchmarking!$R$4:$R$725,11),Benchmarking!$R$4:$R$725,0))</f>
        <v>1409</v>
      </c>
    </row>
    <row r="17" spans="1:6" ht="15" customHeight="1" x14ac:dyDescent="0.35">
      <c r="A17" s="25">
        <v>12</v>
      </c>
      <c r="B17" s="26" t="str">
        <f>INDEX(Benchmarking!$A$4:$A$725,MATCH(LARGE(Benchmarking!$R$4:$R$725,12),Benchmarking!$R$4:$R$725,0))</f>
        <v>Pinnacle West Capital Corp</v>
      </c>
      <c r="C17" s="26" t="str">
        <f>INDEX(Benchmarking!$B$4:$B$725,MATCH(LARGE(Benchmarking!$R$4:$R$725,12),Benchmarking!$R$4:$R$725,0))</f>
        <v>pnw</v>
      </c>
      <c r="D17" s="26" t="str">
        <f>INDEX(Benchmarking!$C$4:$C$725,MATCH(LARGE(Benchmarking!$R$4:$R$725,12),Benchmarking!$R$4:$R$725,0))</f>
        <v>Utilities</v>
      </c>
      <c r="E17" s="27">
        <f>INDEX(Benchmarking!$G$4:$G$725,MATCH(LARGE(Benchmarking!$R$4:$R$725,12),Benchmarking!$R$4:$R$725,0))</f>
        <v>1408</v>
      </c>
    </row>
    <row r="18" spans="1:6" ht="15" customHeight="1" x14ac:dyDescent="0.35">
      <c r="A18" s="25">
        <v>13</v>
      </c>
      <c r="B18" s="26" t="str">
        <f>INDEX(Benchmarking!$A$4:$A$725,MATCH(LARGE(Benchmarking!$R$4:$R$725,13),Benchmarking!$R$4:$R$725,0))</f>
        <v>Sempra Energy</v>
      </c>
      <c r="C18" s="26" t="str">
        <f>INDEX(Benchmarking!$B$4:$B$725,MATCH(LARGE(Benchmarking!$R$4:$R$725,13),Benchmarking!$R$4:$R$725,0))</f>
        <v>sre</v>
      </c>
      <c r="D18" s="26" t="str">
        <f>INDEX(Benchmarking!$C$4:$C$725,MATCH(LARGE(Benchmarking!$R$4:$R$725,13),Benchmarking!$R$4:$R$725,0))</f>
        <v>Utilities</v>
      </c>
      <c r="E18" s="27">
        <f>INDEX(Benchmarking!$G$4:$G$725,MATCH(LARGE(Benchmarking!$R$4:$R$725,13),Benchmarking!$R$4:$R$725,0))</f>
        <v>1396</v>
      </c>
    </row>
    <row r="19" spans="1:6" ht="15" customHeight="1" x14ac:dyDescent="0.35">
      <c r="A19" s="25">
        <v>14</v>
      </c>
      <c r="B19" s="26" t="str">
        <f>INDEX(Benchmarking!$A$4:$A$725,MATCH(LARGE(Benchmarking!$R$4:$R$725,14),Benchmarking!$R$4:$R$725,0))</f>
        <v>Marathon Petroleum Corp</v>
      </c>
      <c r="C19" s="26" t="str">
        <f>INDEX(Benchmarking!$B$4:$B$725,MATCH(LARGE(Benchmarking!$R$4:$R$725,14),Benchmarking!$R$4:$R$725,0))</f>
        <v>mpc</v>
      </c>
      <c r="D19" s="26" t="str">
        <f>INDEX(Benchmarking!$C$4:$C$725,MATCH(LARGE(Benchmarking!$R$4:$R$725,14),Benchmarking!$R$4:$R$725,0))</f>
        <v>Energy</v>
      </c>
      <c r="E19" s="27">
        <f>INDEX(Benchmarking!$G$4:$G$725,MATCH(LARGE(Benchmarking!$R$4:$R$725,14),Benchmarking!$R$4:$R$725,0))</f>
        <v>1381</v>
      </c>
    </row>
    <row r="20" spans="1:6" ht="15" customHeight="1" x14ac:dyDescent="0.35">
      <c r="A20" s="25">
        <v>15</v>
      </c>
      <c r="B20" s="26" t="str">
        <f>INDEX(Benchmarking!$A$4:$A$725,MATCH(LARGE(Benchmarking!$R$4:$R$725,15),Benchmarking!$R$4:$R$725,0))</f>
        <v>WEC Energy Group Inc</v>
      </c>
      <c r="C20" s="26" t="str">
        <f>INDEX(Benchmarking!$B$4:$B$725,MATCH(LARGE(Benchmarking!$R$4:$R$725,15),Benchmarking!$R$4:$R$725,0))</f>
        <v>wec</v>
      </c>
      <c r="D20" s="26" t="str">
        <f>INDEX(Benchmarking!$C$4:$C$725,MATCH(LARGE(Benchmarking!$R$4:$R$725,15),Benchmarking!$R$4:$R$725,0))</f>
        <v>Utilities</v>
      </c>
      <c r="E20" s="27">
        <f>INDEX(Benchmarking!$G$4:$G$725,MATCH(LARGE(Benchmarking!$R$4:$R$725,15),Benchmarking!$R$4:$R$725,0))</f>
        <v>1373</v>
      </c>
    </row>
    <row r="22" spans="1:6" ht="19.5" customHeight="1" x14ac:dyDescent="0.35">
      <c r="A22" s="12" t="s">
        <v>2974</v>
      </c>
      <c r="B22" s="12"/>
      <c r="C22" s="12"/>
      <c r="D22" s="12"/>
      <c r="E22" s="12"/>
      <c r="F22" s="12"/>
    </row>
    <row r="23" spans="1:6" ht="18" customHeight="1" x14ac:dyDescent="0.35">
      <c r="A23" s="24" t="s">
        <v>2972</v>
      </c>
      <c r="B23" s="24" t="s">
        <v>2941</v>
      </c>
      <c r="C23" s="24" t="s">
        <v>2942</v>
      </c>
      <c r="D23" s="24" t="s">
        <v>2943</v>
      </c>
      <c r="E23" s="24" t="s">
        <v>2975</v>
      </c>
    </row>
    <row r="24" spans="1:6" ht="15" customHeight="1" x14ac:dyDescent="0.35">
      <c r="A24" s="25">
        <v>1</v>
      </c>
      <c r="B24" s="26" t="str">
        <f>INDEX(Benchmarking!$A$4:$A$725,MATCH(LARGE(Benchmarking!$S$4:$S$725,1),Benchmarking!$S$4:$S$725,0))</f>
        <v>PepsiCo Inc</v>
      </c>
      <c r="C24" s="26" t="str">
        <f>INDEX(Benchmarking!$B$4:$B$725,MATCH(LARGE(Benchmarking!$S$4:$S$725,1),Benchmarking!$S$4:$S$725,0))</f>
        <v>pep</v>
      </c>
      <c r="D24" s="26" t="str">
        <f>INDEX(Benchmarking!$C$4:$C$725,MATCH(LARGE(Benchmarking!$S$4:$S$725,1),Benchmarking!$S$4:$S$725,0))</f>
        <v>Beverages</v>
      </c>
      <c r="E24" s="27">
        <f>INDEX(Benchmarking!$D$4:$D$725,MATCH(LARGE(Benchmarking!$S$4:$S$725,1),Benchmarking!$S$4:$S$725,0))</f>
        <v>719</v>
      </c>
    </row>
    <row r="25" spans="1:6" ht="15" customHeight="1" x14ac:dyDescent="0.35">
      <c r="A25" s="25">
        <v>2</v>
      </c>
      <c r="B25" s="26" t="str">
        <f>INDEX(Benchmarking!$A$4:$A$725,MATCH(LARGE(Benchmarking!$S$4:$S$725,2),Benchmarking!$S$4:$S$725,0))</f>
        <v>Microsoft Corp</v>
      </c>
      <c r="C25" s="26" t="str">
        <f>INDEX(Benchmarking!$B$4:$B$725,MATCH(LARGE(Benchmarking!$S$4:$S$725,2),Benchmarking!$S$4:$S$725,0))</f>
        <v>msft</v>
      </c>
      <c r="D25" s="26" t="str">
        <f>INDEX(Benchmarking!$C$4:$C$725,MATCH(LARGE(Benchmarking!$S$4:$S$725,2),Benchmarking!$S$4:$S$725,0))</f>
        <v>Technology</v>
      </c>
      <c r="E25" s="27">
        <f>INDEX(Benchmarking!$D$4:$D$725,MATCH(LARGE(Benchmarking!$S$4:$S$725,2),Benchmarking!$S$4:$S$725,0))</f>
        <v>715</v>
      </c>
    </row>
    <row r="26" spans="1:6" ht="15" customHeight="1" x14ac:dyDescent="0.35">
      <c r="A26" s="25">
        <v>3</v>
      </c>
      <c r="B26" s="26" t="str">
        <f>INDEX(Benchmarking!$A$4:$A$725,MATCH(LARGE(Benchmarking!$S$4:$S$725,3),Benchmarking!$S$4:$S$725,0))</f>
        <v>Air Products and Chemicals Inc</v>
      </c>
      <c r="C26" s="26" t="str">
        <f>INDEX(Benchmarking!$B$4:$B$725,MATCH(LARGE(Benchmarking!$S$4:$S$725,3),Benchmarking!$S$4:$S$725,0))</f>
        <v>apd</v>
      </c>
      <c r="D26" s="26" t="str">
        <f>INDEX(Benchmarking!$C$4:$C$725,MATCH(LARGE(Benchmarking!$S$4:$S$725,3),Benchmarking!$S$4:$S$725,0))</f>
        <v>Chemicals</v>
      </c>
      <c r="E26" s="27">
        <f>INDEX(Benchmarking!$D$4:$D$725,MATCH(LARGE(Benchmarking!$S$4:$S$725,3),Benchmarking!$S$4:$S$725,0))</f>
        <v>700</v>
      </c>
    </row>
    <row r="27" spans="1:6" ht="15" customHeight="1" x14ac:dyDescent="0.35">
      <c r="A27" s="25">
        <v>4</v>
      </c>
      <c r="B27" s="26" t="str">
        <f>INDEX(Benchmarking!$A$4:$A$725,MATCH(LARGE(Benchmarking!$S$4:$S$725,4),Benchmarking!$S$4:$S$725,0))</f>
        <v>Edison International</v>
      </c>
      <c r="C27" s="26" t="str">
        <f>INDEX(Benchmarking!$B$4:$B$725,MATCH(LARGE(Benchmarking!$S$4:$S$725,4),Benchmarking!$S$4:$S$725,0))</f>
        <v>eix</v>
      </c>
      <c r="D27" s="26" t="str">
        <f>INDEX(Benchmarking!$C$4:$C$725,MATCH(LARGE(Benchmarking!$S$4:$S$725,4),Benchmarking!$S$4:$S$725,0))</f>
        <v>Utilities</v>
      </c>
      <c r="E27" s="27">
        <f>INDEX(Benchmarking!$D$4:$D$725,MATCH(LARGE(Benchmarking!$S$4:$S$725,4),Benchmarking!$S$4:$S$725,0))</f>
        <v>700</v>
      </c>
    </row>
    <row r="28" spans="1:6" ht="15" customHeight="1" x14ac:dyDescent="0.35">
      <c r="A28" s="25">
        <v>5</v>
      </c>
      <c r="B28" s="26" t="str">
        <f>INDEX(Benchmarking!$A$4:$A$725,MATCH(LARGE(Benchmarking!$S$4:$S$725,5),Benchmarking!$S$4:$S$725,0))</f>
        <v>Consolidated Edison Inc</v>
      </c>
      <c r="C28" s="26" t="str">
        <f>INDEX(Benchmarking!$B$4:$B$725,MATCH(LARGE(Benchmarking!$S$4:$S$725,5),Benchmarking!$S$4:$S$725,0))</f>
        <v>ed</v>
      </c>
      <c r="D28" s="26" t="str">
        <f>INDEX(Benchmarking!$C$4:$C$725,MATCH(LARGE(Benchmarking!$S$4:$S$725,5),Benchmarking!$S$4:$S$725,0))</f>
        <v>Utilities</v>
      </c>
      <c r="E28" s="27">
        <f>INDEX(Benchmarking!$D$4:$D$725,MATCH(LARGE(Benchmarking!$S$4:$S$725,5),Benchmarking!$S$4:$S$725,0))</f>
        <v>700</v>
      </c>
    </row>
    <row r="29" spans="1:6" ht="15" customHeight="1" x14ac:dyDescent="0.35">
      <c r="A29" s="25">
        <v>6</v>
      </c>
      <c r="B29" s="26" t="str">
        <f>INDEX(Benchmarking!$A$4:$A$725,MATCH(LARGE(Benchmarking!$S$4:$S$725,6),Benchmarking!$S$4:$S$725,0))</f>
        <v>Marathon Petroleum Corp</v>
      </c>
      <c r="C29" s="26" t="str">
        <f>INDEX(Benchmarking!$B$4:$B$725,MATCH(LARGE(Benchmarking!$S$4:$S$725,6),Benchmarking!$S$4:$S$725,0))</f>
        <v>mpc</v>
      </c>
      <c r="D29" s="26" t="str">
        <f>INDEX(Benchmarking!$C$4:$C$725,MATCH(LARGE(Benchmarking!$S$4:$S$725,6),Benchmarking!$S$4:$S$725,0))</f>
        <v>Energy</v>
      </c>
      <c r="E29" s="27">
        <f>INDEX(Benchmarking!$D$4:$D$725,MATCH(LARGE(Benchmarking!$S$4:$S$725,6),Benchmarking!$S$4:$S$725,0))</f>
        <v>700</v>
      </c>
    </row>
    <row r="30" spans="1:6" ht="15" customHeight="1" x14ac:dyDescent="0.35">
      <c r="A30" s="25">
        <v>7</v>
      </c>
      <c r="B30" s="26" t="str">
        <f>INDEX(Benchmarking!$A$4:$A$725,MATCH(LARGE(Benchmarking!$S$4:$S$725,7),Benchmarking!$S$4:$S$725,0))</f>
        <v>Pioneer Natural Resources Co</v>
      </c>
      <c r="C30" s="26" t="str">
        <f>INDEX(Benchmarking!$B$4:$B$725,MATCH(LARGE(Benchmarking!$S$4:$S$725,7),Benchmarking!$S$4:$S$725,0))</f>
        <v>pxd</v>
      </c>
      <c r="D30" s="26" t="str">
        <f>INDEX(Benchmarking!$C$4:$C$725,MATCH(LARGE(Benchmarking!$S$4:$S$725,7),Benchmarking!$S$4:$S$725,0))</f>
        <v>Energy</v>
      </c>
      <c r="E30" s="27">
        <f>INDEX(Benchmarking!$D$4:$D$725,MATCH(LARGE(Benchmarking!$S$4:$S$725,7),Benchmarking!$S$4:$S$725,0))</f>
        <v>700</v>
      </c>
    </row>
    <row r="31" spans="1:6" ht="15" customHeight="1" x14ac:dyDescent="0.35">
      <c r="A31" s="25">
        <v>8</v>
      </c>
      <c r="B31" s="26" t="str">
        <f>INDEX(Benchmarking!$A$4:$A$725,MATCH(LARGE(Benchmarking!$S$4:$S$725,8),Benchmarking!$S$4:$S$725,0))</f>
        <v>Sempra Energy</v>
      </c>
      <c r="C31" s="26" t="str">
        <f>INDEX(Benchmarking!$B$4:$B$725,MATCH(LARGE(Benchmarking!$S$4:$S$725,8),Benchmarking!$S$4:$S$725,0))</f>
        <v>sre</v>
      </c>
      <c r="D31" s="26" t="str">
        <f>INDEX(Benchmarking!$C$4:$C$725,MATCH(LARGE(Benchmarking!$S$4:$S$725,8),Benchmarking!$S$4:$S$725,0))</f>
        <v>Utilities</v>
      </c>
      <c r="E31" s="27">
        <f>INDEX(Benchmarking!$D$4:$D$725,MATCH(LARGE(Benchmarking!$S$4:$S$725,8),Benchmarking!$S$4:$S$725,0))</f>
        <v>700</v>
      </c>
    </row>
    <row r="32" spans="1:6" ht="15" customHeight="1" x14ac:dyDescent="0.35">
      <c r="A32" s="25">
        <v>9</v>
      </c>
      <c r="B32" s="26" t="str">
        <f>INDEX(Benchmarking!$A$4:$A$725,MATCH(LARGE(Benchmarking!$S$4:$S$725,9),Benchmarking!$S$4:$S$725,0))</f>
        <v>Trane Technologies PLC</v>
      </c>
      <c r="C32" s="26" t="str">
        <f>INDEX(Benchmarking!$B$4:$B$725,MATCH(LARGE(Benchmarking!$S$4:$S$725,9),Benchmarking!$S$4:$S$725,0))</f>
        <v>tt</v>
      </c>
      <c r="D32" s="26" t="str">
        <f>INDEX(Benchmarking!$C$4:$C$725,MATCH(LARGE(Benchmarking!$S$4:$S$725,9),Benchmarking!$S$4:$S$725,0))</f>
        <v>Building</v>
      </c>
      <c r="E32" s="27">
        <f>INDEX(Benchmarking!$D$4:$D$725,MATCH(LARGE(Benchmarking!$S$4:$S$725,9),Benchmarking!$S$4:$S$725,0))</f>
        <v>700</v>
      </c>
    </row>
    <row r="33" spans="1:6" ht="15" customHeight="1" x14ac:dyDescent="0.35">
      <c r="A33" s="25">
        <v>10</v>
      </c>
      <c r="B33" s="26" t="str">
        <f>INDEX(Benchmarking!$A$4:$A$725,MATCH(LARGE(Benchmarking!$S$4:$S$725,10),Benchmarking!$S$4:$S$725,0))</f>
        <v>Weyerhaeuser Co</v>
      </c>
      <c r="C33" s="26" t="str">
        <f>INDEX(Benchmarking!$B$4:$B$725,MATCH(LARGE(Benchmarking!$S$4:$S$725,10),Benchmarking!$S$4:$S$725,0))</f>
        <v>wy</v>
      </c>
      <c r="D33" s="26" t="str">
        <f>INDEX(Benchmarking!$C$4:$C$725,MATCH(LARGE(Benchmarking!$S$4:$S$725,10),Benchmarking!$S$4:$S$725,0))</f>
        <v>Real Estate</v>
      </c>
      <c r="E33" s="27">
        <f>INDEX(Benchmarking!$D$4:$D$725,MATCH(LARGE(Benchmarking!$S$4:$S$725,10),Benchmarking!$S$4:$S$725,0))</f>
        <v>700</v>
      </c>
    </row>
    <row r="34" spans="1:6" ht="15" customHeight="1" x14ac:dyDescent="0.35">
      <c r="A34" s="25">
        <v>11</v>
      </c>
      <c r="B34" s="26" t="str">
        <f>INDEX(Benchmarking!$A$4:$A$725,MATCH(LARGE(Benchmarking!$S$4:$S$725,11),Benchmarking!$S$4:$S$725,0))</f>
        <v>Lincoln National Corp</v>
      </c>
      <c r="C34" s="26" t="str">
        <f>INDEX(Benchmarking!$B$4:$B$725,MATCH(LARGE(Benchmarking!$S$4:$S$725,11),Benchmarking!$S$4:$S$725,0))</f>
        <v>lnc</v>
      </c>
      <c r="D34" s="26" t="str">
        <f>INDEX(Benchmarking!$C$4:$C$725,MATCH(LARGE(Benchmarking!$S$4:$S$725,11),Benchmarking!$S$4:$S$725,0))</f>
        <v>Insurance</v>
      </c>
      <c r="E34" s="27">
        <f>INDEX(Benchmarking!$D$4:$D$725,MATCH(LARGE(Benchmarking!$S$4:$S$725,11),Benchmarking!$S$4:$S$725,0))</f>
        <v>700</v>
      </c>
    </row>
    <row r="35" spans="1:6" ht="15" customHeight="1" x14ac:dyDescent="0.35">
      <c r="A35" s="25">
        <v>12</v>
      </c>
      <c r="B35" s="26" t="str">
        <f>INDEX(Benchmarking!$A$4:$A$725,MATCH(LARGE(Benchmarking!$S$4:$S$725,12),Benchmarking!$S$4:$S$725,0))</f>
        <v>Exelon Corp</v>
      </c>
      <c r="C35" s="26" t="str">
        <f>INDEX(Benchmarking!$B$4:$B$725,MATCH(LARGE(Benchmarking!$S$4:$S$725,12),Benchmarking!$S$4:$S$725,0))</f>
        <v>exc</v>
      </c>
      <c r="D35" s="26" t="str">
        <f>INDEX(Benchmarking!$C$4:$C$725,MATCH(LARGE(Benchmarking!$S$4:$S$725,12),Benchmarking!$S$4:$S$725,0))</f>
        <v>Utilities</v>
      </c>
      <c r="E35" s="27">
        <f>INDEX(Benchmarking!$D$4:$D$725,MATCH(LARGE(Benchmarking!$S$4:$S$725,12),Benchmarking!$S$4:$S$725,0))</f>
        <v>694</v>
      </c>
    </row>
    <row r="36" spans="1:6" ht="15" customHeight="1" x14ac:dyDescent="0.35">
      <c r="A36" s="25">
        <v>13</v>
      </c>
      <c r="B36" s="26" t="str">
        <f>INDEX(Benchmarking!$A$4:$A$725,MATCH(LARGE(Benchmarking!$S$4:$S$725,13),Benchmarking!$S$4:$S$725,0))</f>
        <v>Conocophillips</v>
      </c>
      <c r="C36" s="26" t="str">
        <f>INDEX(Benchmarking!$B$4:$B$725,MATCH(LARGE(Benchmarking!$S$4:$S$725,13),Benchmarking!$S$4:$S$725,0))</f>
        <v>cop</v>
      </c>
      <c r="D36" s="26" t="str">
        <f>INDEX(Benchmarking!$C$4:$C$725,MATCH(LARGE(Benchmarking!$S$4:$S$725,13),Benchmarking!$S$4:$S$725,0))</f>
        <v>Energy</v>
      </c>
      <c r="E36" s="27">
        <f>INDEX(Benchmarking!$D$4:$D$725,MATCH(LARGE(Benchmarking!$S$4:$S$725,13),Benchmarking!$S$4:$S$725,0))</f>
        <v>687</v>
      </c>
    </row>
    <row r="37" spans="1:6" ht="15" customHeight="1" x14ac:dyDescent="0.35">
      <c r="A37" s="25">
        <v>14</v>
      </c>
      <c r="B37" s="26" t="str">
        <f>INDEX(Benchmarking!$A$4:$A$725,MATCH(LARGE(Benchmarking!$S$4:$S$725,14),Benchmarking!$S$4:$S$725,0))</f>
        <v>Newmont Corporation</v>
      </c>
      <c r="C37" s="26" t="str">
        <f>INDEX(Benchmarking!$B$4:$B$725,MATCH(LARGE(Benchmarking!$S$4:$S$725,14),Benchmarking!$S$4:$S$725,0))</f>
        <v>nem</v>
      </c>
      <c r="D37" s="26" t="str">
        <f>INDEX(Benchmarking!$C$4:$C$725,MATCH(LARGE(Benchmarking!$S$4:$S$725,14),Benchmarking!$S$4:$S$725,0))</f>
        <v>Metals &amp; Mining</v>
      </c>
      <c r="E37" s="27">
        <f>INDEX(Benchmarking!$D$4:$D$725,MATCH(LARGE(Benchmarking!$S$4:$S$725,14),Benchmarking!$S$4:$S$725,0))</f>
        <v>675</v>
      </c>
    </row>
    <row r="38" spans="1:6" ht="15" customHeight="1" x14ac:dyDescent="0.35">
      <c r="A38" s="25">
        <v>15</v>
      </c>
      <c r="B38" s="26" t="str">
        <f>INDEX(Benchmarking!$A$4:$A$725,MATCH(LARGE(Benchmarking!$S$4:$S$725,15),Benchmarking!$S$4:$S$725,0))</f>
        <v>Amazon.com Inc</v>
      </c>
      <c r="C38" s="26" t="str">
        <f>INDEX(Benchmarking!$B$4:$B$725,MATCH(LARGE(Benchmarking!$S$4:$S$725,15),Benchmarking!$S$4:$S$725,0))</f>
        <v>amzn</v>
      </c>
      <c r="D38" s="26" t="str">
        <f>INDEX(Benchmarking!$C$4:$C$725,MATCH(LARGE(Benchmarking!$S$4:$S$725,15),Benchmarking!$S$4:$S$725,0))</f>
        <v>Retail</v>
      </c>
      <c r="E38" s="27">
        <f>INDEX(Benchmarking!$D$4:$D$725,MATCH(LARGE(Benchmarking!$S$4:$S$725,15),Benchmarking!$S$4:$S$725,0))</f>
        <v>668</v>
      </c>
    </row>
    <row r="40" spans="1:6" ht="19.5" customHeight="1" x14ac:dyDescent="0.35">
      <c r="A40" s="12" t="s">
        <v>2976</v>
      </c>
      <c r="B40" s="12"/>
      <c r="C40" s="12"/>
      <c r="D40" s="12"/>
      <c r="E40" s="12"/>
      <c r="F40" s="12"/>
    </row>
    <row r="41" spans="1:6" ht="18" customHeight="1" x14ac:dyDescent="0.35">
      <c r="A41" s="24" t="s">
        <v>2972</v>
      </c>
      <c r="B41" s="24" t="s">
        <v>2941</v>
      </c>
      <c r="C41" s="24" t="s">
        <v>2942</v>
      </c>
      <c r="D41" s="24" t="s">
        <v>2943</v>
      </c>
      <c r="E41" s="24" t="s">
        <v>2977</v>
      </c>
    </row>
    <row r="42" spans="1:6" ht="15" customHeight="1" x14ac:dyDescent="0.35">
      <c r="A42" s="25">
        <v>1</v>
      </c>
      <c r="B42" s="26" t="str">
        <f>INDEX(Benchmarking!$A$4:$A$725,MATCH(LARGE(Benchmarking!$T$4:$T$725,1),Benchmarking!$T$4:$T$725,0))</f>
        <v>CMS Energy Corp</v>
      </c>
      <c r="C42" s="26" t="str">
        <f>INDEX(Benchmarking!$B$4:$B$725,MATCH(LARGE(Benchmarking!$T$4:$T$725,1),Benchmarking!$T$4:$T$725,0))</f>
        <v>cms</v>
      </c>
      <c r="D42" s="26" t="str">
        <f>INDEX(Benchmarking!$C$4:$C$725,MATCH(LARGE(Benchmarking!$T$4:$T$725,1),Benchmarking!$T$4:$T$725,0))</f>
        <v>Utilities</v>
      </c>
      <c r="E42" s="27">
        <f>INDEX(Benchmarking!$E$4:$E$725,MATCH(LARGE(Benchmarking!$T$4:$T$725,1),Benchmarking!$T$4:$T$725,0))</f>
        <v>667</v>
      </c>
    </row>
    <row r="43" spans="1:6" ht="15" customHeight="1" x14ac:dyDescent="0.35">
      <c r="A43" s="25">
        <v>2</v>
      </c>
      <c r="B43" s="26" t="str">
        <f>INDEX(Benchmarking!$A$4:$A$725,MATCH(LARGE(Benchmarking!$T$4:$T$725,2),Benchmarking!$T$4:$T$725,0))</f>
        <v>Airbnb Inc</v>
      </c>
      <c r="C43" s="26" t="str">
        <f>INDEX(Benchmarking!$B$4:$B$725,MATCH(LARGE(Benchmarking!$T$4:$T$725,2),Benchmarking!$T$4:$T$725,0))</f>
        <v>abnb</v>
      </c>
      <c r="D43" s="26" t="str">
        <f>INDEX(Benchmarking!$C$4:$C$725,MATCH(LARGE(Benchmarking!$T$4:$T$725,2),Benchmarking!$T$4:$T$725,0))</f>
        <v>Hotels Restaurants &amp; Leisure</v>
      </c>
      <c r="E43" s="27">
        <f>INDEX(Benchmarking!$E$4:$E$725,MATCH(LARGE(Benchmarking!$T$4:$T$725,2),Benchmarking!$T$4:$T$725,0))</f>
        <v>570</v>
      </c>
    </row>
    <row r="44" spans="1:6" ht="15" customHeight="1" x14ac:dyDescent="0.35">
      <c r="A44" s="25">
        <v>3</v>
      </c>
      <c r="B44" s="26" t="str">
        <f>INDEX(Benchmarking!$A$4:$A$725,MATCH(LARGE(Benchmarking!$T$4:$T$725,3),Benchmarking!$T$4:$T$725,0))</f>
        <v>Conocophillips</v>
      </c>
      <c r="C44" s="26" t="str">
        <f>INDEX(Benchmarking!$B$4:$B$725,MATCH(LARGE(Benchmarking!$T$4:$T$725,3),Benchmarking!$T$4:$T$725,0))</f>
        <v>cop</v>
      </c>
      <c r="D44" s="26" t="str">
        <f>INDEX(Benchmarking!$C$4:$C$725,MATCH(LARGE(Benchmarking!$T$4:$T$725,3),Benchmarking!$T$4:$T$725,0))</f>
        <v>Energy</v>
      </c>
      <c r="E44" s="27">
        <f>INDEX(Benchmarking!$E$4:$E$725,MATCH(LARGE(Benchmarking!$T$4:$T$725,3),Benchmarking!$T$4:$T$725,0))</f>
        <v>544</v>
      </c>
    </row>
    <row r="45" spans="1:6" ht="15" customHeight="1" x14ac:dyDescent="0.35">
      <c r="A45" s="25">
        <v>4</v>
      </c>
      <c r="B45" s="26" t="str">
        <f>INDEX(Benchmarking!$A$4:$A$725,MATCH(LARGE(Benchmarking!$T$4:$T$725,4),Benchmarking!$T$4:$T$725,0))</f>
        <v>Yelp Inc</v>
      </c>
      <c r="C45" s="26" t="str">
        <f>INDEX(Benchmarking!$B$4:$B$725,MATCH(LARGE(Benchmarking!$T$4:$T$725,4),Benchmarking!$T$4:$T$725,0))</f>
        <v>yelp</v>
      </c>
      <c r="D45" s="26" t="str">
        <f>INDEX(Benchmarking!$C$4:$C$725,MATCH(LARGE(Benchmarking!$T$4:$T$725,4),Benchmarking!$T$4:$T$725,0))</f>
        <v>Media</v>
      </c>
      <c r="E45" s="27">
        <f>INDEX(Benchmarking!$E$4:$E$725,MATCH(LARGE(Benchmarking!$T$4:$T$725,4),Benchmarking!$T$4:$T$725,0))</f>
        <v>515</v>
      </c>
    </row>
    <row r="46" spans="1:6" ht="15" customHeight="1" x14ac:dyDescent="0.35">
      <c r="A46" s="25">
        <v>5</v>
      </c>
      <c r="B46" s="26" t="str">
        <f>INDEX(Benchmarking!$A$4:$A$725,MATCH(LARGE(Benchmarking!$T$4:$T$725,5),Benchmarking!$T$4:$T$725,0))</f>
        <v>Edison International</v>
      </c>
      <c r="C46" s="26" t="str">
        <f>INDEX(Benchmarking!$B$4:$B$725,MATCH(LARGE(Benchmarking!$T$4:$T$725,5),Benchmarking!$T$4:$T$725,0))</f>
        <v>eix</v>
      </c>
      <c r="D46" s="26" t="str">
        <f>INDEX(Benchmarking!$C$4:$C$725,MATCH(LARGE(Benchmarking!$T$4:$T$725,5),Benchmarking!$T$4:$T$725,0))</f>
        <v>Utilities</v>
      </c>
      <c r="E46" s="27">
        <f>INDEX(Benchmarking!$E$4:$E$725,MATCH(LARGE(Benchmarking!$T$4:$T$725,5),Benchmarking!$T$4:$T$725,0))</f>
        <v>513</v>
      </c>
    </row>
    <row r="47" spans="1:6" ht="15" customHeight="1" x14ac:dyDescent="0.35">
      <c r="A47" s="25">
        <v>6</v>
      </c>
      <c r="B47" s="26" t="str">
        <f>INDEX(Benchmarking!$A$4:$A$725,MATCH(LARGE(Benchmarking!$T$4:$T$725,6),Benchmarking!$T$4:$T$725,0))</f>
        <v>Pinnacle West Capital Corp</v>
      </c>
      <c r="C47" s="26" t="str">
        <f>INDEX(Benchmarking!$B$4:$B$725,MATCH(LARGE(Benchmarking!$T$4:$T$725,6),Benchmarking!$T$4:$T$725,0))</f>
        <v>pnw</v>
      </c>
      <c r="D47" s="26" t="str">
        <f>INDEX(Benchmarking!$C$4:$C$725,MATCH(LARGE(Benchmarking!$T$4:$T$725,6),Benchmarking!$T$4:$T$725,0))</f>
        <v>Utilities</v>
      </c>
      <c r="E47" s="27">
        <f>INDEX(Benchmarking!$E$4:$E$725,MATCH(LARGE(Benchmarking!$T$4:$T$725,6),Benchmarking!$T$4:$T$725,0))</f>
        <v>479</v>
      </c>
    </row>
    <row r="48" spans="1:6" ht="15" customHeight="1" x14ac:dyDescent="0.35">
      <c r="A48" s="25">
        <v>7</v>
      </c>
      <c r="B48" s="26" t="str">
        <f>INDEX(Benchmarking!$A$4:$A$725,MATCH(LARGE(Benchmarking!$T$4:$T$725,7),Benchmarking!$T$4:$T$725,0))</f>
        <v>Microsoft Corp</v>
      </c>
      <c r="C48" s="26" t="str">
        <f>INDEX(Benchmarking!$B$4:$B$725,MATCH(LARGE(Benchmarking!$T$4:$T$725,7),Benchmarking!$T$4:$T$725,0))</f>
        <v>msft</v>
      </c>
      <c r="D48" s="26" t="str">
        <f>INDEX(Benchmarking!$C$4:$C$725,MATCH(LARGE(Benchmarking!$T$4:$T$725,7),Benchmarking!$T$4:$T$725,0))</f>
        <v>Technology</v>
      </c>
      <c r="E48" s="27">
        <f>INDEX(Benchmarking!$E$4:$E$725,MATCH(LARGE(Benchmarking!$T$4:$T$725,7),Benchmarking!$T$4:$T$725,0))</f>
        <v>443</v>
      </c>
    </row>
    <row r="49" spans="1:6" ht="15" customHeight="1" x14ac:dyDescent="0.35">
      <c r="A49" s="25">
        <v>8</v>
      </c>
      <c r="B49" s="26" t="str">
        <f>INDEX(Benchmarking!$A$4:$A$725,MATCH(LARGE(Benchmarking!$T$4:$T$725,8),Benchmarking!$T$4:$T$725,0))</f>
        <v>Air Products and Chemicals Inc</v>
      </c>
      <c r="C49" s="26" t="str">
        <f>INDEX(Benchmarking!$B$4:$B$725,MATCH(LARGE(Benchmarking!$T$4:$T$725,8),Benchmarking!$T$4:$T$725,0))</f>
        <v>apd</v>
      </c>
      <c r="D49" s="26" t="str">
        <f>INDEX(Benchmarking!$C$4:$C$725,MATCH(LARGE(Benchmarking!$T$4:$T$725,8),Benchmarking!$T$4:$T$725,0))</f>
        <v>Chemicals</v>
      </c>
      <c r="E49" s="27">
        <f>INDEX(Benchmarking!$E$4:$E$725,MATCH(LARGE(Benchmarking!$T$4:$T$725,8),Benchmarking!$T$4:$T$725,0))</f>
        <v>442</v>
      </c>
    </row>
    <row r="50" spans="1:6" ht="15" customHeight="1" x14ac:dyDescent="0.35">
      <c r="A50" s="25">
        <v>9</v>
      </c>
      <c r="B50" s="26" t="str">
        <f>INDEX(Benchmarking!$A$4:$A$725,MATCH(LARGE(Benchmarking!$T$4:$T$725,9),Benchmarking!$T$4:$T$725,0))</f>
        <v>WEC Energy Group Inc</v>
      </c>
      <c r="C50" s="26" t="str">
        <f>INDEX(Benchmarking!$B$4:$B$725,MATCH(LARGE(Benchmarking!$T$4:$T$725,9),Benchmarking!$T$4:$T$725,0))</f>
        <v>wec</v>
      </c>
      <c r="D50" s="26" t="str">
        <f>INDEX(Benchmarking!$C$4:$C$725,MATCH(LARGE(Benchmarking!$T$4:$T$725,9),Benchmarking!$T$4:$T$725,0))</f>
        <v>Utilities</v>
      </c>
      <c r="E50" s="27">
        <f>INDEX(Benchmarking!$E$4:$E$725,MATCH(LARGE(Benchmarking!$T$4:$T$725,9),Benchmarking!$T$4:$T$725,0))</f>
        <v>438</v>
      </c>
    </row>
    <row r="51" spans="1:6" ht="15" customHeight="1" x14ac:dyDescent="0.35">
      <c r="A51" s="25">
        <v>10</v>
      </c>
      <c r="B51" s="26" t="str">
        <f>INDEX(Benchmarking!$A$4:$A$725,MATCH(LARGE(Benchmarking!$T$4:$T$725,10),Benchmarking!$T$4:$T$725,0))</f>
        <v>Old Dominion Freight Line Inc</v>
      </c>
      <c r="C51" s="26" t="str">
        <f>INDEX(Benchmarking!$B$4:$B$725,MATCH(LARGE(Benchmarking!$T$4:$T$725,10),Benchmarking!$T$4:$T$725,0))</f>
        <v>odfl</v>
      </c>
      <c r="D51" s="26" t="str">
        <f>INDEX(Benchmarking!$C$4:$C$725,MATCH(LARGE(Benchmarking!$T$4:$T$725,10),Benchmarking!$T$4:$T$725,0))</f>
        <v>Road &amp; Rail</v>
      </c>
      <c r="E51" s="27">
        <f>INDEX(Benchmarking!$E$4:$E$725,MATCH(LARGE(Benchmarking!$T$4:$T$725,10),Benchmarking!$T$4:$T$725,0))</f>
        <v>423</v>
      </c>
    </row>
    <row r="52" spans="1:6" ht="15" customHeight="1" x14ac:dyDescent="0.35">
      <c r="A52" s="25">
        <v>11</v>
      </c>
      <c r="B52" s="26" t="str">
        <f>INDEX(Benchmarking!$A$4:$A$725,MATCH(LARGE(Benchmarking!$T$4:$T$725,11),Benchmarking!$T$4:$T$725,0))</f>
        <v>Procter &amp; Gamble Co</v>
      </c>
      <c r="C52" s="26" t="str">
        <f>INDEX(Benchmarking!$B$4:$B$725,MATCH(LARGE(Benchmarking!$T$4:$T$725,11),Benchmarking!$T$4:$T$725,0))</f>
        <v>pg</v>
      </c>
      <c r="D52" s="26" t="str">
        <f>INDEX(Benchmarking!$C$4:$C$725,MATCH(LARGE(Benchmarking!$T$4:$T$725,11),Benchmarking!$T$4:$T$725,0))</f>
        <v>Consumer products</v>
      </c>
      <c r="E52" s="27">
        <f>INDEX(Benchmarking!$E$4:$E$725,MATCH(LARGE(Benchmarking!$T$4:$T$725,11),Benchmarking!$T$4:$T$725,0))</f>
        <v>422</v>
      </c>
    </row>
    <row r="53" spans="1:6" ht="15" customHeight="1" x14ac:dyDescent="0.35">
      <c r="A53" s="25">
        <v>12</v>
      </c>
      <c r="B53" s="26" t="str">
        <f>INDEX(Benchmarking!$A$4:$A$725,MATCH(LARGE(Benchmarking!$T$4:$T$725,12),Benchmarking!$T$4:$T$725,0))</f>
        <v>Trimble Inc</v>
      </c>
      <c r="C53" s="26" t="str">
        <f>INDEX(Benchmarking!$B$4:$B$725,MATCH(LARGE(Benchmarking!$T$4:$T$725,12),Benchmarking!$T$4:$T$725,0))</f>
        <v>trmb</v>
      </c>
      <c r="D53" s="26" t="str">
        <f>INDEX(Benchmarking!$C$4:$C$725,MATCH(LARGE(Benchmarking!$T$4:$T$725,12),Benchmarking!$T$4:$T$725,0))</f>
        <v>Electrical Equipment</v>
      </c>
      <c r="E53" s="27">
        <f>INDEX(Benchmarking!$E$4:$E$725,MATCH(LARGE(Benchmarking!$T$4:$T$725,12),Benchmarking!$T$4:$T$725,0))</f>
        <v>415</v>
      </c>
    </row>
    <row r="54" spans="1:6" ht="15" customHeight="1" x14ac:dyDescent="0.35">
      <c r="A54" s="25">
        <v>13</v>
      </c>
      <c r="B54" s="26" t="str">
        <f>INDEX(Benchmarking!$A$4:$A$725,MATCH(LARGE(Benchmarking!$T$4:$T$725,13),Benchmarking!$T$4:$T$725,0))</f>
        <v>Pioneer Natural Resources Co</v>
      </c>
      <c r="C54" s="26" t="str">
        <f>INDEX(Benchmarking!$B$4:$B$725,MATCH(LARGE(Benchmarking!$T$4:$T$725,13),Benchmarking!$T$4:$T$725,0))</f>
        <v>pxd</v>
      </c>
      <c r="D54" s="26" t="str">
        <f>INDEX(Benchmarking!$C$4:$C$725,MATCH(LARGE(Benchmarking!$T$4:$T$725,13),Benchmarking!$T$4:$T$725,0))</f>
        <v>Energy</v>
      </c>
      <c r="E54" s="27">
        <f>INDEX(Benchmarking!$E$4:$E$725,MATCH(LARGE(Benchmarking!$T$4:$T$725,13),Benchmarking!$T$4:$T$725,0))</f>
        <v>412</v>
      </c>
    </row>
    <row r="55" spans="1:6" ht="15" customHeight="1" x14ac:dyDescent="0.35">
      <c r="A55" s="25">
        <v>14</v>
      </c>
      <c r="B55" s="26" t="str">
        <f>INDEX(Benchmarking!$A$4:$A$725,MATCH(LARGE(Benchmarking!$T$4:$T$725,14),Benchmarking!$T$4:$T$725,0))</f>
        <v>Eversource Energy</v>
      </c>
      <c r="C55" s="26" t="str">
        <f>INDEX(Benchmarking!$B$4:$B$725,MATCH(LARGE(Benchmarking!$T$4:$T$725,14),Benchmarking!$T$4:$T$725,0))</f>
        <v>es</v>
      </c>
      <c r="D55" s="26" t="str">
        <f>INDEX(Benchmarking!$C$4:$C$725,MATCH(LARGE(Benchmarking!$T$4:$T$725,14),Benchmarking!$T$4:$T$725,0))</f>
        <v>Utilities</v>
      </c>
      <c r="E55" s="27">
        <f>INDEX(Benchmarking!$E$4:$E$725,MATCH(LARGE(Benchmarking!$T$4:$T$725,14),Benchmarking!$T$4:$T$725,0))</f>
        <v>409</v>
      </c>
    </row>
    <row r="56" spans="1:6" ht="15" customHeight="1" x14ac:dyDescent="0.35">
      <c r="A56" s="25">
        <v>15</v>
      </c>
      <c r="B56" s="26" t="str">
        <f>INDEX(Benchmarking!$A$4:$A$725,MATCH(LARGE(Benchmarking!$T$4:$T$725,15),Benchmarking!$T$4:$T$725,0))</f>
        <v>Waste Management Inc</v>
      </c>
      <c r="C56" s="26" t="str">
        <f>INDEX(Benchmarking!$B$4:$B$725,MATCH(LARGE(Benchmarking!$T$4:$T$725,15),Benchmarking!$T$4:$T$725,0))</f>
        <v>wm</v>
      </c>
      <c r="D56" s="26" t="str">
        <f>INDEX(Benchmarking!$C$4:$C$725,MATCH(LARGE(Benchmarking!$T$4:$T$725,15),Benchmarking!$T$4:$T$725,0))</f>
        <v>Commercial Services &amp; Supplies</v>
      </c>
      <c r="E56" s="27">
        <f>INDEX(Benchmarking!$E$4:$E$725,MATCH(LARGE(Benchmarking!$T$4:$T$725,15),Benchmarking!$T$4:$T$725,0))</f>
        <v>408</v>
      </c>
    </row>
    <row r="58" spans="1:6" ht="19.5" customHeight="1" x14ac:dyDescent="0.35">
      <c r="A58" s="12" t="s">
        <v>2978</v>
      </c>
      <c r="B58" s="12"/>
      <c r="C58" s="12"/>
      <c r="D58" s="12"/>
      <c r="E58" s="12"/>
      <c r="F58" s="12"/>
    </row>
    <row r="59" spans="1:6" ht="18" customHeight="1" x14ac:dyDescent="0.35">
      <c r="A59" s="24" t="s">
        <v>2972</v>
      </c>
      <c r="B59" s="24" t="s">
        <v>2941</v>
      </c>
      <c r="C59" s="24" t="s">
        <v>2942</v>
      </c>
      <c r="D59" s="24" t="s">
        <v>2943</v>
      </c>
      <c r="E59" s="24" t="s">
        <v>2979</v>
      </c>
    </row>
    <row r="60" spans="1:6" ht="15" customHeight="1" x14ac:dyDescent="0.35">
      <c r="A60" s="25">
        <v>1</v>
      </c>
      <c r="B60" s="26" t="str">
        <f>INDEX(Benchmarking!$A$4:$A$725,MATCH(LARGE(Benchmarking!$U$4:$U$725,1),Benchmarking!$U$4:$U$725,0))</f>
        <v>Amphenol Corp</v>
      </c>
      <c r="C60" s="26" t="str">
        <f>INDEX(Benchmarking!$B$4:$B$725,MATCH(LARGE(Benchmarking!$U$4:$U$725,1),Benchmarking!$U$4:$U$725,0))</f>
        <v>aph</v>
      </c>
      <c r="D60" s="26" t="str">
        <f>INDEX(Benchmarking!$C$4:$C$725,MATCH(LARGE(Benchmarking!$U$4:$U$725,1),Benchmarking!$U$4:$U$725,0))</f>
        <v>Electrical Equipment</v>
      </c>
      <c r="E60" s="27">
        <f>INDEX(Benchmarking!$F$4:$F$725,MATCH(LARGE(Benchmarking!$U$4:$U$725,1),Benchmarking!$U$4:$U$725,0))</f>
        <v>475</v>
      </c>
    </row>
    <row r="61" spans="1:6" ht="15" customHeight="1" x14ac:dyDescent="0.35">
      <c r="A61" s="25">
        <v>2</v>
      </c>
      <c r="B61" s="26" t="str">
        <f>INDEX(Benchmarking!$A$4:$A$725,MATCH(LARGE(Benchmarking!$U$4:$U$725,2),Benchmarking!$U$4:$U$725,0))</f>
        <v>Amazon.com Inc</v>
      </c>
      <c r="C61" s="26" t="str">
        <f>INDEX(Benchmarking!$B$4:$B$725,MATCH(LARGE(Benchmarking!$U$4:$U$725,2),Benchmarking!$U$4:$U$725,0))</f>
        <v>amzn</v>
      </c>
      <c r="D61" s="26" t="str">
        <f>INDEX(Benchmarking!$C$4:$C$725,MATCH(LARGE(Benchmarking!$U$4:$U$725,2),Benchmarking!$U$4:$U$725,0))</f>
        <v>Retail</v>
      </c>
      <c r="E61" s="27">
        <f>INDEX(Benchmarking!$F$4:$F$725,MATCH(LARGE(Benchmarking!$U$4:$U$725,2),Benchmarking!$U$4:$U$725,0))</f>
        <v>460</v>
      </c>
    </row>
    <row r="62" spans="1:6" ht="15" customHeight="1" x14ac:dyDescent="0.35">
      <c r="A62" s="25">
        <v>3</v>
      </c>
      <c r="B62" s="26" t="str">
        <f>INDEX(Benchmarking!$A$4:$A$725,MATCH(LARGE(Benchmarking!$U$4:$U$725,3),Benchmarking!$U$4:$U$725,0))</f>
        <v>Akoustis Technologies Inc</v>
      </c>
      <c r="C62" s="26" t="str">
        <f>INDEX(Benchmarking!$B$4:$B$725,MATCH(LARGE(Benchmarking!$U$4:$U$725,3),Benchmarking!$U$4:$U$725,0))</f>
        <v>akts</v>
      </c>
      <c r="D62" s="26" t="str">
        <f>INDEX(Benchmarking!$C$4:$C$725,MATCH(LARGE(Benchmarking!$U$4:$U$725,3),Benchmarking!$U$4:$U$725,0))</f>
        <v>Electrical Equipment</v>
      </c>
      <c r="E62" s="27">
        <f>INDEX(Benchmarking!$F$4:$F$725,MATCH(LARGE(Benchmarking!$U$4:$U$725,3),Benchmarking!$U$4:$U$725,0))</f>
        <v>428</v>
      </c>
    </row>
    <row r="63" spans="1:6" ht="15" customHeight="1" x14ac:dyDescent="0.35">
      <c r="A63" s="25">
        <v>4</v>
      </c>
      <c r="B63" s="26" t="str">
        <f>INDEX(Benchmarking!$A$4:$A$725,MATCH(LARGE(Benchmarking!$U$4:$U$725,4),Benchmarking!$U$4:$U$725,0))</f>
        <v>Airbnb Inc</v>
      </c>
      <c r="C63" s="26" t="str">
        <f>INDEX(Benchmarking!$B$4:$B$725,MATCH(LARGE(Benchmarking!$U$4:$U$725,4),Benchmarking!$U$4:$U$725,0))</f>
        <v>abnb</v>
      </c>
      <c r="D63" s="26" t="str">
        <f>INDEX(Benchmarking!$C$4:$C$725,MATCH(LARGE(Benchmarking!$U$4:$U$725,4),Benchmarking!$U$4:$U$725,0))</f>
        <v>Hotels Restaurants &amp; Leisure</v>
      </c>
      <c r="E63" s="27">
        <f>INDEX(Benchmarking!$F$4:$F$725,MATCH(LARGE(Benchmarking!$U$4:$U$725,4),Benchmarking!$U$4:$U$725,0))</f>
        <v>400</v>
      </c>
    </row>
    <row r="64" spans="1:6" ht="15" customHeight="1" x14ac:dyDescent="0.35">
      <c r="A64" s="25">
        <v>5</v>
      </c>
      <c r="B64" s="26" t="str">
        <f>INDEX(Benchmarking!$A$4:$A$725,MATCH(LARGE(Benchmarking!$U$4:$U$725,5),Benchmarking!$U$4:$U$725,0))</f>
        <v>Raytheon Technologies Corp</v>
      </c>
      <c r="C64" s="26" t="str">
        <f>INDEX(Benchmarking!$B$4:$B$725,MATCH(LARGE(Benchmarking!$U$4:$U$725,5),Benchmarking!$U$4:$U$725,0))</f>
        <v>rtx</v>
      </c>
      <c r="D64" s="26" t="str">
        <f>INDEX(Benchmarking!$C$4:$C$725,MATCH(LARGE(Benchmarking!$U$4:$U$725,5),Benchmarking!$U$4:$U$725,0))</f>
        <v>Aerospace &amp; Defense</v>
      </c>
      <c r="E64" s="27">
        <f>INDEX(Benchmarking!$F$4:$F$725,MATCH(LARGE(Benchmarking!$U$4:$U$725,5),Benchmarking!$U$4:$U$725,0))</f>
        <v>400</v>
      </c>
    </row>
    <row r="65" spans="1:6" ht="15" customHeight="1" x14ac:dyDescent="0.35">
      <c r="A65" s="25">
        <v>6</v>
      </c>
      <c r="B65" s="26" t="str">
        <f>INDEX(Benchmarking!$A$4:$A$725,MATCH(LARGE(Benchmarking!$U$4:$U$725,6),Benchmarking!$U$4:$U$725,0))</f>
        <v>Danaher Corp</v>
      </c>
      <c r="C65" s="26" t="str">
        <f>INDEX(Benchmarking!$B$4:$B$725,MATCH(LARGE(Benchmarking!$U$4:$U$725,6),Benchmarking!$U$4:$U$725,0))</f>
        <v>dhr</v>
      </c>
      <c r="D65" s="26" t="str">
        <f>INDEX(Benchmarking!$C$4:$C$725,MATCH(LARGE(Benchmarking!$U$4:$U$725,6),Benchmarking!$U$4:$U$725,0))</f>
        <v>Life Sciences Tools &amp; Services</v>
      </c>
      <c r="E65" s="27">
        <f>INDEX(Benchmarking!$F$4:$F$725,MATCH(LARGE(Benchmarking!$U$4:$U$725,6),Benchmarking!$U$4:$U$725,0))</f>
        <v>385</v>
      </c>
    </row>
    <row r="66" spans="1:6" ht="15" customHeight="1" x14ac:dyDescent="0.35">
      <c r="A66" s="25">
        <v>7</v>
      </c>
      <c r="B66" s="26" t="str">
        <f>INDEX(Benchmarking!$A$4:$A$725,MATCH(LARGE(Benchmarking!$U$4:$U$725,7),Benchmarking!$U$4:$U$725,0))</f>
        <v>Microsoft Corp</v>
      </c>
      <c r="C66" s="26" t="str">
        <f>INDEX(Benchmarking!$B$4:$B$725,MATCH(LARGE(Benchmarking!$U$4:$U$725,7),Benchmarking!$U$4:$U$725,0))</f>
        <v>msft</v>
      </c>
      <c r="D66" s="26" t="str">
        <f>INDEX(Benchmarking!$C$4:$C$725,MATCH(LARGE(Benchmarking!$U$4:$U$725,7),Benchmarking!$U$4:$U$725,0))</f>
        <v>Technology</v>
      </c>
      <c r="E66" s="27">
        <f>INDEX(Benchmarking!$F$4:$F$725,MATCH(LARGE(Benchmarking!$U$4:$U$725,7),Benchmarking!$U$4:$U$725,0))</f>
        <v>375</v>
      </c>
    </row>
    <row r="67" spans="1:6" ht="15" customHeight="1" x14ac:dyDescent="0.35">
      <c r="A67" s="25">
        <v>8</v>
      </c>
      <c r="B67" s="26" t="str">
        <f>INDEX(Benchmarking!$A$4:$A$725,MATCH(LARGE(Benchmarking!$U$4:$U$725,8),Benchmarking!$U$4:$U$725,0))</f>
        <v>AES Corp</v>
      </c>
      <c r="C67" s="26" t="str">
        <f>INDEX(Benchmarking!$B$4:$B$725,MATCH(LARGE(Benchmarking!$U$4:$U$725,8),Benchmarking!$U$4:$U$725,0))</f>
        <v>aes</v>
      </c>
      <c r="D67" s="26" t="str">
        <f>INDEX(Benchmarking!$C$4:$C$725,MATCH(LARGE(Benchmarking!$U$4:$U$725,8),Benchmarking!$U$4:$U$725,0))</f>
        <v>Utilities</v>
      </c>
      <c r="E67" s="27">
        <f>INDEX(Benchmarking!$F$4:$F$725,MATCH(LARGE(Benchmarking!$U$4:$U$725,8),Benchmarking!$U$4:$U$725,0))</f>
        <v>370</v>
      </c>
    </row>
    <row r="68" spans="1:6" ht="15" customHeight="1" x14ac:dyDescent="0.35">
      <c r="A68" s="25">
        <v>9</v>
      </c>
      <c r="B68" s="26" t="str">
        <f>INDEX(Benchmarking!$A$4:$A$725,MATCH(LARGE(Benchmarking!$U$4:$U$725,9),Benchmarking!$U$4:$U$725,0))</f>
        <v>Regency Centers Corp</v>
      </c>
      <c r="C68" s="26" t="str">
        <f>INDEX(Benchmarking!$B$4:$B$725,MATCH(LARGE(Benchmarking!$U$4:$U$725,9),Benchmarking!$U$4:$U$725,0))</f>
        <v>reg</v>
      </c>
      <c r="D68" s="26" t="str">
        <f>INDEX(Benchmarking!$C$4:$C$725,MATCH(LARGE(Benchmarking!$U$4:$U$725,9),Benchmarking!$U$4:$U$725,0))</f>
        <v>Real Estate</v>
      </c>
      <c r="E68" s="27">
        <f>INDEX(Benchmarking!$F$4:$F$725,MATCH(LARGE(Benchmarking!$U$4:$U$725,9),Benchmarking!$U$4:$U$725,0))</f>
        <v>365</v>
      </c>
    </row>
    <row r="69" spans="1:6" ht="15" customHeight="1" x14ac:dyDescent="0.35">
      <c r="A69" s="25">
        <v>10</v>
      </c>
      <c r="B69" s="26" t="str">
        <f>INDEX(Benchmarking!$A$4:$A$725,MATCH(LARGE(Benchmarking!$U$4:$U$725,10),Benchmarking!$U$4:$U$725,0))</f>
        <v>General Mills Inc</v>
      </c>
      <c r="C69" s="26" t="str">
        <f>INDEX(Benchmarking!$B$4:$B$725,MATCH(LARGE(Benchmarking!$U$4:$U$725,10),Benchmarking!$U$4:$U$725,0))</f>
        <v>gis</v>
      </c>
      <c r="D69" s="26" t="str">
        <f>INDEX(Benchmarking!$C$4:$C$725,MATCH(LARGE(Benchmarking!$U$4:$U$725,10),Benchmarking!$U$4:$U$725,0))</f>
        <v>Food Products</v>
      </c>
      <c r="E69" s="27">
        <f>INDEX(Benchmarking!$F$4:$F$725,MATCH(LARGE(Benchmarking!$U$4:$U$725,10),Benchmarking!$U$4:$U$725,0))</f>
        <v>365</v>
      </c>
    </row>
    <row r="70" spans="1:6" ht="15" customHeight="1" x14ac:dyDescent="0.35">
      <c r="A70" s="25">
        <v>11</v>
      </c>
      <c r="B70" s="26" t="str">
        <f>INDEX(Benchmarking!$A$4:$A$725,MATCH(LARGE(Benchmarking!$U$4:$U$725,11),Benchmarking!$U$4:$U$725,0))</f>
        <v>UTStarcom Holdings Corp</v>
      </c>
      <c r="C70" s="26" t="str">
        <f>INDEX(Benchmarking!$B$4:$B$725,MATCH(LARGE(Benchmarking!$U$4:$U$725,11),Benchmarking!$U$4:$U$725,0))</f>
        <v>utsi</v>
      </c>
      <c r="D70" s="26" t="str">
        <f>INDEX(Benchmarking!$C$4:$C$725,MATCH(LARGE(Benchmarking!$U$4:$U$725,11),Benchmarking!$U$4:$U$725,0))</f>
        <v>Communications</v>
      </c>
      <c r="E70" s="27">
        <f>INDEX(Benchmarking!$F$4:$F$725,MATCH(LARGE(Benchmarking!$U$4:$U$725,11),Benchmarking!$U$4:$U$725,0))</f>
        <v>365</v>
      </c>
    </row>
    <row r="71" spans="1:6" ht="15" customHeight="1" x14ac:dyDescent="0.35">
      <c r="A71" s="25">
        <v>12</v>
      </c>
      <c r="B71" s="26" t="str">
        <f>INDEX(Benchmarking!$A$4:$A$725,MATCH(LARGE(Benchmarking!$U$4:$U$725,12),Benchmarking!$U$4:$U$725,0))</f>
        <v>Biogen Inc</v>
      </c>
      <c r="C71" s="26" t="str">
        <f>INDEX(Benchmarking!$B$4:$B$725,MATCH(LARGE(Benchmarking!$U$4:$U$725,12),Benchmarking!$U$4:$U$725,0))</f>
        <v>biib</v>
      </c>
      <c r="D71" s="26" t="str">
        <f>INDEX(Benchmarking!$C$4:$C$725,MATCH(LARGE(Benchmarking!$U$4:$U$725,12),Benchmarking!$U$4:$U$725,0))</f>
        <v>Biotechnology</v>
      </c>
      <c r="E71" s="27">
        <f>INDEX(Benchmarking!$F$4:$F$725,MATCH(LARGE(Benchmarking!$U$4:$U$725,12),Benchmarking!$U$4:$U$725,0))</f>
        <v>364</v>
      </c>
    </row>
    <row r="72" spans="1:6" ht="15" customHeight="1" x14ac:dyDescent="0.35">
      <c r="A72" s="25">
        <v>13</v>
      </c>
      <c r="B72" s="26" t="str">
        <f>INDEX(Benchmarking!$A$4:$A$725,MATCH(LARGE(Benchmarking!$U$4:$U$725,13),Benchmarking!$U$4:$U$725,0))</f>
        <v>PepsiCo Inc</v>
      </c>
      <c r="C72" s="26" t="str">
        <f>INDEX(Benchmarking!$B$4:$B$725,MATCH(LARGE(Benchmarking!$U$4:$U$725,13),Benchmarking!$U$4:$U$725,0))</f>
        <v>pep</v>
      </c>
      <c r="D72" s="26" t="str">
        <f>INDEX(Benchmarking!$C$4:$C$725,MATCH(LARGE(Benchmarking!$U$4:$U$725,13),Benchmarking!$U$4:$U$725,0))</f>
        <v>Beverages</v>
      </c>
      <c r="E72" s="27">
        <f>INDEX(Benchmarking!$F$4:$F$725,MATCH(LARGE(Benchmarking!$U$4:$U$725,13),Benchmarking!$U$4:$U$725,0))</f>
        <v>358</v>
      </c>
    </row>
    <row r="73" spans="1:6" ht="15" customHeight="1" x14ac:dyDescent="0.35">
      <c r="A73" s="25">
        <v>14</v>
      </c>
      <c r="B73" s="26" t="str">
        <f>INDEX(Benchmarking!$A$4:$A$725,MATCH(LARGE(Benchmarking!$U$4:$U$725,14),Benchmarking!$U$4:$U$725,0))</f>
        <v>Alphabet Inc</v>
      </c>
      <c r="C73" s="26" t="str">
        <f>INDEX(Benchmarking!$B$4:$B$725,MATCH(LARGE(Benchmarking!$U$4:$U$725,14),Benchmarking!$U$4:$U$725,0))</f>
        <v>googl</v>
      </c>
      <c r="D73" s="26" t="str">
        <f>INDEX(Benchmarking!$C$4:$C$725,MATCH(LARGE(Benchmarking!$U$4:$U$725,14),Benchmarking!$U$4:$U$725,0))</f>
        <v>Media</v>
      </c>
      <c r="E73" s="27">
        <f>INDEX(Benchmarking!$F$4:$F$725,MATCH(LARGE(Benchmarking!$U$4:$U$725,14),Benchmarking!$U$4:$U$725,0))</f>
        <v>355</v>
      </c>
    </row>
    <row r="74" spans="1:6" ht="15" customHeight="1" x14ac:dyDescent="0.35">
      <c r="A74" s="25">
        <v>15</v>
      </c>
      <c r="B74" s="26" t="str">
        <f>INDEX(Benchmarking!$A$4:$A$725,MATCH(LARGE(Benchmarking!$U$4:$U$725,15),Benchmarking!$U$4:$U$725,0))</f>
        <v>ONEOK Inc</v>
      </c>
      <c r="C74" s="26" t="str">
        <f>INDEX(Benchmarking!$B$4:$B$725,MATCH(LARGE(Benchmarking!$U$4:$U$725,15),Benchmarking!$U$4:$U$725,0))</f>
        <v>oke</v>
      </c>
      <c r="D74" s="26" t="str">
        <f>INDEX(Benchmarking!$C$4:$C$725,MATCH(LARGE(Benchmarking!$U$4:$U$725,15),Benchmarking!$U$4:$U$725,0))</f>
        <v>Energy</v>
      </c>
      <c r="E74" s="27">
        <f>INDEX(Benchmarking!$F$4:$F$725,MATCH(LARGE(Benchmarking!$U$4:$U$725,15),Benchmarking!$U$4:$U$725,0))</f>
        <v>355</v>
      </c>
    </row>
    <row r="76" spans="1:6" ht="19.5" customHeight="1" x14ac:dyDescent="0.35">
      <c r="A76" s="12" t="s">
        <v>2980</v>
      </c>
      <c r="B76" s="12"/>
      <c r="C76" s="12"/>
      <c r="D76" s="12"/>
      <c r="E76" s="12"/>
      <c r="F76" s="12"/>
    </row>
    <row r="77" spans="1:6" ht="27.75" customHeight="1" x14ac:dyDescent="0.35">
      <c r="A77" s="24" t="s">
        <v>2972</v>
      </c>
      <c r="B77" s="24" t="s">
        <v>2943</v>
      </c>
      <c r="C77" s="24" t="s">
        <v>2981</v>
      </c>
      <c r="D77" s="24" t="s">
        <v>2982</v>
      </c>
      <c r="E77" s="24" t="s">
        <v>2983</v>
      </c>
    </row>
    <row r="78" spans="1:6" ht="15" customHeight="1" x14ac:dyDescent="0.35">
      <c r="A78" s="25">
        <v>1</v>
      </c>
      <c r="B78" s="26" t="str">
        <f>INDEX('Industry Stats'!$A$2:$A$46,MATCH(LARGE('Industry Stats'!$J$2:$J$46,1),'Industry Stats'!$J$2:$J$46,0))</f>
        <v>Utilities</v>
      </c>
      <c r="C78" s="26">
        <f>INDEX('Industry Stats'!$B$2:$B$46,MATCH(LARGE('Industry Stats'!$J$2:$J$46,1),'Industry Stats'!$J$2:$J$46,0))</f>
        <v>30</v>
      </c>
      <c r="D78" s="28">
        <f>INDEX('Industry Stats'!$F$2:$F$46,MATCH(LARGE('Industry Stats'!$J$2:$J$46,1),'Industry Stats'!$J$2:$J$46,0))</f>
        <v>1190.6333333333334</v>
      </c>
      <c r="E78" s="26" t="str">
        <f>INDEX('Industry Stats'!$I$2:$I$46,MATCH(LARGE('Industry Stats'!$J$2:$J$46,1),'Industry Stats'!$J$2:$J$46,0))</f>
        <v>Large sample</v>
      </c>
    </row>
    <row r="79" spans="1:6" ht="15" customHeight="1" x14ac:dyDescent="0.35">
      <c r="A79" s="25">
        <v>2</v>
      </c>
      <c r="B79" s="26" t="str">
        <f>INDEX('Industry Stats'!$A$2:$A$46,MATCH(LARGE('Industry Stats'!$J$2:$J$46,2),'Industry Stats'!$J$2:$J$46,0))</f>
        <v>Tobacco</v>
      </c>
      <c r="C79" s="26">
        <f>INDEX('Industry Stats'!$B$2:$B$46,MATCH(LARGE('Industry Stats'!$J$2:$J$46,2),'Industry Stats'!$J$2:$J$46,0))</f>
        <v>2</v>
      </c>
      <c r="D79" s="28">
        <f>INDEX('Industry Stats'!$F$2:$F$46,MATCH(LARGE('Industry Stats'!$J$2:$J$46,2),'Industry Stats'!$J$2:$J$46,0))</f>
        <v>1165</v>
      </c>
      <c r="E79" s="26" t="str">
        <f>INDEX('Industry Stats'!$I$2:$I$46,MATCH(LARGE('Industry Stats'!$J$2:$J$46,2),'Industry Stats'!$J$2:$J$46,0))</f>
        <v>Small sample</v>
      </c>
    </row>
    <row r="80" spans="1:6" ht="15" customHeight="1" x14ac:dyDescent="0.35">
      <c r="A80" s="25">
        <v>3</v>
      </c>
      <c r="B80" s="26" t="str">
        <f>INDEX('Industry Stats'!$A$2:$A$46,MATCH(LARGE('Industry Stats'!$J$2:$J$46,3),'Industry Stats'!$J$2:$J$46,0))</f>
        <v>Industrial Conglomerates</v>
      </c>
      <c r="C80" s="26">
        <f>INDEX('Industry Stats'!$B$2:$B$46,MATCH(LARGE('Industry Stats'!$J$2:$J$46,3),'Industry Stats'!$J$2:$J$46,0))</f>
        <v>3</v>
      </c>
      <c r="D80" s="28">
        <f>INDEX('Industry Stats'!$F$2:$F$46,MATCH(LARGE('Industry Stats'!$J$2:$J$46,3),'Industry Stats'!$J$2:$J$46,0))</f>
        <v>1157</v>
      </c>
      <c r="E80" s="26" t="str">
        <f>INDEX('Industry Stats'!$I$2:$I$46,MATCH(LARGE('Industry Stats'!$J$2:$J$46,3),'Industry Stats'!$J$2:$J$46,0))</f>
        <v>Small sample</v>
      </c>
    </row>
    <row r="81" spans="1:5" ht="15" customHeight="1" x14ac:dyDescent="0.35">
      <c r="A81" s="25">
        <v>4</v>
      </c>
      <c r="B81" s="26" t="str">
        <f>INDEX('Industry Stats'!$A$2:$A$46,MATCH(LARGE('Industry Stats'!$J$2:$J$46,4),'Industry Stats'!$J$2:$J$46,0))</f>
        <v>Packaging</v>
      </c>
      <c r="C81" s="26">
        <f>INDEX('Industry Stats'!$B$2:$B$46,MATCH(LARGE('Industry Stats'!$J$2:$J$46,4),'Industry Stats'!$J$2:$J$46,0))</f>
        <v>4</v>
      </c>
      <c r="D81" s="28">
        <f>INDEX('Industry Stats'!$F$2:$F$46,MATCH(LARGE('Industry Stats'!$J$2:$J$46,4),'Industry Stats'!$J$2:$J$46,0))</f>
        <v>1156</v>
      </c>
      <c r="E81" s="26" t="str">
        <f>INDEX('Industry Stats'!$I$2:$I$46,MATCH(LARGE('Industry Stats'!$J$2:$J$46,4),'Industry Stats'!$J$2:$J$46,0))</f>
        <v>Small sample</v>
      </c>
    </row>
    <row r="82" spans="1:5" ht="15" customHeight="1" x14ac:dyDescent="0.35">
      <c r="A82" s="25">
        <v>5</v>
      </c>
      <c r="B82" s="26" t="str">
        <f>INDEX('Industry Stats'!$A$2:$A$46,MATCH(LARGE('Industry Stats'!$J$2:$J$46,5),'Industry Stats'!$J$2:$J$46,0))</f>
        <v>Food Products</v>
      </c>
      <c r="C82" s="26">
        <f>INDEX('Industry Stats'!$B$2:$B$46,MATCH(LARGE('Industry Stats'!$J$2:$J$46,5),'Industry Stats'!$J$2:$J$46,0))</f>
        <v>14</v>
      </c>
      <c r="D82" s="28">
        <f>INDEX('Industry Stats'!$F$2:$F$46,MATCH(LARGE('Industry Stats'!$J$2:$J$46,5),'Industry Stats'!$J$2:$J$46,0))</f>
        <v>1131.0714285714287</v>
      </c>
      <c r="E82" s="26" t="str">
        <f>INDEX('Industry Stats'!$I$2:$I$46,MATCH(LARGE('Industry Stats'!$J$2:$J$46,5),'Industry Stats'!$J$2:$J$46,0))</f>
        <v>Medium sample</v>
      </c>
    </row>
    <row r="83" spans="1:5" ht="15" customHeight="1" x14ac:dyDescent="0.35">
      <c r="A83" s="25">
        <v>6</v>
      </c>
      <c r="B83" s="26" t="str">
        <f>INDEX('Industry Stats'!$A$2:$A$46,MATCH(LARGE('Industry Stats'!$J$2:$J$46,6),'Industry Stats'!$J$2:$J$46,0))</f>
        <v>Energy</v>
      </c>
      <c r="C83" s="26">
        <f>INDEX('Industry Stats'!$B$2:$B$46,MATCH(LARGE('Industry Stats'!$J$2:$J$46,6),'Industry Stats'!$J$2:$J$46,0))</f>
        <v>21</v>
      </c>
      <c r="D83" s="28">
        <f>INDEX('Industry Stats'!$F$2:$F$46,MATCH(LARGE('Industry Stats'!$J$2:$J$46,6),'Industry Stats'!$J$2:$J$46,0))</f>
        <v>1117.7619047619048</v>
      </c>
      <c r="E83" s="26" t="str">
        <f>INDEX('Industry Stats'!$I$2:$I$46,MATCH(LARGE('Industry Stats'!$J$2:$J$46,6),'Industry Stats'!$J$2:$J$46,0))</f>
        <v>Large sample</v>
      </c>
    </row>
    <row r="84" spans="1:5" ht="15" customHeight="1" x14ac:dyDescent="0.35">
      <c r="A84" s="25">
        <v>7</v>
      </c>
      <c r="B84" s="26" t="str">
        <f>INDEX('Industry Stats'!$A$2:$A$46,MATCH(LARGE('Industry Stats'!$J$2:$J$46,7),'Industry Stats'!$J$2:$J$46,0))</f>
        <v>Distributors</v>
      </c>
      <c r="C84" s="26">
        <f>INDEX('Industry Stats'!$B$2:$B$46,MATCH(LARGE('Industry Stats'!$J$2:$J$46,7),'Industry Stats'!$J$2:$J$46,0))</f>
        <v>3</v>
      </c>
      <c r="D84" s="28">
        <f>INDEX('Industry Stats'!$F$2:$F$46,MATCH(LARGE('Industry Stats'!$J$2:$J$46,7),'Industry Stats'!$J$2:$J$46,0))</f>
        <v>1109.6666666666667</v>
      </c>
      <c r="E84" s="26" t="str">
        <f>INDEX('Industry Stats'!$I$2:$I$46,MATCH(LARGE('Industry Stats'!$J$2:$J$46,7),'Industry Stats'!$J$2:$J$46,0))</f>
        <v>Small sample</v>
      </c>
    </row>
    <row r="85" spans="1:5" ht="15" customHeight="1" x14ac:dyDescent="0.35">
      <c r="A85" s="25">
        <v>8</v>
      </c>
      <c r="B85" s="26" t="str">
        <f>INDEX('Industry Stats'!$A$2:$A$46,MATCH(LARGE('Industry Stats'!$J$2:$J$46,8),'Industry Stats'!$J$2:$J$46,0))</f>
        <v>Construction</v>
      </c>
      <c r="C85" s="26">
        <f>INDEX('Industry Stats'!$B$2:$B$46,MATCH(LARGE('Industry Stats'!$J$2:$J$46,8),'Industry Stats'!$J$2:$J$46,0))</f>
        <v>6</v>
      </c>
      <c r="D85" s="28">
        <f>INDEX('Industry Stats'!$F$2:$F$46,MATCH(LARGE('Industry Stats'!$J$2:$J$46,8),'Industry Stats'!$J$2:$J$46,0))</f>
        <v>1082.6666666666667</v>
      </c>
      <c r="E85" s="26" t="str">
        <f>INDEX('Industry Stats'!$I$2:$I$46,MATCH(LARGE('Industry Stats'!$J$2:$J$46,8),'Industry Stats'!$J$2:$J$46,0))</f>
        <v>Small sample</v>
      </c>
    </row>
    <row r="86" spans="1:5" ht="15" customHeight="1" x14ac:dyDescent="0.35">
      <c r="A86" s="25">
        <v>9</v>
      </c>
      <c r="B86" s="26" t="str">
        <f>INDEX('Industry Stats'!$A$2:$A$46,MATCH(LARGE('Industry Stats'!$J$2:$J$46,9),'Industry Stats'!$J$2:$J$46,0))</f>
        <v>Road &amp; Rail</v>
      </c>
      <c r="C86" s="26">
        <f>INDEX('Industry Stats'!$B$2:$B$46,MATCH(LARGE('Industry Stats'!$J$2:$J$46,9),'Industry Stats'!$J$2:$J$46,0))</f>
        <v>6</v>
      </c>
      <c r="D86" s="28">
        <f>INDEX('Industry Stats'!$F$2:$F$46,MATCH(LARGE('Industry Stats'!$J$2:$J$46,9),'Industry Stats'!$J$2:$J$46,0))</f>
        <v>1076.3333333333333</v>
      </c>
      <c r="E86" s="26" t="str">
        <f>INDEX('Industry Stats'!$I$2:$I$46,MATCH(LARGE('Industry Stats'!$J$2:$J$46,9),'Industry Stats'!$J$2:$J$46,0))</f>
        <v>Small sample</v>
      </c>
    </row>
    <row r="87" spans="1:5" ht="15" customHeight="1" x14ac:dyDescent="0.35">
      <c r="A87" s="25">
        <v>10</v>
      </c>
      <c r="B87" s="26" t="str">
        <f>INDEX('Industry Stats'!$A$2:$A$46,MATCH(LARGE('Industry Stats'!$J$2:$J$46,10),'Industry Stats'!$J$2:$J$46,0))</f>
        <v>Building</v>
      </c>
      <c r="C87" s="26">
        <f>INDEX('Industry Stats'!$B$2:$B$46,MATCH(LARGE('Industry Stats'!$J$2:$J$46,10),'Industry Stats'!$J$2:$J$46,0))</f>
        <v>10</v>
      </c>
      <c r="D87" s="28">
        <f>INDEX('Industry Stats'!$F$2:$F$46,MATCH(LARGE('Industry Stats'!$J$2:$J$46,10),'Industry Stats'!$J$2:$J$46,0))</f>
        <v>1074.2</v>
      </c>
      <c r="E87" s="26" t="str">
        <f>INDEX('Industry Stats'!$I$2:$I$46,MATCH(LARGE('Industry Stats'!$J$2:$J$46,10),'Industry Stats'!$J$2:$J$46,0))</f>
        <v>Medium sample</v>
      </c>
    </row>
    <row r="88" spans="1:5" ht="15" customHeight="1" x14ac:dyDescent="0.35">
      <c r="A88" s="25">
        <v>11</v>
      </c>
      <c r="B88" s="26" t="str">
        <f>INDEX('Industry Stats'!$A$2:$A$46,MATCH(LARGE('Industry Stats'!$J$2:$J$46,11),'Industry Stats'!$J$2:$J$46,0))</f>
        <v>Beverages</v>
      </c>
      <c r="C88" s="26">
        <f>INDEX('Industry Stats'!$B$2:$B$46,MATCH(LARGE('Industry Stats'!$J$2:$J$46,11),'Industry Stats'!$J$2:$J$46,0))</f>
        <v>4</v>
      </c>
      <c r="D88" s="28">
        <f>INDEX('Industry Stats'!$F$2:$F$46,MATCH(LARGE('Industry Stats'!$J$2:$J$46,11),'Industry Stats'!$J$2:$J$46,0))</f>
        <v>1061</v>
      </c>
      <c r="E88" s="26" t="str">
        <f>INDEX('Industry Stats'!$I$2:$I$46,MATCH(LARGE('Industry Stats'!$J$2:$J$46,11),'Industry Stats'!$J$2:$J$46,0))</f>
        <v>Small sample</v>
      </c>
    </row>
    <row r="89" spans="1:5" ht="15" customHeight="1" x14ac:dyDescent="0.35">
      <c r="A89" s="25">
        <v>12</v>
      </c>
      <c r="B89" s="26" t="str">
        <f>INDEX('Industry Stats'!$A$2:$A$46,MATCH(LARGE('Industry Stats'!$J$2:$J$46,12),'Industry Stats'!$J$2:$J$46,0))</f>
        <v>Chemicals</v>
      </c>
      <c r="C89" s="26">
        <f>INDEX('Industry Stats'!$B$2:$B$46,MATCH(LARGE('Industry Stats'!$J$2:$J$46,12),'Industry Stats'!$J$2:$J$46,0))</f>
        <v>19</v>
      </c>
      <c r="D89" s="28">
        <f>INDEX('Industry Stats'!$F$2:$F$46,MATCH(LARGE('Industry Stats'!$J$2:$J$46,12),'Industry Stats'!$J$2:$J$46,0))</f>
        <v>1058.8947368421052</v>
      </c>
      <c r="E89" s="26" t="str">
        <f>INDEX('Industry Stats'!$I$2:$I$46,MATCH(LARGE('Industry Stats'!$J$2:$J$46,12),'Industry Stats'!$J$2:$J$46,0))</f>
        <v>Medium sample</v>
      </c>
    </row>
    <row r="90" spans="1:5" ht="15" customHeight="1" x14ac:dyDescent="0.35">
      <c r="A90" s="25">
        <v>13</v>
      </c>
      <c r="B90" s="26" t="str">
        <f>INDEX('Industry Stats'!$A$2:$A$46,MATCH(LARGE('Industry Stats'!$J$2:$J$46,13),'Industry Stats'!$J$2:$J$46,0))</f>
        <v>Aerospace &amp; Defense</v>
      </c>
      <c r="C90" s="26">
        <f>INDEX('Industry Stats'!$B$2:$B$46,MATCH(LARGE('Industry Stats'!$J$2:$J$46,13),'Industry Stats'!$J$2:$J$46,0))</f>
        <v>11</v>
      </c>
      <c r="D90" s="28">
        <f>INDEX('Industry Stats'!$F$2:$F$46,MATCH(LARGE('Industry Stats'!$J$2:$J$46,13),'Industry Stats'!$J$2:$J$46,0))</f>
        <v>1048.1818181818182</v>
      </c>
      <c r="E90" s="26" t="str">
        <f>INDEX('Industry Stats'!$I$2:$I$46,MATCH(LARGE('Industry Stats'!$J$2:$J$46,13),'Industry Stats'!$J$2:$J$46,0))</f>
        <v>Medium sample</v>
      </c>
    </row>
    <row r="91" spans="1:5" ht="15" customHeight="1" x14ac:dyDescent="0.35">
      <c r="A91" s="25">
        <v>14</v>
      </c>
      <c r="B91" s="26" t="str">
        <f>INDEX('Industry Stats'!$A$2:$A$46,MATCH(LARGE('Industry Stats'!$J$2:$J$46,14),'Industry Stats'!$J$2:$J$46,0))</f>
        <v>Machinery</v>
      </c>
      <c r="C91" s="26">
        <f>INDEX('Industry Stats'!$B$2:$B$46,MATCH(LARGE('Industry Stats'!$J$2:$J$46,14),'Industry Stats'!$J$2:$J$46,0))</f>
        <v>21</v>
      </c>
      <c r="D91" s="28">
        <f>INDEX('Industry Stats'!$F$2:$F$46,MATCH(LARGE('Industry Stats'!$J$2:$J$46,14),'Industry Stats'!$J$2:$J$46,0))</f>
        <v>1048.047619047619</v>
      </c>
      <c r="E91" s="26" t="str">
        <f>INDEX('Industry Stats'!$I$2:$I$46,MATCH(LARGE('Industry Stats'!$J$2:$J$46,14),'Industry Stats'!$J$2:$J$46,0))</f>
        <v>Large sample</v>
      </c>
    </row>
    <row r="92" spans="1:5" ht="15" customHeight="1" x14ac:dyDescent="0.35">
      <c r="A92" s="25">
        <v>15</v>
      </c>
      <c r="B92" s="26" t="str">
        <f>INDEX('Industry Stats'!$A$2:$A$46,MATCH(LARGE('Industry Stats'!$J$2:$J$46,15),'Industry Stats'!$J$2:$J$46,0))</f>
        <v>Professional Services</v>
      </c>
      <c r="C92" s="26">
        <f>INDEX('Industry Stats'!$B$2:$B$46,MATCH(LARGE('Industry Stats'!$J$2:$J$46,15),'Industry Stats'!$J$2:$J$46,0))</f>
        <v>7</v>
      </c>
      <c r="D92" s="28">
        <f>INDEX('Industry Stats'!$F$2:$F$46,MATCH(LARGE('Industry Stats'!$J$2:$J$46,15),'Industry Stats'!$J$2:$J$46,0))</f>
        <v>1047.8571428571429</v>
      </c>
      <c r="E92" s="26" t="str">
        <f>INDEX('Industry Stats'!$I$2:$I$46,MATCH(LARGE('Industry Stats'!$J$2:$J$46,15),'Industry Stats'!$J$2:$J$46,0))</f>
        <v>Small sample</v>
      </c>
    </row>
    <row r="93" spans="1:5" ht="15" customHeight="1" x14ac:dyDescent="0.35">
      <c r="A93" s="25">
        <v>16</v>
      </c>
      <c r="B93" s="26" t="str">
        <f>INDEX('Industry Stats'!$A$2:$A$46,MATCH(LARGE('Industry Stats'!$J$2:$J$46,16),'Industry Stats'!$J$2:$J$46,0))</f>
        <v>Technology</v>
      </c>
      <c r="C93" s="26">
        <f>INDEX('Industry Stats'!$B$2:$B$46,MATCH(LARGE('Industry Stats'!$J$2:$J$46,16),'Industry Stats'!$J$2:$J$46,0))</f>
        <v>63</v>
      </c>
      <c r="D93" s="28">
        <f>INDEX('Industry Stats'!$F$2:$F$46,MATCH(LARGE('Industry Stats'!$J$2:$J$46,16),'Industry Stats'!$J$2:$J$46,0))</f>
        <v>1031.3174603174602</v>
      </c>
      <c r="E93" s="26" t="str">
        <f>INDEX('Industry Stats'!$I$2:$I$46,MATCH(LARGE('Industry Stats'!$J$2:$J$46,16),'Industry Stats'!$J$2:$J$46,0))</f>
        <v>Large sample</v>
      </c>
    </row>
    <row r="94" spans="1:5" ht="15" customHeight="1" x14ac:dyDescent="0.35">
      <c r="A94" s="25">
        <v>17</v>
      </c>
      <c r="B94" s="26" t="str">
        <f>INDEX('Industry Stats'!$A$2:$A$46,MATCH(LARGE('Industry Stats'!$J$2:$J$46,17),'Industry Stats'!$J$2:$J$46,0))</f>
        <v>Semiconductors</v>
      </c>
      <c r="C94" s="26">
        <f>INDEX('Industry Stats'!$B$2:$B$46,MATCH(LARGE('Industry Stats'!$J$2:$J$46,17),'Industry Stats'!$J$2:$J$46,0))</f>
        <v>24</v>
      </c>
      <c r="D94" s="28">
        <f>INDEX('Industry Stats'!$F$2:$F$46,MATCH(LARGE('Industry Stats'!$J$2:$J$46,17),'Industry Stats'!$J$2:$J$46,0))</f>
        <v>1030.5833333333333</v>
      </c>
      <c r="E94" s="26" t="str">
        <f>INDEX('Industry Stats'!$I$2:$I$46,MATCH(LARGE('Industry Stats'!$J$2:$J$46,17),'Industry Stats'!$J$2:$J$46,0))</f>
        <v>Large sample</v>
      </c>
    </row>
    <row r="95" spans="1:5" ht="15" customHeight="1" x14ac:dyDescent="0.35">
      <c r="A95" s="25">
        <v>18</v>
      </c>
      <c r="B95" s="26" t="str">
        <f>INDEX('Industry Stats'!$A$2:$A$46,MATCH(LARGE('Industry Stats'!$J$2:$J$46,18),'Industry Stats'!$J$2:$J$46,0))</f>
        <v>Logistics &amp; Transportation</v>
      </c>
      <c r="C95" s="26">
        <f>INDEX('Industry Stats'!$B$2:$B$46,MATCH(LARGE('Industry Stats'!$J$2:$J$46,18),'Industry Stats'!$J$2:$J$46,0))</f>
        <v>6</v>
      </c>
      <c r="D95" s="28">
        <f>INDEX('Industry Stats'!$F$2:$F$46,MATCH(LARGE('Industry Stats'!$J$2:$J$46,18),'Industry Stats'!$J$2:$J$46,0))</f>
        <v>1025.1666666666667</v>
      </c>
      <c r="E95" s="26" t="str">
        <f>INDEX('Industry Stats'!$I$2:$I$46,MATCH(LARGE('Industry Stats'!$J$2:$J$46,18),'Industry Stats'!$J$2:$J$46,0))</f>
        <v>Small sample</v>
      </c>
    </row>
    <row r="96" spans="1:5" ht="15" customHeight="1" x14ac:dyDescent="0.35">
      <c r="A96" s="25">
        <v>19</v>
      </c>
      <c r="B96" s="26" t="str">
        <f>INDEX('Industry Stats'!$A$2:$A$46,MATCH(LARGE('Industry Stats'!$J$2:$J$46,19),'Industry Stats'!$J$2:$J$46,0))</f>
        <v>Insurance</v>
      </c>
      <c r="C96" s="26">
        <f>INDEX('Industry Stats'!$B$2:$B$46,MATCH(LARGE('Industry Stats'!$J$2:$J$46,19),'Industry Stats'!$J$2:$J$46,0))</f>
        <v>27</v>
      </c>
      <c r="D96" s="28">
        <f>INDEX('Industry Stats'!$F$2:$F$46,MATCH(LARGE('Industry Stats'!$J$2:$J$46,19),'Industry Stats'!$J$2:$J$46,0))</f>
        <v>1012.3703703703703</v>
      </c>
      <c r="E96" s="26" t="str">
        <f>INDEX('Industry Stats'!$I$2:$I$46,MATCH(LARGE('Industry Stats'!$J$2:$J$46,19),'Industry Stats'!$J$2:$J$46,0))</f>
        <v>Large sample</v>
      </c>
    </row>
    <row r="97" spans="1:5" ht="15" customHeight="1" x14ac:dyDescent="0.35">
      <c r="A97" s="25">
        <v>20</v>
      </c>
      <c r="B97" s="26" t="str">
        <f>INDEX('Industry Stats'!$A$2:$A$46,MATCH(LARGE('Industry Stats'!$J$2:$J$46,20),'Industry Stats'!$J$2:$J$46,0))</f>
        <v>Real Estate</v>
      </c>
      <c r="C97" s="26">
        <f>INDEX('Industry Stats'!$B$2:$B$46,MATCH(LARGE('Industry Stats'!$J$2:$J$46,20),'Industry Stats'!$J$2:$J$46,0))</f>
        <v>36</v>
      </c>
      <c r="D97" s="28">
        <f>INDEX('Industry Stats'!$F$2:$F$46,MATCH(LARGE('Industry Stats'!$J$2:$J$46,20),'Industry Stats'!$J$2:$J$46,0))</f>
        <v>995.94444444444446</v>
      </c>
      <c r="E97" s="26" t="str">
        <f>INDEX('Industry Stats'!$I$2:$I$46,MATCH(LARGE('Industry Stats'!$J$2:$J$46,20),'Industry Stats'!$J$2:$J$46,0))</f>
        <v>Large sample</v>
      </c>
    </row>
    <row r="98" spans="1:5" ht="15" customHeight="1" x14ac:dyDescent="0.35">
      <c r="A98" s="25">
        <v>21</v>
      </c>
      <c r="B98" s="26" t="str">
        <f>INDEX('Industry Stats'!$A$2:$A$46,MATCH(LARGE('Industry Stats'!$J$2:$J$46,21),'Industry Stats'!$J$2:$J$46,0))</f>
        <v>Commercial Services &amp; Supplies</v>
      </c>
      <c r="C98" s="26">
        <f>INDEX('Industry Stats'!$B$2:$B$46,MATCH(LARGE('Industry Stats'!$J$2:$J$46,21),'Industry Stats'!$J$2:$J$46,0))</f>
        <v>7</v>
      </c>
      <c r="D98" s="28">
        <f>INDEX('Industry Stats'!$F$2:$F$46,MATCH(LARGE('Industry Stats'!$J$2:$J$46,21),'Industry Stats'!$J$2:$J$46,0))</f>
        <v>995.85714285714289</v>
      </c>
      <c r="E98" s="26" t="str">
        <f>INDEX('Industry Stats'!$I$2:$I$46,MATCH(LARGE('Industry Stats'!$J$2:$J$46,21),'Industry Stats'!$J$2:$J$46,0))</f>
        <v>Small sample</v>
      </c>
    </row>
    <row r="99" spans="1:5" ht="15" customHeight="1" x14ac:dyDescent="0.35">
      <c r="A99" s="25">
        <v>22</v>
      </c>
      <c r="B99" s="26" t="str">
        <f>INDEX('Industry Stats'!$A$2:$A$46,MATCH(LARGE('Industry Stats'!$J$2:$J$46,22),'Industry Stats'!$J$2:$J$46,0))</f>
        <v>Life Sciences Tools &amp; Services</v>
      </c>
      <c r="C99" s="26">
        <f>INDEX('Industry Stats'!$B$2:$B$46,MATCH(LARGE('Industry Stats'!$J$2:$J$46,22),'Industry Stats'!$J$2:$J$46,0))</f>
        <v>16</v>
      </c>
      <c r="D99" s="28">
        <f>INDEX('Industry Stats'!$F$2:$F$46,MATCH(LARGE('Industry Stats'!$J$2:$J$46,22),'Industry Stats'!$J$2:$J$46,0))</f>
        <v>993.125</v>
      </c>
      <c r="E99" s="26" t="str">
        <f>INDEX('Industry Stats'!$I$2:$I$46,MATCH(LARGE('Industry Stats'!$J$2:$J$46,22),'Industry Stats'!$J$2:$J$46,0))</f>
        <v>Medium sample</v>
      </c>
    </row>
    <row r="100" spans="1:5" ht="15" customHeight="1" x14ac:dyDescent="0.35">
      <c r="A100" s="25">
        <v>23</v>
      </c>
      <c r="B100" s="26" t="str">
        <f>INDEX('Industry Stats'!$A$2:$A$46,MATCH(LARGE('Industry Stats'!$J$2:$J$46,23),'Industry Stats'!$J$2:$J$46,0))</f>
        <v>Metals &amp; Mining</v>
      </c>
      <c r="C100" s="26">
        <f>INDEX('Industry Stats'!$B$2:$B$46,MATCH(LARGE('Industry Stats'!$J$2:$J$46,23),'Industry Stats'!$J$2:$J$46,0))</f>
        <v>10</v>
      </c>
      <c r="D100" s="28">
        <f>INDEX('Industry Stats'!$F$2:$F$46,MATCH(LARGE('Industry Stats'!$J$2:$J$46,23),'Industry Stats'!$J$2:$J$46,0))</f>
        <v>987</v>
      </c>
      <c r="E100" s="26" t="str">
        <f>INDEX('Industry Stats'!$I$2:$I$46,MATCH(LARGE('Industry Stats'!$J$2:$J$46,23),'Industry Stats'!$J$2:$J$46,0))</f>
        <v>Medium sample</v>
      </c>
    </row>
    <row r="101" spans="1:5" ht="15" customHeight="1" x14ac:dyDescent="0.35">
      <c r="A101" s="25">
        <v>24</v>
      </c>
      <c r="B101" s="26" t="str">
        <f>INDEX('Industry Stats'!$A$2:$A$46,MATCH(LARGE('Industry Stats'!$J$2:$J$46,24),'Industry Stats'!$J$2:$J$46,0))</f>
        <v>Consumer products</v>
      </c>
      <c r="C101" s="26">
        <f>INDEX('Industry Stats'!$B$2:$B$46,MATCH(LARGE('Industry Stats'!$J$2:$J$46,24),'Industry Stats'!$J$2:$J$46,0))</f>
        <v>20</v>
      </c>
      <c r="D101" s="28">
        <f>INDEX('Industry Stats'!$F$2:$F$46,MATCH(LARGE('Industry Stats'!$J$2:$J$46,24),'Industry Stats'!$J$2:$J$46,0))</f>
        <v>945.55</v>
      </c>
      <c r="E101" s="26" t="str">
        <f>INDEX('Industry Stats'!$I$2:$I$46,MATCH(LARGE('Industry Stats'!$J$2:$J$46,24),'Industry Stats'!$J$2:$J$46,0))</f>
        <v>Large sample</v>
      </c>
    </row>
    <row r="102" spans="1:5" ht="15" customHeight="1" x14ac:dyDescent="0.35">
      <c r="A102" s="25">
        <v>25</v>
      </c>
      <c r="B102" s="26" t="str">
        <f>INDEX('Industry Stats'!$A$2:$A$46,MATCH(LARGE('Industry Stats'!$J$2:$J$46,25),'Industry Stats'!$J$2:$J$46,0))</f>
        <v>Textiles Apparel &amp; Luxury Goods</v>
      </c>
      <c r="C102" s="26">
        <f>INDEX('Industry Stats'!$B$2:$B$46,MATCH(LARGE('Industry Stats'!$J$2:$J$46,25),'Industry Stats'!$J$2:$J$46,0))</f>
        <v>9</v>
      </c>
      <c r="D102" s="28">
        <f>INDEX('Industry Stats'!$F$2:$F$46,MATCH(LARGE('Industry Stats'!$J$2:$J$46,25),'Industry Stats'!$J$2:$J$46,0))</f>
        <v>944.44444444444446</v>
      </c>
      <c r="E102" s="26" t="str">
        <f>INDEX('Industry Stats'!$I$2:$I$46,MATCH(LARGE('Industry Stats'!$J$2:$J$46,25),'Industry Stats'!$J$2:$J$46,0))</f>
        <v>Small sample</v>
      </c>
    </row>
    <row r="103" spans="1:5" ht="15" customHeight="1" x14ac:dyDescent="0.35">
      <c r="A103" s="25">
        <v>26</v>
      </c>
      <c r="B103" s="26" t="str">
        <f>INDEX('Industry Stats'!$A$2:$A$46,MATCH(LARGE('Industry Stats'!$J$2:$J$46,26),'Industry Stats'!$J$2:$J$46,0))</f>
        <v>Health Care</v>
      </c>
      <c r="C103" s="26">
        <f>INDEX('Industry Stats'!$B$2:$B$46,MATCH(LARGE('Industry Stats'!$J$2:$J$46,26),'Industry Stats'!$J$2:$J$46,0))</f>
        <v>51</v>
      </c>
      <c r="D103" s="28">
        <f>INDEX('Industry Stats'!$F$2:$F$46,MATCH(LARGE('Industry Stats'!$J$2:$J$46,26),'Industry Stats'!$J$2:$J$46,0))</f>
        <v>938.76470588235293</v>
      </c>
      <c r="E103" s="26" t="str">
        <f>INDEX('Industry Stats'!$I$2:$I$46,MATCH(LARGE('Industry Stats'!$J$2:$J$46,26),'Industry Stats'!$J$2:$J$46,0))</f>
        <v>Large sample</v>
      </c>
    </row>
    <row r="104" spans="1:5" ht="15" customHeight="1" x14ac:dyDescent="0.35">
      <c r="A104" s="25">
        <v>27</v>
      </c>
      <c r="B104" s="26" t="str">
        <f>INDEX('Industry Stats'!$A$2:$A$46,MATCH(LARGE('Industry Stats'!$J$2:$J$46,27),'Industry Stats'!$J$2:$J$46,0))</f>
        <v>Communications</v>
      </c>
      <c r="C104" s="26">
        <f>INDEX('Industry Stats'!$B$2:$B$46,MATCH(LARGE('Industry Stats'!$J$2:$J$46,27),'Industry Stats'!$J$2:$J$46,0))</f>
        <v>9</v>
      </c>
      <c r="D104" s="28">
        <f>INDEX('Industry Stats'!$F$2:$F$46,MATCH(LARGE('Industry Stats'!$J$2:$J$46,27),'Industry Stats'!$J$2:$J$46,0))</f>
        <v>938.22222222222217</v>
      </c>
      <c r="E104" s="26" t="str">
        <f>INDEX('Industry Stats'!$I$2:$I$46,MATCH(LARGE('Industry Stats'!$J$2:$J$46,27),'Industry Stats'!$J$2:$J$46,0))</f>
        <v>Small sample</v>
      </c>
    </row>
    <row r="105" spans="1:5" ht="15" customHeight="1" x14ac:dyDescent="0.35">
      <c r="A105" s="25">
        <v>28</v>
      </c>
      <c r="B105" s="26" t="str">
        <f>INDEX('Industry Stats'!$A$2:$A$46,MATCH(LARGE('Industry Stats'!$J$2:$J$46,28),'Industry Stats'!$J$2:$J$46,0))</f>
        <v>Media</v>
      </c>
      <c r="C105" s="26">
        <f>INDEX('Industry Stats'!$B$2:$B$46,MATCH(LARGE('Industry Stats'!$J$2:$J$46,28),'Industry Stats'!$J$2:$J$46,0))</f>
        <v>23</v>
      </c>
      <c r="D105" s="28">
        <f>INDEX('Industry Stats'!$F$2:$F$46,MATCH(LARGE('Industry Stats'!$J$2:$J$46,28),'Industry Stats'!$J$2:$J$46,0))</f>
        <v>935.26086956521738</v>
      </c>
      <c r="E105" s="26" t="str">
        <f>INDEX('Industry Stats'!$I$2:$I$46,MATCH(LARGE('Industry Stats'!$J$2:$J$46,28),'Industry Stats'!$J$2:$J$46,0))</f>
        <v>Large sample</v>
      </c>
    </row>
    <row r="106" spans="1:5" ht="15" customHeight="1" x14ac:dyDescent="0.35">
      <c r="A106" s="25">
        <v>29</v>
      </c>
      <c r="B106" s="26" t="str">
        <f>INDEX('Industry Stats'!$A$2:$A$46,MATCH(LARGE('Industry Stats'!$J$2:$J$46,29),'Industry Stats'!$J$2:$J$46,0))</f>
        <v>Electrical Equipment</v>
      </c>
      <c r="C106" s="26">
        <f>INDEX('Industry Stats'!$B$2:$B$46,MATCH(LARGE('Industry Stats'!$J$2:$J$46,29),'Industry Stats'!$J$2:$J$46,0))</f>
        <v>27</v>
      </c>
      <c r="D106" s="28">
        <f>INDEX('Industry Stats'!$F$2:$F$46,MATCH(LARGE('Industry Stats'!$J$2:$J$46,29),'Industry Stats'!$J$2:$J$46,0))</f>
        <v>933</v>
      </c>
      <c r="E106" s="26" t="str">
        <f>INDEX('Industry Stats'!$I$2:$I$46,MATCH(LARGE('Industry Stats'!$J$2:$J$46,29),'Industry Stats'!$J$2:$J$46,0))</f>
        <v>Large sample</v>
      </c>
    </row>
    <row r="107" spans="1:5" ht="15" customHeight="1" x14ac:dyDescent="0.35">
      <c r="A107" s="25">
        <v>30</v>
      </c>
      <c r="B107" s="26" t="str">
        <f>INDEX('Industry Stats'!$A$2:$A$46,MATCH(LARGE('Industry Stats'!$J$2:$J$46,30),'Industry Stats'!$J$2:$J$46,0))</f>
        <v>Telecommunication</v>
      </c>
      <c r="C107" s="26">
        <f>INDEX('Industry Stats'!$B$2:$B$46,MATCH(LARGE('Industry Stats'!$J$2:$J$46,30),'Industry Stats'!$J$2:$J$46,0))</f>
        <v>3</v>
      </c>
      <c r="D107" s="28">
        <f>INDEX('Industry Stats'!$F$2:$F$46,MATCH(LARGE('Industry Stats'!$J$2:$J$46,30),'Industry Stats'!$J$2:$J$46,0))</f>
        <v>928.33333333333337</v>
      </c>
      <c r="E107" s="26" t="str">
        <f>INDEX('Industry Stats'!$I$2:$I$46,MATCH(LARGE('Industry Stats'!$J$2:$J$46,30),'Industry Stats'!$J$2:$J$46,0))</f>
        <v>Small sample</v>
      </c>
    </row>
    <row r="108" spans="1:5" ht="15" customHeight="1" x14ac:dyDescent="0.35">
      <c r="A108" s="25">
        <v>31</v>
      </c>
      <c r="B108" s="26" t="str">
        <f>INDEX('Industry Stats'!$A$2:$A$46,MATCH(LARGE('Industry Stats'!$J$2:$J$46,31),'Industry Stats'!$J$2:$J$46,0))</f>
        <v>Hotels Restaurants &amp; Leisure</v>
      </c>
      <c r="C108" s="26">
        <f>INDEX('Industry Stats'!$B$2:$B$46,MATCH(LARGE('Industry Stats'!$J$2:$J$46,31),'Industry Stats'!$J$2:$J$46,0))</f>
        <v>22</v>
      </c>
      <c r="D108" s="28">
        <f>INDEX('Industry Stats'!$F$2:$F$46,MATCH(LARGE('Industry Stats'!$J$2:$J$46,31),'Industry Stats'!$J$2:$J$46,0))</f>
        <v>918.86363636363637</v>
      </c>
      <c r="E108" s="26" t="str">
        <f>INDEX('Industry Stats'!$I$2:$I$46,MATCH(LARGE('Industry Stats'!$J$2:$J$46,31),'Industry Stats'!$J$2:$J$46,0))</f>
        <v>Large sample</v>
      </c>
    </row>
    <row r="109" spans="1:5" ht="15" customHeight="1" x14ac:dyDescent="0.35">
      <c r="A109" s="25">
        <v>32</v>
      </c>
      <c r="B109" s="26" t="str">
        <f>INDEX('Industry Stats'!$A$2:$A$46,MATCH(LARGE('Industry Stats'!$J$2:$J$46,32),'Industry Stats'!$J$2:$J$46,0))</f>
        <v>Retail</v>
      </c>
      <c r="C109" s="26">
        <f>INDEX('Industry Stats'!$B$2:$B$46,MATCH(LARGE('Industry Stats'!$J$2:$J$46,32),'Industry Stats'!$J$2:$J$46,0))</f>
        <v>26</v>
      </c>
      <c r="D109" s="28">
        <f>INDEX('Industry Stats'!$F$2:$F$46,MATCH(LARGE('Industry Stats'!$J$2:$J$46,32),'Industry Stats'!$J$2:$J$46,0))</f>
        <v>918.57692307692309</v>
      </c>
      <c r="E109" s="26" t="str">
        <f>INDEX('Industry Stats'!$I$2:$I$46,MATCH(LARGE('Industry Stats'!$J$2:$J$46,32),'Industry Stats'!$J$2:$J$46,0))</f>
        <v>Large sample</v>
      </c>
    </row>
    <row r="110" spans="1:5" ht="15" customHeight="1" x14ac:dyDescent="0.35">
      <c r="A110" s="25">
        <v>33</v>
      </c>
      <c r="B110" s="26" t="str">
        <f>INDEX('Industry Stats'!$A$2:$A$46,MATCH(LARGE('Industry Stats'!$J$2:$J$46,33),'Industry Stats'!$J$2:$J$46,0))</f>
        <v>Financial Services</v>
      </c>
      <c r="C110" s="26">
        <f>INDEX('Industry Stats'!$B$2:$B$46,MATCH(LARGE('Industry Stats'!$J$2:$J$46,33),'Industry Stats'!$J$2:$J$46,0))</f>
        <v>33</v>
      </c>
      <c r="D110" s="28">
        <f>INDEX('Industry Stats'!$F$2:$F$46,MATCH(LARGE('Industry Stats'!$J$2:$J$46,33),'Industry Stats'!$J$2:$J$46,0))</f>
        <v>909.33333333333337</v>
      </c>
      <c r="E110" s="26" t="str">
        <f>INDEX('Industry Stats'!$I$2:$I$46,MATCH(LARGE('Industry Stats'!$J$2:$J$46,33),'Industry Stats'!$J$2:$J$46,0))</f>
        <v>Large sample</v>
      </c>
    </row>
    <row r="111" spans="1:5" ht="15" customHeight="1" x14ac:dyDescent="0.35">
      <c r="A111" s="25">
        <v>34</v>
      </c>
      <c r="B111" s="26" t="str">
        <f>INDEX('Industry Stats'!$A$2:$A$46,MATCH(LARGE('Industry Stats'!$J$2:$J$46,34),'Industry Stats'!$J$2:$J$46,0))</f>
        <v>Pharmaceuticals</v>
      </c>
      <c r="C111" s="26">
        <f>INDEX('Industry Stats'!$B$2:$B$46,MATCH(LARGE('Industry Stats'!$J$2:$J$46,34),'Industry Stats'!$J$2:$J$46,0))</f>
        <v>21</v>
      </c>
      <c r="D111" s="28">
        <f>INDEX('Industry Stats'!$F$2:$F$46,MATCH(LARGE('Industry Stats'!$J$2:$J$46,34),'Industry Stats'!$J$2:$J$46,0))</f>
        <v>903.66666666666663</v>
      </c>
      <c r="E111" s="26" t="str">
        <f>INDEX('Industry Stats'!$I$2:$I$46,MATCH(LARGE('Industry Stats'!$J$2:$J$46,34),'Industry Stats'!$J$2:$J$46,0))</f>
        <v>Large sample</v>
      </c>
    </row>
    <row r="112" spans="1:5" ht="15" customHeight="1" x14ac:dyDescent="0.35">
      <c r="A112" s="25">
        <v>35</v>
      </c>
      <c r="B112" s="26" t="str">
        <f>INDEX('Industry Stats'!$A$2:$A$46,MATCH(LARGE('Industry Stats'!$J$2:$J$46,35),'Industry Stats'!$J$2:$J$46,0))</f>
        <v>Banking</v>
      </c>
      <c r="C112" s="26">
        <f>INDEX('Industry Stats'!$B$2:$B$46,MATCH(LARGE('Industry Stats'!$J$2:$J$46,35),'Industry Stats'!$J$2:$J$46,0))</f>
        <v>29</v>
      </c>
      <c r="D112" s="28">
        <f>INDEX('Industry Stats'!$F$2:$F$46,MATCH(LARGE('Industry Stats'!$J$2:$J$46,35),'Industry Stats'!$J$2:$J$46,0))</f>
        <v>898.31034482758616</v>
      </c>
      <c r="E112" s="26" t="str">
        <f>INDEX('Industry Stats'!$I$2:$I$46,MATCH(LARGE('Industry Stats'!$J$2:$J$46,35),'Industry Stats'!$J$2:$J$46,0))</f>
        <v>Large sample</v>
      </c>
    </row>
    <row r="113" spans="1:6" ht="15" customHeight="1" x14ac:dyDescent="0.35">
      <c r="A113" s="25">
        <v>36</v>
      </c>
      <c r="B113" s="26" t="str">
        <f>INDEX('Industry Stats'!$A$2:$A$46,MATCH(LARGE('Industry Stats'!$J$2:$J$46,36),'Industry Stats'!$J$2:$J$46,0))</f>
        <v>Trading Companies &amp; Distributors</v>
      </c>
      <c r="C113" s="26">
        <f>INDEX('Industry Stats'!$B$2:$B$46,MATCH(LARGE('Industry Stats'!$J$2:$J$46,36),'Industry Stats'!$J$2:$J$46,0))</f>
        <v>5</v>
      </c>
      <c r="D113" s="28">
        <f>INDEX('Industry Stats'!$F$2:$F$46,MATCH(LARGE('Industry Stats'!$J$2:$J$46,36),'Industry Stats'!$J$2:$J$46,0))</f>
        <v>885.2</v>
      </c>
      <c r="E113" s="26" t="str">
        <f>INDEX('Industry Stats'!$I$2:$I$46,MATCH(LARGE('Industry Stats'!$J$2:$J$46,36),'Industry Stats'!$J$2:$J$46,0))</f>
        <v>Small sample</v>
      </c>
    </row>
    <row r="114" spans="1:6" ht="15" customHeight="1" x14ac:dyDescent="0.35">
      <c r="A114" s="25">
        <v>37</v>
      </c>
      <c r="B114" s="26" t="str">
        <f>INDEX('Industry Stats'!$A$2:$A$46,MATCH(LARGE('Industry Stats'!$J$2:$J$46,37),'Industry Stats'!$J$2:$J$46,0))</f>
        <v>Biotechnology</v>
      </c>
      <c r="C114" s="26">
        <f>INDEX('Industry Stats'!$B$2:$B$46,MATCH(LARGE('Industry Stats'!$J$2:$J$46,37),'Industry Stats'!$J$2:$J$46,0))</f>
        <v>56</v>
      </c>
      <c r="D114" s="28">
        <f>INDEX('Industry Stats'!$F$2:$F$46,MATCH(LARGE('Industry Stats'!$J$2:$J$46,37),'Industry Stats'!$J$2:$J$46,0))</f>
        <v>866.91071428571433</v>
      </c>
      <c r="E114" s="26" t="str">
        <f>INDEX('Industry Stats'!$I$2:$I$46,MATCH(LARGE('Industry Stats'!$J$2:$J$46,37),'Industry Stats'!$J$2:$J$46,0))</f>
        <v>Large sample</v>
      </c>
    </row>
    <row r="115" spans="1:6" ht="15" customHeight="1" x14ac:dyDescent="0.35">
      <c r="A115" s="25">
        <v>38</v>
      </c>
      <c r="B115" s="26" t="str">
        <f>INDEX('Industry Stats'!$A$2:$A$46,MATCH(LARGE('Industry Stats'!$J$2:$J$46,38),'Industry Stats'!$J$2:$J$46,0))</f>
        <v>Marine</v>
      </c>
      <c r="C115" s="26">
        <f>INDEX('Industry Stats'!$B$2:$B$46,MATCH(LARGE('Industry Stats'!$J$2:$J$46,38),'Industry Stats'!$J$2:$J$46,0))</f>
        <v>3</v>
      </c>
      <c r="D115" s="28">
        <f>INDEX('Industry Stats'!$F$2:$F$46,MATCH(LARGE('Industry Stats'!$J$2:$J$46,38),'Industry Stats'!$J$2:$J$46,0))</f>
        <v>865.33333333333337</v>
      </c>
      <c r="E115" s="26" t="str">
        <f>INDEX('Industry Stats'!$I$2:$I$46,MATCH(LARGE('Industry Stats'!$J$2:$J$46,38),'Industry Stats'!$J$2:$J$46,0))</f>
        <v>Small sample</v>
      </c>
    </row>
    <row r="116" spans="1:6" ht="15" customHeight="1" x14ac:dyDescent="0.35">
      <c r="A116" s="25">
        <v>39</v>
      </c>
      <c r="B116" s="26" t="str">
        <f>INDEX('Industry Stats'!$A$2:$A$46,MATCH(LARGE('Industry Stats'!$J$2:$J$46,39),'Industry Stats'!$J$2:$J$46,0))</f>
        <v>Automobiles</v>
      </c>
      <c r="C116" s="26">
        <f>INDEX('Industry Stats'!$B$2:$B$46,MATCH(LARGE('Industry Stats'!$J$2:$J$46,39),'Industry Stats'!$J$2:$J$46,0))</f>
        <v>4</v>
      </c>
      <c r="D116" s="28">
        <f>INDEX('Industry Stats'!$F$2:$F$46,MATCH(LARGE('Industry Stats'!$J$2:$J$46,39),'Industry Stats'!$J$2:$J$46,0))</f>
        <v>859.25</v>
      </c>
      <c r="E116" s="26" t="str">
        <f>INDEX('Industry Stats'!$I$2:$I$46,MATCH(LARGE('Industry Stats'!$J$2:$J$46,39),'Industry Stats'!$J$2:$J$46,0))</f>
        <v>Small sample</v>
      </c>
    </row>
    <row r="117" spans="1:6" ht="15" customHeight="1" x14ac:dyDescent="0.35">
      <c r="A117" s="25">
        <v>40</v>
      </c>
      <c r="B117" s="26" t="str">
        <f>INDEX('Industry Stats'!$A$2:$A$46,MATCH(LARGE('Industry Stats'!$J$2:$J$46,40),'Industry Stats'!$J$2:$J$46,0))</f>
        <v>Airlines</v>
      </c>
      <c r="C117" s="26">
        <f>INDEX('Industry Stats'!$B$2:$B$46,MATCH(LARGE('Industry Stats'!$J$2:$J$46,40),'Industry Stats'!$J$2:$J$46,0))</f>
        <v>7</v>
      </c>
      <c r="D117" s="28">
        <f>INDEX('Industry Stats'!$F$2:$F$46,MATCH(LARGE('Industry Stats'!$J$2:$J$46,40),'Industry Stats'!$J$2:$J$46,0))</f>
        <v>838.71428571428567</v>
      </c>
      <c r="E117" s="26" t="str">
        <f>INDEX('Industry Stats'!$I$2:$I$46,MATCH(LARGE('Industry Stats'!$J$2:$J$46,40),'Industry Stats'!$J$2:$J$46,0))</f>
        <v>Small sample</v>
      </c>
    </row>
    <row r="118" spans="1:6" ht="15" customHeight="1" x14ac:dyDescent="0.35">
      <c r="A118" s="25">
        <v>41</v>
      </c>
      <c r="B118" s="26" t="str">
        <f>INDEX('Industry Stats'!$A$2:$A$46,MATCH(LARGE('Industry Stats'!$J$2:$J$46,41),'Industry Stats'!$J$2:$J$46,0))</f>
        <v>Auto Components</v>
      </c>
      <c r="C118" s="26">
        <f>INDEX('Industry Stats'!$B$2:$B$46,MATCH(LARGE('Industry Stats'!$J$2:$J$46,41),'Industry Stats'!$J$2:$J$46,0))</f>
        <v>3</v>
      </c>
      <c r="D118" s="28">
        <f>INDEX('Industry Stats'!$F$2:$F$46,MATCH(LARGE('Industry Stats'!$J$2:$J$46,41),'Industry Stats'!$J$2:$J$46,0))</f>
        <v>833.33333333333337</v>
      </c>
      <c r="E118" s="26" t="str">
        <f>INDEX('Industry Stats'!$I$2:$I$46,MATCH(LARGE('Industry Stats'!$J$2:$J$46,41),'Industry Stats'!$J$2:$J$46,0))</f>
        <v>Small sample</v>
      </c>
    </row>
    <row r="119" spans="1:6" ht="15" customHeight="1" x14ac:dyDescent="0.35">
      <c r="A119" s="25">
        <v>42</v>
      </c>
      <c r="B119" s="26" t="str">
        <f>INDEX('Industry Stats'!$A$2:$A$46,MATCH(LARGE('Industry Stats'!$J$2:$J$46,42),'Industry Stats'!$J$2:$J$46,0))</f>
        <v>Leisure Products</v>
      </c>
      <c r="C119" s="26">
        <f>INDEX('Industry Stats'!$B$2:$B$46,MATCH(LARGE('Industry Stats'!$J$2:$J$46,42),'Industry Stats'!$J$2:$J$46,0))</f>
        <v>3</v>
      </c>
      <c r="D119" s="28">
        <f>INDEX('Industry Stats'!$F$2:$F$46,MATCH(LARGE('Industry Stats'!$J$2:$J$46,42),'Industry Stats'!$J$2:$J$46,0))</f>
        <v>780</v>
      </c>
      <c r="E119" s="26" t="str">
        <f>INDEX('Industry Stats'!$I$2:$I$46,MATCH(LARGE('Industry Stats'!$J$2:$J$46,42),'Industry Stats'!$J$2:$J$46,0))</f>
        <v>Small sample</v>
      </c>
    </row>
    <row r="120" spans="1:6" ht="15" customHeight="1" x14ac:dyDescent="0.35">
      <c r="A120" s="25">
        <v>43</v>
      </c>
      <c r="B120" s="26" t="str">
        <f>INDEX('Industry Stats'!$A$2:$A$46,MATCH(LARGE('Industry Stats'!$J$2:$J$46,43),'Industry Stats'!$J$2:$J$46,0))</f>
        <v>Hotels, Restaurants &amp; Leisure</v>
      </c>
      <c r="C120" s="26">
        <f>INDEX('Industry Stats'!$B$2:$B$46,MATCH(LARGE('Industry Stats'!$J$2:$J$46,43),'Industry Stats'!$J$2:$J$46,0))</f>
        <v>2</v>
      </c>
      <c r="D120" s="28">
        <f>INDEX('Industry Stats'!$F$2:$F$46,MATCH(LARGE('Industry Stats'!$J$2:$J$46,43),'Industry Stats'!$J$2:$J$46,0))</f>
        <v>746</v>
      </c>
      <c r="E120" s="26" t="str">
        <f>INDEX('Industry Stats'!$I$2:$I$46,MATCH(LARGE('Industry Stats'!$J$2:$J$46,43),'Industry Stats'!$J$2:$J$46,0))</f>
        <v>Small sample</v>
      </c>
    </row>
    <row r="121" spans="1:6" ht="15" customHeight="1" x14ac:dyDescent="0.35">
      <c r="A121" s="25">
        <v>44</v>
      </c>
      <c r="B121" s="26" t="str">
        <f>INDEX('Industry Stats'!$A$2:$A$46,MATCH(LARGE('Industry Stats'!$J$2:$J$46,44),'Industry Stats'!$J$2:$J$46,0))</f>
        <v>Diversified Consumer Services</v>
      </c>
      <c r="C121" s="26">
        <f>INDEX('Industry Stats'!$B$2:$B$46,MATCH(LARGE('Industry Stats'!$J$2:$J$46,44),'Industry Stats'!$J$2:$J$46,0))</f>
        <v>3</v>
      </c>
      <c r="D121" s="28">
        <f>INDEX('Industry Stats'!$F$2:$F$46,MATCH(LARGE('Industry Stats'!$J$2:$J$46,44),'Industry Stats'!$J$2:$J$46,0))</f>
        <v>739.33333333333337</v>
      </c>
      <c r="E121" s="26" t="str">
        <f>INDEX('Industry Stats'!$I$2:$I$46,MATCH(LARGE('Industry Stats'!$J$2:$J$46,44),'Industry Stats'!$J$2:$J$46,0))</f>
        <v>Small sample</v>
      </c>
    </row>
    <row r="122" spans="1:6" ht="15" customHeight="1" x14ac:dyDescent="0.35">
      <c r="A122" s="25">
        <v>45</v>
      </c>
      <c r="B122" s="26" t="str">
        <f>INDEX('Industry Stats'!$A$2:$A$46,MATCH(LARGE('Industry Stats'!$J$2:$J$46,45),'Industry Stats'!$J$2:$J$46,0))</f>
        <v>Unclassified</v>
      </c>
      <c r="C122" s="26">
        <f>INDEX('Industry Stats'!$B$2:$B$46,MATCH(LARGE('Industry Stats'!$J$2:$J$46,45),'Industry Stats'!$J$2:$J$46,0))</f>
        <v>13</v>
      </c>
      <c r="D122" s="28">
        <f>INDEX('Industry Stats'!$F$2:$F$46,MATCH(LARGE('Industry Stats'!$J$2:$J$46,45),'Industry Stats'!$J$2:$J$46,0))</f>
        <v>709.30769230769226</v>
      </c>
      <c r="E122" s="26" t="str">
        <f>INDEX('Industry Stats'!$I$2:$I$46,MATCH(LARGE('Industry Stats'!$J$2:$J$46,45),'Industry Stats'!$J$2:$J$46,0))</f>
        <v>Medium sample</v>
      </c>
    </row>
    <row r="123" spans="1:6" ht="15" customHeight="1" x14ac:dyDescent="0.35">
      <c r="A123" s="29"/>
      <c r="B123" s="30"/>
      <c r="C123" s="30"/>
      <c r="D123" s="31"/>
      <c r="E123" s="30"/>
    </row>
    <row r="124" spans="1:6" ht="15" customHeight="1" x14ac:dyDescent="0.35">
      <c r="A124" s="29"/>
      <c r="B124" s="30"/>
      <c r="C124" s="30"/>
      <c r="D124" s="31"/>
      <c r="E124" s="30"/>
    </row>
    <row r="125" spans="1:6" ht="15" customHeight="1" x14ac:dyDescent="0.35">
      <c r="A125" s="29"/>
      <c r="B125" s="30"/>
      <c r="C125" s="30"/>
      <c r="D125" s="31"/>
      <c r="E125" s="30"/>
    </row>
    <row r="127" spans="1:6" ht="19.5" customHeight="1" x14ac:dyDescent="0.35">
      <c r="A127" s="11" t="s">
        <v>2984</v>
      </c>
      <c r="B127" s="11"/>
      <c r="C127" s="11"/>
      <c r="D127" s="11"/>
      <c r="E127" s="11"/>
      <c r="F127" s="11"/>
    </row>
    <row r="128" spans="1:6" ht="32.25" customHeight="1" x14ac:dyDescent="0.35">
      <c r="A128" s="10" t="s">
        <v>2985</v>
      </c>
      <c r="B128" s="10"/>
      <c r="C128" s="10"/>
      <c r="D128" s="10"/>
      <c r="E128" s="10"/>
      <c r="F128" s="10"/>
    </row>
    <row r="130" spans="1:7" ht="19.5" customHeight="1" x14ac:dyDescent="0.35">
      <c r="A130" s="12" t="s">
        <v>2986</v>
      </c>
      <c r="B130" s="12"/>
      <c r="C130" s="12"/>
      <c r="D130" s="12"/>
      <c r="E130" s="12"/>
      <c r="F130" s="12"/>
    </row>
    <row r="131" spans="1:7" ht="27.75" customHeight="1" x14ac:dyDescent="0.35">
      <c r="A131" s="32" t="s">
        <v>2972</v>
      </c>
      <c r="B131" s="32" t="s">
        <v>2941</v>
      </c>
      <c r="C131" s="32" t="s">
        <v>2942</v>
      </c>
      <c r="D131" s="32" t="s">
        <v>2943</v>
      </c>
      <c r="E131" s="32" t="s">
        <v>2987</v>
      </c>
      <c r="F131" s="32" t="s">
        <v>2988</v>
      </c>
      <c r="G131" s="32" t="s">
        <v>2989</v>
      </c>
    </row>
    <row r="132" spans="1:7" ht="15" customHeight="1" x14ac:dyDescent="0.35">
      <c r="A132" s="25">
        <v>1</v>
      </c>
      <c r="B132" s="26" t="str">
        <f>INDEX('Pillar Analysis'!$A$4:$A$725,MATCH(LARGE('Pillar Analysis'!$T$4:$T$725,1),'Pillar Analysis'!$T$4:$T$725,0))</f>
        <v>CMS Energy Corp</v>
      </c>
      <c r="C132" s="26" t="str">
        <f>INDEX('Pillar Analysis'!$B$4:$B$725,MATCH(LARGE('Pillar Analysis'!$T$4:$T$725,1),'Pillar Analysis'!$T$4:$T$725,0))</f>
        <v>cms</v>
      </c>
      <c r="D132" s="26" t="str">
        <f>INDEX('Pillar Analysis'!$C$4:$C$725,MATCH(LARGE('Pillar Analysis'!$T$4:$T$725,1),'Pillar Analysis'!$T$4:$T$725,0))</f>
        <v>Utilities</v>
      </c>
      <c r="E132" s="27">
        <f>INDEX('Pillar Analysis'!$G$4:$G$725,MATCH(LARGE('Pillar Analysis'!$T$4:$T$725,1),'Pillar Analysis'!$T$4:$T$725,0))</f>
        <v>1192</v>
      </c>
      <c r="F132" s="33" t="str">
        <f>INDEX('Pillar Analysis'!$I$4:$I$725,MATCH(LARGE('Pillar Analysis'!$T$4:$T$725,1),'Pillar Analysis'!$T$4:$T$725,0))</f>
        <v>Governance</v>
      </c>
      <c r="G132" s="34">
        <f>INDEX('Pillar Analysis'!$P$4:$P$725,MATCH(LARGE('Pillar Analysis'!$T$4:$T$725,1),'Pillar Analysis'!$T$4:$T$725,0))</f>
        <v>0.87396121883656508</v>
      </c>
    </row>
    <row r="133" spans="1:7" ht="15" customHeight="1" x14ac:dyDescent="0.35">
      <c r="A133" s="25">
        <v>2</v>
      </c>
      <c r="B133" s="26" t="str">
        <f>INDEX('Pillar Analysis'!$A$4:$A$725,MATCH(LARGE('Pillar Analysis'!$T$4:$T$725,2),'Pillar Analysis'!$T$4:$T$725,0))</f>
        <v>Waste Management Inc</v>
      </c>
      <c r="C133" s="26" t="str">
        <f>INDEX('Pillar Analysis'!$B$4:$B$725,MATCH(LARGE('Pillar Analysis'!$T$4:$T$725,2),'Pillar Analysis'!$T$4:$T$725,0))</f>
        <v>wm</v>
      </c>
      <c r="D133" s="26" t="str">
        <f>INDEX('Pillar Analysis'!$C$4:$C$725,MATCH(LARGE('Pillar Analysis'!$T$4:$T$725,2),'Pillar Analysis'!$T$4:$T$725,0))</f>
        <v>Commercial Services &amp; Supplies</v>
      </c>
      <c r="E133" s="27">
        <f>INDEX('Pillar Analysis'!$G$4:$G$725,MATCH(LARGE('Pillar Analysis'!$T$4:$T$725,2),'Pillar Analysis'!$T$4:$T$725,0))</f>
        <v>1306</v>
      </c>
      <c r="F133" s="33" t="str">
        <f>INDEX('Pillar Analysis'!$I$4:$I$725,MATCH(LARGE('Pillar Analysis'!$T$4:$T$725,2),'Pillar Analysis'!$T$4:$T$725,0))</f>
        <v>Governance</v>
      </c>
      <c r="G133" s="34">
        <f>INDEX('Pillar Analysis'!$P$4:$P$725,MATCH(LARGE('Pillar Analysis'!$T$4:$T$725,2),'Pillar Analysis'!$T$4:$T$725,0))</f>
        <v>0.60249307479224368</v>
      </c>
    </row>
    <row r="134" spans="1:7" ht="15" customHeight="1" x14ac:dyDescent="0.35">
      <c r="A134" s="25">
        <v>3</v>
      </c>
      <c r="B134" s="26" t="str">
        <f>INDEX('Pillar Analysis'!$A$4:$A$725,MATCH(LARGE('Pillar Analysis'!$T$4:$T$725,3),'Pillar Analysis'!$T$4:$T$725,0))</f>
        <v>Lincoln National Corp</v>
      </c>
      <c r="C134" s="26" t="str">
        <f>INDEX('Pillar Analysis'!$B$4:$B$725,MATCH(LARGE('Pillar Analysis'!$T$4:$T$725,3),'Pillar Analysis'!$T$4:$T$725,0))</f>
        <v>lnc</v>
      </c>
      <c r="D134" s="26" t="str">
        <f>INDEX('Pillar Analysis'!$C$4:$C$725,MATCH(LARGE('Pillar Analysis'!$T$4:$T$725,3),'Pillar Analysis'!$T$4:$T$725,0))</f>
        <v>Insurance</v>
      </c>
      <c r="E134" s="27">
        <f>INDEX('Pillar Analysis'!$G$4:$G$725,MATCH(LARGE('Pillar Analysis'!$T$4:$T$725,3),'Pillar Analysis'!$T$4:$T$725,0))</f>
        <v>1300</v>
      </c>
      <c r="F134" s="33" t="str">
        <f>INDEX('Pillar Analysis'!$I$4:$I$725,MATCH(LARGE('Pillar Analysis'!$T$4:$T$725,3),'Pillar Analysis'!$T$4:$T$725,0))</f>
        <v>Social</v>
      </c>
      <c r="G134" s="34">
        <f>INDEX('Pillar Analysis'!$P$4:$P$725,MATCH(LARGE('Pillar Analysis'!$T$4:$T$725,3),'Pillar Analysis'!$T$4:$T$725,0))</f>
        <v>0.60249307479224368</v>
      </c>
    </row>
    <row r="135" spans="1:7" ht="15" customHeight="1" x14ac:dyDescent="0.35">
      <c r="A135" s="25">
        <v>4</v>
      </c>
      <c r="B135" s="26" t="str">
        <f>INDEX('Pillar Analysis'!$A$4:$A$725,MATCH(LARGE('Pillar Analysis'!$T$4:$T$725,4),'Pillar Analysis'!$T$4:$T$725,0))</f>
        <v>Air Products and Chemicals Inc</v>
      </c>
      <c r="C135" s="26" t="str">
        <f>INDEX('Pillar Analysis'!$B$4:$B$725,MATCH(LARGE('Pillar Analysis'!$T$4:$T$725,4),'Pillar Analysis'!$T$4:$T$725,0))</f>
        <v>apd</v>
      </c>
      <c r="D135" s="26" t="str">
        <f>INDEX('Pillar Analysis'!$C$4:$C$725,MATCH(LARGE('Pillar Analysis'!$T$4:$T$725,4),'Pillar Analysis'!$T$4:$T$725,0))</f>
        <v>Chemicals</v>
      </c>
      <c r="E135" s="27">
        <f>INDEX('Pillar Analysis'!$G$4:$G$725,MATCH(LARGE('Pillar Analysis'!$T$4:$T$725,4),'Pillar Analysis'!$T$4:$T$725,0))</f>
        <v>1442</v>
      </c>
      <c r="F135" s="33" t="str">
        <f>INDEX('Pillar Analysis'!$I$4:$I$725,MATCH(LARGE('Pillar Analysis'!$T$4:$T$725,4),'Pillar Analysis'!$T$4:$T$725,0))</f>
        <v>Governance</v>
      </c>
      <c r="G135" s="34">
        <f>INDEX('Pillar Analysis'!$P$4:$P$725,MATCH(LARGE('Pillar Analysis'!$T$4:$T$725,4),'Pillar Analysis'!$T$4:$T$725,0))</f>
        <v>0.60110803324099726</v>
      </c>
    </row>
    <row r="136" spans="1:7" ht="15" customHeight="1" x14ac:dyDescent="0.35">
      <c r="A136" s="25">
        <v>5</v>
      </c>
      <c r="B136" s="26" t="str">
        <f>INDEX('Pillar Analysis'!$A$4:$A$725,MATCH(LARGE('Pillar Analysis'!$T$4:$T$725,5),'Pillar Analysis'!$T$4:$T$725,0))</f>
        <v>Pioneer Natural Resources Co</v>
      </c>
      <c r="C136" s="26" t="str">
        <f>INDEX('Pillar Analysis'!$B$4:$B$725,MATCH(LARGE('Pillar Analysis'!$T$4:$T$725,5),'Pillar Analysis'!$T$4:$T$725,0))</f>
        <v>pxd</v>
      </c>
      <c r="D136" s="26" t="str">
        <f>INDEX('Pillar Analysis'!$C$4:$C$725,MATCH(LARGE('Pillar Analysis'!$T$4:$T$725,5),'Pillar Analysis'!$T$4:$T$725,0))</f>
        <v>Energy</v>
      </c>
      <c r="E136" s="27">
        <f>INDEX('Pillar Analysis'!$G$4:$G$725,MATCH(LARGE('Pillar Analysis'!$T$4:$T$725,5),'Pillar Analysis'!$T$4:$T$725,0))</f>
        <v>1412</v>
      </c>
      <c r="F136" s="33" t="str">
        <f>INDEX('Pillar Analysis'!$I$4:$I$725,MATCH(LARGE('Pillar Analysis'!$T$4:$T$725,5),'Pillar Analysis'!$T$4:$T$725,0))</f>
        <v>Governance</v>
      </c>
      <c r="G136" s="34">
        <f>INDEX('Pillar Analysis'!$P$4:$P$725,MATCH(LARGE('Pillar Analysis'!$T$4:$T$725,5),'Pillar Analysis'!$T$4:$T$725,0))</f>
        <v>0.59418282548476453</v>
      </c>
    </row>
    <row r="137" spans="1:7" ht="15" customHeight="1" x14ac:dyDescent="0.35">
      <c r="A137" s="25">
        <v>6</v>
      </c>
      <c r="B137" s="26" t="str">
        <f>INDEX('Pillar Analysis'!$A$4:$A$725,MATCH(LARGE('Pillar Analysis'!$T$4:$T$725,6),'Pillar Analysis'!$T$4:$T$725,0))</f>
        <v>Pinnacle West Capital Corp</v>
      </c>
      <c r="C137" s="26" t="str">
        <f>INDEX('Pillar Analysis'!$B$4:$B$725,MATCH(LARGE('Pillar Analysis'!$T$4:$T$725,6),'Pillar Analysis'!$T$4:$T$725,0))</f>
        <v>pnw</v>
      </c>
      <c r="D137" s="26" t="str">
        <f>INDEX('Pillar Analysis'!$C$4:$C$725,MATCH(LARGE('Pillar Analysis'!$T$4:$T$725,6),'Pillar Analysis'!$T$4:$T$725,0))</f>
        <v>Utilities</v>
      </c>
      <c r="E137" s="27">
        <f>INDEX('Pillar Analysis'!$G$4:$G$725,MATCH(LARGE('Pillar Analysis'!$T$4:$T$725,6),'Pillar Analysis'!$T$4:$T$725,0))</f>
        <v>1408</v>
      </c>
      <c r="F137" s="33" t="str">
        <f>INDEX('Pillar Analysis'!$I$4:$I$725,MATCH(LARGE('Pillar Analysis'!$T$4:$T$725,6),'Pillar Analysis'!$T$4:$T$725,0))</f>
        <v>Governance</v>
      </c>
      <c r="G137" s="34">
        <f>INDEX('Pillar Analysis'!$P$4:$P$725,MATCH(LARGE('Pillar Analysis'!$T$4:$T$725,6),'Pillar Analysis'!$T$4:$T$725,0))</f>
        <v>0.59141274238227148</v>
      </c>
    </row>
    <row r="138" spans="1:7" ht="15" customHeight="1" x14ac:dyDescent="0.35">
      <c r="A138" s="25">
        <v>7</v>
      </c>
      <c r="B138" s="26" t="str">
        <f>INDEX('Pillar Analysis'!$A$4:$A$725,MATCH(LARGE('Pillar Analysis'!$T$4:$T$725,7),'Pillar Analysis'!$T$4:$T$725,0))</f>
        <v>WEC Energy Group Inc</v>
      </c>
      <c r="C138" s="26" t="str">
        <f>INDEX('Pillar Analysis'!$B$4:$B$725,MATCH(LARGE('Pillar Analysis'!$T$4:$T$725,7),'Pillar Analysis'!$T$4:$T$725,0))</f>
        <v>wec</v>
      </c>
      <c r="D138" s="26" t="str">
        <f>INDEX('Pillar Analysis'!$C$4:$C$725,MATCH(LARGE('Pillar Analysis'!$T$4:$T$725,7),'Pillar Analysis'!$T$4:$T$725,0))</f>
        <v>Utilities</v>
      </c>
      <c r="E138" s="27">
        <f>INDEX('Pillar Analysis'!$G$4:$G$725,MATCH(LARGE('Pillar Analysis'!$T$4:$T$725,7),'Pillar Analysis'!$T$4:$T$725,0))</f>
        <v>1373</v>
      </c>
      <c r="F138" s="33" t="str">
        <f>INDEX('Pillar Analysis'!$I$4:$I$725,MATCH(LARGE('Pillar Analysis'!$T$4:$T$725,7),'Pillar Analysis'!$T$4:$T$725,0))</f>
        <v>Governance</v>
      </c>
      <c r="G138" s="34">
        <f>INDEX('Pillar Analysis'!$P$4:$P$725,MATCH(LARGE('Pillar Analysis'!$T$4:$T$725,7),'Pillar Analysis'!$T$4:$T$725,0))</f>
        <v>0.5872576177285318</v>
      </c>
    </row>
    <row r="139" spans="1:7" ht="15" customHeight="1" x14ac:dyDescent="0.35">
      <c r="A139" s="25">
        <v>8</v>
      </c>
      <c r="B139" s="26" t="str">
        <f>INDEX('Pillar Analysis'!$A$4:$A$725,MATCH(LARGE('Pillar Analysis'!$T$4:$T$725,8),'Pillar Analysis'!$T$4:$T$725,0))</f>
        <v>Consolidated Edison Inc</v>
      </c>
      <c r="C139" s="26" t="str">
        <f>INDEX('Pillar Analysis'!$B$4:$B$725,MATCH(LARGE('Pillar Analysis'!$T$4:$T$725,8),'Pillar Analysis'!$T$4:$T$725,0))</f>
        <v>ed</v>
      </c>
      <c r="D139" s="26" t="str">
        <f>INDEX('Pillar Analysis'!$C$4:$C$725,MATCH(LARGE('Pillar Analysis'!$T$4:$T$725,8),'Pillar Analysis'!$T$4:$T$725,0))</f>
        <v>Utilities</v>
      </c>
      <c r="E139" s="27">
        <f>INDEX('Pillar Analysis'!$G$4:$G$725,MATCH(LARGE('Pillar Analysis'!$T$4:$T$725,8),'Pillar Analysis'!$T$4:$T$725,0))</f>
        <v>1358</v>
      </c>
      <c r="F139" s="33" t="str">
        <f>INDEX('Pillar Analysis'!$I$4:$I$725,MATCH(LARGE('Pillar Analysis'!$T$4:$T$725,8),'Pillar Analysis'!$T$4:$T$725,0))</f>
        <v>Governance</v>
      </c>
      <c r="G139" s="34">
        <f>INDEX('Pillar Analysis'!$P$4:$P$725,MATCH(LARGE('Pillar Analysis'!$T$4:$T$725,8),'Pillar Analysis'!$T$4:$T$725,0))</f>
        <v>0.58448753462603875</v>
      </c>
    </row>
    <row r="140" spans="1:7" ht="15" customHeight="1" x14ac:dyDescent="0.35">
      <c r="A140" s="25">
        <v>9</v>
      </c>
      <c r="B140" s="26" t="str">
        <f>INDEX('Pillar Analysis'!$A$4:$A$725,MATCH(LARGE('Pillar Analysis'!$T$4:$T$725,9),'Pillar Analysis'!$T$4:$T$725,0))</f>
        <v>American Water Works Company Inc</v>
      </c>
      <c r="C140" s="26" t="str">
        <f>INDEX('Pillar Analysis'!$B$4:$B$725,MATCH(LARGE('Pillar Analysis'!$T$4:$T$725,9),'Pillar Analysis'!$T$4:$T$725,0))</f>
        <v>awk</v>
      </c>
      <c r="D140" s="26" t="str">
        <f>INDEX('Pillar Analysis'!$C$4:$C$725,MATCH(LARGE('Pillar Analysis'!$T$4:$T$725,9),'Pillar Analysis'!$T$4:$T$725,0))</f>
        <v>Utilities</v>
      </c>
      <c r="E140" s="27">
        <f>INDEX('Pillar Analysis'!$G$4:$G$725,MATCH(LARGE('Pillar Analysis'!$T$4:$T$725,9),'Pillar Analysis'!$T$4:$T$725,0))</f>
        <v>1348</v>
      </c>
      <c r="F140" s="33" t="str">
        <f>INDEX('Pillar Analysis'!$I$4:$I$725,MATCH(LARGE('Pillar Analysis'!$T$4:$T$725,9),'Pillar Analysis'!$T$4:$T$725,0))</f>
        <v>Governance</v>
      </c>
      <c r="G140" s="34">
        <f>INDEX('Pillar Analysis'!$P$4:$P$725,MATCH(LARGE('Pillar Analysis'!$T$4:$T$725,9),'Pillar Analysis'!$T$4:$T$725,0))</f>
        <v>0.58310249307479223</v>
      </c>
    </row>
    <row r="141" spans="1:7" ht="15" customHeight="1" x14ac:dyDescent="0.35">
      <c r="A141" s="25">
        <v>10</v>
      </c>
      <c r="B141" s="26" t="str">
        <f>INDEX('Pillar Analysis'!$A$4:$A$725,MATCH(LARGE('Pillar Analysis'!$T$4:$T$725,10),'Pillar Analysis'!$T$4:$T$725,0))</f>
        <v>Weyerhaeuser Co</v>
      </c>
      <c r="C141" s="26" t="str">
        <f>INDEX('Pillar Analysis'!$B$4:$B$725,MATCH(LARGE('Pillar Analysis'!$T$4:$T$725,10),'Pillar Analysis'!$T$4:$T$725,0))</f>
        <v>wy</v>
      </c>
      <c r="D141" s="26" t="str">
        <f>INDEX('Pillar Analysis'!$C$4:$C$725,MATCH(LARGE('Pillar Analysis'!$T$4:$T$725,10),'Pillar Analysis'!$T$4:$T$725,0))</f>
        <v>Real Estate</v>
      </c>
      <c r="E141" s="27">
        <f>INDEX('Pillar Analysis'!$G$4:$G$725,MATCH(LARGE('Pillar Analysis'!$T$4:$T$725,10),'Pillar Analysis'!$T$4:$T$725,0))</f>
        <v>1340</v>
      </c>
      <c r="F141" s="33" t="str">
        <f>INDEX('Pillar Analysis'!$I$4:$I$725,MATCH(LARGE('Pillar Analysis'!$T$4:$T$725,10),'Pillar Analysis'!$T$4:$T$725,0))</f>
        <v>Governance</v>
      </c>
      <c r="G141" s="34">
        <f>INDEX('Pillar Analysis'!$P$4:$P$725,MATCH(LARGE('Pillar Analysis'!$T$4:$T$725,10),'Pillar Analysis'!$T$4:$T$725,0))</f>
        <v>0.58033240997229918</v>
      </c>
    </row>
    <row r="142" spans="1:7" ht="15" customHeight="1" x14ac:dyDescent="0.35">
      <c r="A142" s="25">
        <v>11</v>
      </c>
      <c r="B142" s="26" t="str">
        <f>INDEX('Pillar Analysis'!$A$4:$A$725,MATCH(LARGE('Pillar Analysis'!$T$4:$T$725,11),'Pillar Analysis'!$T$4:$T$725,0))</f>
        <v>Matrix Service Co</v>
      </c>
      <c r="C142" s="26" t="str">
        <f>INDEX('Pillar Analysis'!$B$4:$B$725,MATCH(LARGE('Pillar Analysis'!$T$4:$T$725,11),'Pillar Analysis'!$T$4:$T$725,0))</f>
        <v>mtrx</v>
      </c>
      <c r="D142" s="26" t="str">
        <f>INDEX('Pillar Analysis'!$C$4:$C$725,MATCH(LARGE('Pillar Analysis'!$T$4:$T$725,11),'Pillar Analysis'!$T$4:$T$725,0))</f>
        <v>Construction</v>
      </c>
      <c r="E142" s="27">
        <f>INDEX('Pillar Analysis'!$G$4:$G$725,MATCH(LARGE('Pillar Analysis'!$T$4:$T$725,11),'Pillar Analysis'!$T$4:$T$725,0))</f>
        <v>1256</v>
      </c>
      <c r="F142" s="33" t="str">
        <f>INDEX('Pillar Analysis'!$I$4:$I$725,MATCH(LARGE('Pillar Analysis'!$T$4:$T$725,11),'Pillar Analysis'!$T$4:$T$725,0))</f>
        <v>Governance</v>
      </c>
      <c r="G142" s="34">
        <f>INDEX('Pillar Analysis'!$P$4:$P$725,MATCH(LARGE('Pillar Analysis'!$T$4:$T$725,11),'Pillar Analysis'!$T$4:$T$725,0))</f>
        <v>0.58033240997229918</v>
      </c>
    </row>
    <row r="143" spans="1:7" ht="15" customHeight="1" x14ac:dyDescent="0.35">
      <c r="A143" s="25">
        <v>12</v>
      </c>
      <c r="B143" s="26" t="str">
        <f>INDEX('Pillar Analysis'!$A$4:$A$725,MATCH(LARGE('Pillar Analysis'!$T$4:$T$725,12),'Pillar Analysis'!$T$4:$T$725,0))</f>
        <v>Verisk Analytics Inc</v>
      </c>
      <c r="C143" s="26" t="str">
        <f>INDEX('Pillar Analysis'!$B$4:$B$725,MATCH(LARGE('Pillar Analysis'!$T$4:$T$725,12),'Pillar Analysis'!$T$4:$T$725,0))</f>
        <v>vrsk</v>
      </c>
      <c r="D143" s="26" t="str">
        <f>INDEX('Pillar Analysis'!$C$4:$C$725,MATCH(LARGE('Pillar Analysis'!$T$4:$T$725,12),'Pillar Analysis'!$T$4:$T$725,0))</f>
        <v>Professional Services</v>
      </c>
      <c r="E143" s="27">
        <f>INDEX('Pillar Analysis'!$G$4:$G$725,MATCH(LARGE('Pillar Analysis'!$T$4:$T$725,12),'Pillar Analysis'!$T$4:$T$725,0))</f>
        <v>1281</v>
      </c>
      <c r="F143" s="33" t="str">
        <f>INDEX('Pillar Analysis'!$I$4:$I$725,MATCH(LARGE('Pillar Analysis'!$T$4:$T$725,12),'Pillar Analysis'!$T$4:$T$725,0))</f>
        <v>Governance</v>
      </c>
      <c r="G143" s="34">
        <f>INDEX('Pillar Analysis'!$P$4:$P$725,MATCH(LARGE('Pillar Analysis'!$T$4:$T$725,12),'Pillar Analysis'!$T$4:$T$725,0))</f>
        <v>0.56509695290858719</v>
      </c>
    </row>
    <row r="144" spans="1:7" ht="15" customHeight="1" x14ac:dyDescent="0.35">
      <c r="A144" s="25">
        <v>13</v>
      </c>
      <c r="B144" s="26" t="str">
        <f>INDEX('Pillar Analysis'!$A$4:$A$725,MATCH(LARGE('Pillar Analysis'!$T$4:$T$725,13),'Pillar Analysis'!$T$4:$T$725,0))</f>
        <v>Cognizant Technology Solutions Corp</v>
      </c>
      <c r="C144" s="26" t="str">
        <f>INDEX('Pillar Analysis'!$B$4:$B$725,MATCH(LARGE('Pillar Analysis'!$T$4:$T$725,13),'Pillar Analysis'!$T$4:$T$725,0))</f>
        <v>ctsh</v>
      </c>
      <c r="D144" s="26" t="str">
        <f>INDEX('Pillar Analysis'!$C$4:$C$725,MATCH(LARGE('Pillar Analysis'!$T$4:$T$725,13),'Pillar Analysis'!$T$4:$T$725,0))</f>
        <v>Technology</v>
      </c>
      <c r="E144" s="27">
        <f>INDEX('Pillar Analysis'!$G$4:$G$725,MATCH(LARGE('Pillar Analysis'!$T$4:$T$725,13),'Pillar Analysis'!$T$4:$T$725,0))</f>
        <v>1270</v>
      </c>
      <c r="F144" s="33" t="str">
        <f>INDEX('Pillar Analysis'!$I$4:$I$725,MATCH(LARGE('Pillar Analysis'!$T$4:$T$725,13),'Pillar Analysis'!$T$4:$T$725,0))</f>
        <v>Governance</v>
      </c>
      <c r="G144" s="34">
        <f>INDEX('Pillar Analysis'!$P$4:$P$725,MATCH(LARGE('Pillar Analysis'!$T$4:$T$725,13),'Pillar Analysis'!$T$4:$T$725,0))</f>
        <v>0.55955678670360109</v>
      </c>
    </row>
    <row r="145" spans="1:7" ht="15" customHeight="1" x14ac:dyDescent="0.35">
      <c r="A145" s="25">
        <v>14</v>
      </c>
      <c r="B145" s="26" t="str">
        <f>INDEX('Pillar Analysis'!$A$4:$A$725,MATCH(LARGE('Pillar Analysis'!$T$4:$T$725,14),'Pillar Analysis'!$T$4:$T$725,0))</f>
        <v>Lightning eMotors Inc</v>
      </c>
      <c r="C145" s="26" t="str">
        <f>INDEX('Pillar Analysis'!$B$4:$B$725,MATCH(LARGE('Pillar Analysis'!$T$4:$T$725,14),'Pillar Analysis'!$T$4:$T$725,0))</f>
        <v>zev</v>
      </c>
      <c r="D145" s="26" t="str">
        <f>INDEX('Pillar Analysis'!$C$4:$C$725,MATCH(LARGE('Pillar Analysis'!$T$4:$T$725,14),'Pillar Analysis'!$T$4:$T$725,0))</f>
        <v>Machinery</v>
      </c>
      <c r="E145" s="27">
        <f>INDEX('Pillar Analysis'!$G$4:$G$725,MATCH(LARGE('Pillar Analysis'!$T$4:$T$725,14),'Pillar Analysis'!$T$4:$T$725,0))</f>
        <v>1166</v>
      </c>
      <c r="F145" s="33" t="str">
        <f>INDEX('Pillar Analysis'!$I$4:$I$725,MATCH(LARGE('Pillar Analysis'!$T$4:$T$725,14),'Pillar Analysis'!$T$4:$T$725,0))</f>
        <v>Governance</v>
      </c>
      <c r="G145" s="34">
        <f>INDEX('Pillar Analysis'!$P$4:$P$725,MATCH(LARGE('Pillar Analysis'!$T$4:$T$725,14),'Pillar Analysis'!$T$4:$T$725,0))</f>
        <v>0.54155124653739617</v>
      </c>
    </row>
    <row r="146" spans="1:7" ht="15" customHeight="1" x14ac:dyDescent="0.35">
      <c r="A146" s="25">
        <v>15</v>
      </c>
      <c r="B146" s="26" t="str">
        <f>INDEX('Pillar Analysis'!$A$4:$A$725,MATCH(LARGE('Pillar Analysis'!$T$4:$T$725,15),'Pillar Analysis'!$T$4:$T$725,0))</f>
        <v>DTE Energy Co</v>
      </c>
      <c r="C146" s="26" t="str">
        <f>INDEX('Pillar Analysis'!$B$4:$B$725,MATCH(LARGE('Pillar Analysis'!$T$4:$T$725,15),'Pillar Analysis'!$T$4:$T$725,0))</f>
        <v>dte</v>
      </c>
      <c r="D146" s="26" t="str">
        <f>INDEX('Pillar Analysis'!$C$4:$C$725,MATCH(LARGE('Pillar Analysis'!$T$4:$T$725,15),'Pillar Analysis'!$T$4:$T$725,0))</f>
        <v>Utilities</v>
      </c>
      <c r="E146" s="27">
        <f>INDEX('Pillar Analysis'!$G$4:$G$725,MATCH(LARGE('Pillar Analysis'!$T$4:$T$725,15),'Pillar Analysis'!$T$4:$T$725,0))</f>
        <v>1115</v>
      </c>
      <c r="F146" s="33" t="str">
        <f>INDEX('Pillar Analysis'!$I$4:$I$725,MATCH(LARGE('Pillar Analysis'!$T$4:$T$725,15),'Pillar Analysis'!$T$4:$T$725,0))</f>
        <v>Governance</v>
      </c>
      <c r="G146" s="34">
        <f>INDEX('Pillar Analysis'!$P$4:$P$725,MATCH(LARGE('Pillar Analysis'!$T$4:$T$725,15),'Pillar Analysis'!$T$4:$T$725,0))</f>
        <v>0.52908587257617734</v>
      </c>
    </row>
    <row r="148" spans="1:7" ht="19.5" customHeight="1" x14ac:dyDescent="0.35">
      <c r="A148" s="12" t="s">
        <v>2990</v>
      </c>
      <c r="B148" s="12"/>
      <c r="C148" s="12"/>
      <c r="D148" s="12"/>
      <c r="E148" s="12"/>
      <c r="F148" s="12"/>
    </row>
    <row r="149" spans="1:7" ht="27.75" customHeight="1" x14ac:dyDescent="0.35">
      <c r="A149" s="32" t="s">
        <v>2972</v>
      </c>
      <c r="B149" s="32" t="s">
        <v>2941</v>
      </c>
      <c r="C149" s="32" t="s">
        <v>2942</v>
      </c>
      <c r="D149" s="32" t="s">
        <v>2943</v>
      </c>
      <c r="E149" s="32" t="s">
        <v>2987</v>
      </c>
      <c r="F149" s="32" t="s">
        <v>2991</v>
      </c>
      <c r="G149" s="32" t="s">
        <v>2992</v>
      </c>
    </row>
    <row r="150" spans="1:7" ht="15" customHeight="1" x14ac:dyDescent="0.35">
      <c r="A150" s="25">
        <v>1</v>
      </c>
      <c r="B150" s="26" t="str">
        <f>INDEX('Pillar Analysis'!$A$4:$A$725,MATCH(LARGE('Pillar Analysis'!$S$4:$S$725,1),'Pillar Analysis'!$S$4:$S$725,0))</f>
        <v>CMS Energy Corp</v>
      </c>
      <c r="C150" s="26" t="str">
        <f>INDEX('Pillar Analysis'!$B$4:$B$725,MATCH(LARGE('Pillar Analysis'!$S$4:$S$725,1),'Pillar Analysis'!$S$4:$S$725,0))</f>
        <v>cms</v>
      </c>
      <c r="D150" s="26" t="str">
        <f>INDEX('Pillar Analysis'!$C$4:$C$725,MATCH(LARGE('Pillar Analysis'!$S$4:$S$725,1),'Pillar Analysis'!$S$4:$S$725,0))</f>
        <v>Utilities</v>
      </c>
      <c r="E150" s="27">
        <f>INDEX('Pillar Analysis'!$G$4:$G$725,MATCH(LARGE('Pillar Analysis'!$S$4:$S$725,1),'Pillar Analysis'!$S$4:$S$725,0))</f>
        <v>1192</v>
      </c>
      <c r="F150" s="27">
        <f>INDEX('Pillar Analysis'!$M$4:$M$725,MATCH(LARGE('Pillar Analysis'!$S$4:$S$725,1),'Pillar Analysis'!$S$4:$S$725,0))</f>
        <v>592</v>
      </c>
      <c r="G150" s="33" t="str">
        <f>INDEX('Pillar Analysis'!$H$4:$H$725,MATCH(LARGE('Pillar Analysis'!$S$4:$S$725,1),'Pillar Analysis'!$S$4:$S$725,0))</f>
        <v>Social</v>
      </c>
    </row>
    <row r="151" spans="1:7" ht="15" customHeight="1" x14ac:dyDescent="0.35">
      <c r="A151" s="25">
        <v>2</v>
      </c>
      <c r="B151" s="26" t="str">
        <f>INDEX('Pillar Analysis'!$A$4:$A$725,MATCH(LARGE('Pillar Analysis'!$S$4:$S$725,2),'Pillar Analysis'!$S$4:$S$725,0))</f>
        <v>Air Products and Chemicals Inc</v>
      </c>
      <c r="C151" s="26" t="str">
        <f>INDEX('Pillar Analysis'!$B$4:$B$725,MATCH(LARGE('Pillar Analysis'!$S$4:$S$725,2),'Pillar Analysis'!$S$4:$S$725,0))</f>
        <v>apd</v>
      </c>
      <c r="D151" s="26" t="str">
        <f>INDEX('Pillar Analysis'!$C$4:$C$725,MATCH(LARGE('Pillar Analysis'!$S$4:$S$725,2),'Pillar Analysis'!$S$4:$S$725,0))</f>
        <v>Chemicals</v>
      </c>
      <c r="E151" s="27">
        <f>INDEX('Pillar Analysis'!$G$4:$G$725,MATCH(LARGE('Pillar Analysis'!$S$4:$S$725,2),'Pillar Analysis'!$S$4:$S$725,0))</f>
        <v>1442</v>
      </c>
      <c r="F151" s="27">
        <f>INDEX('Pillar Analysis'!$M$4:$M$725,MATCH(LARGE('Pillar Analysis'!$S$4:$S$725,2),'Pillar Analysis'!$S$4:$S$725,0))</f>
        <v>400</v>
      </c>
      <c r="G151" s="33" t="str">
        <f>INDEX('Pillar Analysis'!$H$4:$H$725,MATCH(LARGE('Pillar Analysis'!$S$4:$S$725,2),'Pillar Analysis'!$S$4:$S$725,0))</f>
        <v>Environmental</v>
      </c>
    </row>
    <row r="152" spans="1:7" ht="15" customHeight="1" x14ac:dyDescent="0.35">
      <c r="A152" s="25">
        <v>3</v>
      </c>
      <c r="B152" s="26" t="str">
        <f>INDEX('Pillar Analysis'!$A$4:$A$725,MATCH(LARGE('Pillar Analysis'!$S$4:$S$725,3),'Pillar Analysis'!$S$4:$S$725,0))</f>
        <v>Consolidated Edison Inc</v>
      </c>
      <c r="C152" s="26" t="str">
        <f>INDEX('Pillar Analysis'!$B$4:$B$725,MATCH(LARGE('Pillar Analysis'!$S$4:$S$725,3),'Pillar Analysis'!$S$4:$S$725,0))</f>
        <v>ed</v>
      </c>
      <c r="D152" s="26" t="str">
        <f>INDEX('Pillar Analysis'!$C$4:$C$725,MATCH(LARGE('Pillar Analysis'!$S$4:$S$725,3),'Pillar Analysis'!$S$4:$S$725,0))</f>
        <v>Utilities</v>
      </c>
      <c r="E152" s="27">
        <f>INDEX('Pillar Analysis'!$G$4:$G$725,MATCH(LARGE('Pillar Analysis'!$S$4:$S$725,3),'Pillar Analysis'!$S$4:$S$725,0))</f>
        <v>1358</v>
      </c>
      <c r="F152" s="27">
        <f>INDEX('Pillar Analysis'!$M$4:$M$725,MATCH(LARGE('Pillar Analysis'!$S$4:$S$725,3),'Pillar Analysis'!$S$4:$S$725,0))</f>
        <v>400</v>
      </c>
      <c r="G152" s="33" t="str">
        <f>INDEX('Pillar Analysis'!$H$4:$H$725,MATCH(LARGE('Pillar Analysis'!$S$4:$S$725,3),'Pillar Analysis'!$S$4:$S$725,0))</f>
        <v>Environmental</v>
      </c>
    </row>
    <row r="153" spans="1:7" ht="15" customHeight="1" x14ac:dyDescent="0.35">
      <c r="A153" s="25">
        <v>4</v>
      </c>
      <c r="B153" s="26" t="str">
        <f>INDEX('Pillar Analysis'!$A$4:$A$725,MATCH(LARGE('Pillar Analysis'!$S$4:$S$725,4),'Pillar Analysis'!$S$4:$S$725,0))</f>
        <v>Pioneer Natural Resources Co</v>
      </c>
      <c r="C153" s="26" t="str">
        <f>INDEX('Pillar Analysis'!$B$4:$B$725,MATCH(LARGE('Pillar Analysis'!$S$4:$S$725,4),'Pillar Analysis'!$S$4:$S$725,0))</f>
        <v>pxd</v>
      </c>
      <c r="D153" s="26" t="str">
        <f>INDEX('Pillar Analysis'!$C$4:$C$725,MATCH(LARGE('Pillar Analysis'!$S$4:$S$725,4),'Pillar Analysis'!$S$4:$S$725,0))</f>
        <v>Energy</v>
      </c>
      <c r="E153" s="27">
        <f>INDEX('Pillar Analysis'!$G$4:$G$725,MATCH(LARGE('Pillar Analysis'!$S$4:$S$725,4),'Pillar Analysis'!$S$4:$S$725,0))</f>
        <v>1412</v>
      </c>
      <c r="F153" s="27">
        <f>INDEX('Pillar Analysis'!$M$4:$M$725,MATCH(LARGE('Pillar Analysis'!$S$4:$S$725,4),'Pillar Analysis'!$S$4:$S$725,0))</f>
        <v>400</v>
      </c>
      <c r="G153" s="33" t="str">
        <f>INDEX('Pillar Analysis'!$H$4:$H$725,MATCH(LARGE('Pillar Analysis'!$S$4:$S$725,4),'Pillar Analysis'!$S$4:$S$725,0))</f>
        <v>Environmental</v>
      </c>
    </row>
    <row r="154" spans="1:7" ht="15" customHeight="1" x14ac:dyDescent="0.35">
      <c r="A154" s="25">
        <v>5</v>
      </c>
      <c r="B154" s="26" t="str">
        <f>INDEX('Pillar Analysis'!$A$4:$A$725,MATCH(LARGE('Pillar Analysis'!$S$4:$S$725,5),'Pillar Analysis'!$S$4:$S$725,0))</f>
        <v>Weyerhaeuser Co</v>
      </c>
      <c r="C154" s="26" t="str">
        <f>INDEX('Pillar Analysis'!$B$4:$B$725,MATCH(LARGE('Pillar Analysis'!$S$4:$S$725,5),'Pillar Analysis'!$S$4:$S$725,0))</f>
        <v>wy</v>
      </c>
      <c r="D154" s="26" t="str">
        <f>INDEX('Pillar Analysis'!$C$4:$C$725,MATCH(LARGE('Pillar Analysis'!$S$4:$S$725,5),'Pillar Analysis'!$S$4:$S$725,0))</f>
        <v>Real Estate</v>
      </c>
      <c r="E154" s="27">
        <f>INDEX('Pillar Analysis'!$G$4:$G$725,MATCH(LARGE('Pillar Analysis'!$S$4:$S$725,5),'Pillar Analysis'!$S$4:$S$725,0))</f>
        <v>1340</v>
      </c>
      <c r="F154" s="27">
        <f>INDEX('Pillar Analysis'!$M$4:$M$725,MATCH(LARGE('Pillar Analysis'!$S$4:$S$725,5),'Pillar Analysis'!$S$4:$S$725,0))</f>
        <v>400</v>
      </c>
      <c r="G154" s="33" t="str">
        <f>INDEX('Pillar Analysis'!$H$4:$H$725,MATCH(LARGE('Pillar Analysis'!$S$4:$S$725,5),'Pillar Analysis'!$S$4:$S$725,0))</f>
        <v>Environmental</v>
      </c>
    </row>
    <row r="155" spans="1:7" ht="15" customHeight="1" x14ac:dyDescent="0.35">
      <c r="A155" s="25">
        <v>6</v>
      </c>
      <c r="B155" s="26" t="str">
        <f>INDEX('Pillar Analysis'!$A$4:$A$725,MATCH(LARGE('Pillar Analysis'!$S$4:$S$725,6),'Pillar Analysis'!$S$4:$S$725,0))</f>
        <v>Lincoln National Corp</v>
      </c>
      <c r="C155" s="26" t="str">
        <f>INDEX('Pillar Analysis'!$B$4:$B$725,MATCH(LARGE('Pillar Analysis'!$S$4:$S$725,6),'Pillar Analysis'!$S$4:$S$725,0))</f>
        <v>lnc</v>
      </c>
      <c r="D155" s="26" t="str">
        <f>INDEX('Pillar Analysis'!$C$4:$C$725,MATCH(LARGE('Pillar Analysis'!$S$4:$S$725,6),'Pillar Analysis'!$S$4:$S$725,0))</f>
        <v>Insurance</v>
      </c>
      <c r="E155" s="27">
        <f>INDEX('Pillar Analysis'!$G$4:$G$725,MATCH(LARGE('Pillar Analysis'!$S$4:$S$725,6),'Pillar Analysis'!$S$4:$S$725,0))</f>
        <v>1300</v>
      </c>
      <c r="F155" s="27">
        <f>INDEX('Pillar Analysis'!$M$4:$M$725,MATCH(LARGE('Pillar Analysis'!$S$4:$S$725,6),'Pillar Analysis'!$S$4:$S$725,0))</f>
        <v>400</v>
      </c>
      <c r="G155" s="33" t="str">
        <f>INDEX('Pillar Analysis'!$H$4:$H$725,MATCH(LARGE('Pillar Analysis'!$S$4:$S$725,6),'Pillar Analysis'!$S$4:$S$725,0))</f>
        <v>Environmental</v>
      </c>
    </row>
    <row r="156" spans="1:7" ht="15" customHeight="1" x14ac:dyDescent="0.35">
      <c r="A156" s="25">
        <v>7</v>
      </c>
      <c r="B156" s="26" t="str">
        <f>INDEX('Pillar Analysis'!$A$4:$A$725,MATCH(LARGE('Pillar Analysis'!$S$4:$S$725,7),'Pillar Analysis'!$S$4:$S$725,0))</f>
        <v>Tesla Inc</v>
      </c>
      <c r="C156" s="26" t="str">
        <f>INDEX('Pillar Analysis'!$B$4:$B$725,MATCH(LARGE('Pillar Analysis'!$S$4:$S$725,7),'Pillar Analysis'!$S$4:$S$725,0))</f>
        <v>tsla</v>
      </c>
      <c r="D156" s="26" t="str">
        <f>INDEX('Pillar Analysis'!$C$4:$C$725,MATCH(LARGE('Pillar Analysis'!$S$4:$S$725,7),'Pillar Analysis'!$S$4:$S$725,0))</f>
        <v>Automobiles</v>
      </c>
      <c r="E156" s="27">
        <f>INDEX('Pillar Analysis'!$G$4:$G$725,MATCH(LARGE('Pillar Analysis'!$S$4:$S$725,7),'Pillar Analysis'!$S$4:$S$725,0))</f>
        <v>993</v>
      </c>
      <c r="F156" s="27">
        <f>INDEX('Pillar Analysis'!$M$4:$M$725,MATCH(LARGE('Pillar Analysis'!$S$4:$S$725,7),'Pillar Analysis'!$S$4:$S$725,0))</f>
        <v>395</v>
      </c>
      <c r="G156" s="33" t="str">
        <f>INDEX('Pillar Analysis'!$H$4:$H$725,MATCH(LARGE('Pillar Analysis'!$S$4:$S$725,7),'Pillar Analysis'!$S$4:$S$725,0))</f>
        <v>Environmental</v>
      </c>
    </row>
    <row r="157" spans="1:7" ht="15" customHeight="1" x14ac:dyDescent="0.35">
      <c r="A157" s="25">
        <v>8</v>
      </c>
      <c r="B157" s="26" t="str">
        <f>INDEX('Pillar Analysis'!$A$4:$A$725,MATCH(LARGE('Pillar Analysis'!$S$4:$S$725,8),'Pillar Analysis'!$S$4:$S$725,0))</f>
        <v>Sempra Energy</v>
      </c>
      <c r="C157" s="26" t="str">
        <f>INDEX('Pillar Analysis'!$B$4:$B$725,MATCH(LARGE('Pillar Analysis'!$S$4:$S$725,8),'Pillar Analysis'!$S$4:$S$725,0))</f>
        <v>sre</v>
      </c>
      <c r="D157" s="26" t="str">
        <f>INDEX('Pillar Analysis'!$C$4:$C$725,MATCH(LARGE('Pillar Analysis'!$S$4:$S$725,8),'Pillar Analysis'!$S$4:$S$725,0))</f>
        <v>Utilities</v>
      </c>
      <c r="E157" s="27">
        <f>INDEX('Pillar Analysis'!$G$4:$G$725,MATCH(LARGE('Pillar Analysis'!$S$4:$S$725,8),'Pillar Analysis'!$S$4:$S$725,0))</f>
        <v>1396</v>
      </c>
      <c r="F157" s="27">
        <f>INDEX('Pillar Analysis'!$M$4:$M$725,MATCH(LARGE('Pillar Analysis'!$S$4:$S$725,8),'Pillar Analysis'!$S$4:$S$725,0))</f>
        <v>390</v>
      </c>
      <c r="G157" s="33" t="str">
        <f>INDEX('Pillar Analysis'!$H$4:$H$725,MATCH(LARGE('Pillar Analysis'!$S$4:$S$725,8),'Pillar Analysis'!$S$4:$S$725,0))</f>
        <v>Environmental</v>
      </c>
    </row>
    <row r="158" spans="1:7" ht="15" customHeight="1" x14ac:dyDescent="0.35">
      <c r="A158" s="25">
        <v>9</v>
      </c>
      <c r="B158" s="26" t="str">
        <f>INDEX('Pillar Analysis'!$A$4:$A$725,MATCH(LARGE('Pillar Analysis'!$S$4:$S$725,9),'Pillar Analysis'!$S$4:$S$725,0))</f>
        <v>Edison International</v>
      </c>
      <c r="C158" s="26" t="str">
        <f>INDEX('Pillar Analysis'!$B$4:$B$725,MATCH(LARGE('Pillar Analysis'!$S$4:$S$725,9),'Pillar Analysis'!$S$4:$S$725,0))</f>
        <v>eix</v>
      </c>
      <c r="D158" s="26" t="str">
        <f>INDEX('Pillar Analysis'!$C$4:$C$725,MATCH(LARGE('Pillar Analysis'!$S$4:$S$725,9),'Pillar Analysis'!$S$4:$S$725,0))</f>
        <v>Utilities</v>
      </c>
      <c r="E158" s="27">
        <f>INDEX('Pillar Analysis'!$G$4:$G$725,MATCH(LARGE('Pillar Analysis'!$S$4:$S$725,9),'Pillar Analysis'!$S$4:$S$725,0))</f>
        <v>1528</v>
      </c>
      <c r="F158" s="27">
        <f>INDEX('Pillar Analysis'!$M$4:$M$725,MATCH(LARGE('Pillar Analysis'!$S$4:$S$725,9),'Pillar Analysis'!$S$4:$S$725,0))</f>
        <v>385</v>
      </c>
      <c r="G158" s="33" t="str">
        <f>INDEX('Pillar Analysis'!$H$4:$H$725,MATCH(LARGE('Pillar Analysis'!$S$4:$S$725,9),'Pillar Analysis'!$S$4:$S$725,0))</f>
        <v>Environmental</v>
      </c>
    </row>
    <row r="159" spans="1:7" ht="15" customHeight="1" x14ac:dyDescent="0.35">
      <c r="A159" s="25">
        <v>10</v>
      </c>
      <c r="B159" s="26" t="str">
        <f>INDEX('Pillar Analysis'!$A$4:$A$725,MATCH(LARGE('Pillar Analysis'!$S$4:$S$725,10),'Pillar Analysis'!$S$4:$S$725,0))</f>
        <v>Marathon Petroleum Corp</v>
      </c>
      <c r="C159" s="26" t="str">
        <f>INDEX('Pillar Analysis'!$B$4:$B$725,MATCH(LARGE('Pillar Analysis'!$S$4:$S$725,10),'Pillar Analysis'!$S$4:$S$725,0))</f>
        <v>mpc</v>
      </c>
      <c r="D159" s="26" t="str">
        <f>INDEX('Pillar Analysis'!$C$4:$C$725,MATCH(LARGE('Pillar Analysis'!$S$4:$S$725,10),'Pillar Analysis'!$S$4:$S$725,0))</f>
        <v>Energy</v>
      </c>
      <c r="E159" s="27">
        <f>INDEX('Pillar Analysis'!$G$4:$G$725,MATCH(LARGE('Pillar Analysis'!$S$4:$S$725,10),'Pillar Analysis'!$S$4:$S$725,0))</f>
        <v>1381</v>
      </c>
      <c r="F159" s="27">
        <f>INDEX('Pillar Analysis'!$M$4:$M$725,MATCH(LARGE('Pillar Analysis'!$S$4:$S$725,10),'Pillar Analysis'!$S$4:$S$725,0))</f>
        <v>385</v>
      </c>
      <c r="G159" s="33" t="str">
        <f>INDEX('Pillar Analysis'!$H$4:$H$725,MATCH(LARGE('Pillar Analysis'!$S$4:$S$725,10),'Pillar Analysis'!$S$4:$S$725,0))</f>
        <v>Environmental</v>
      </c>
    </row>
    <row r="160" spans="1:7" ht="15" customHeight="1" x14ac:dyDescent="0.35">
      <c r="A160" s="25">
        <v>11</v>
      </c>
      <c r="B160" s="26" t="str">
        <f>INDEX('Pillar Analysis'!$A$4:$A$725,MATCH(LARGE('Pillar Analysis'!$S$4:$S$725,11),'Pillar Analysis'!$S$4:$S$725,0))</f>
        <v>DTE Energy Co</v>
      </c>
      <c r="C160" s="26" t="str">
        <f>INDEX('Pillar Analysis'!$B$4:$B$725,MATCH(LARGE('Pillar Analysis'!$S$4:$S$725,11),'Pillar Analysis'!$S$4:$S$725,0))</f>
        <v>dte</v>
      </c>
      <c r="D160" s="26" t="str">
        <f>INDEX('Pillar Analysis'!$C$4:$C$725,MATCH(LARGE('Pillar Analysis'!$S$4:$S$725,11),'Pillar Analysis'!$S$4:$S$725,0))</f>
        <v>Utilities</v>
      </c>
      <c r="E160" s="27">
        <f>INDEX('Pillar Analysis'!$G$4:$G$725,MATCH(LARGE('Pillar Analysis'!$S$4:$S$725,11),'Pillar Analysis'!$S$4:$S$725,0))</f>
        <v>1115</v>
      </c>
      <c r="F160" s="27">
        <f>INDEX('Pillar Analysis'!$M$4:$M$725,MATCH(LARGE('Pillar Analysis'!$S$4:$S$725,11),'Pillar Analysis'!$S$4:$S$725,0))</f>
        <v>382</v>
      </c>
      <c r="G160" s="33" t="str">
        <f>INDEX('Pillar Analysis'!$H$4:$H$725,MATCH(LARGE('Pillar Analysis'!$S$4:$S$725,11),'Pillar Analysis'!$S$4:$S$725,0))</f>
        <v>Environmental</v>
      </c>
    </row>
    <row r="161" spans="1:7" ht="15" customHeight="1" x14ac:dyDescent="0.35">
      <c r="A161" s="25">
        <v>12</v>
      </c>
      <c r="B161" s="26" t="str">
        <f>INDEX('Pillar Analysis'!$A$4:$A$725,MATCH(LARGE('Pillar Analysis'!$S$4:$S$725,12),'Pillar Analysis'!$S$4:$S$725,0))</f>
        <v>Conocophillips</v>
      </c>
      <c r="C161" s="26" t="str">
        <f>INDEX('Pillar Analysis'!$B$4:$B$725,MATCH(LARGE('Pillar Analysis'!$S$4:$S$725,12),'Pillar Analysis'!$S$4:$S$725,0))</f>
        <v>cop</v>
      </c>
      <c r="D161" s="26" t="str">
        <f>INDEX('Pillar Analysis'!$C$4:$C$725,MATCH(LARGE('Pillar Analysis'!$S$4:$S$725,12),'Pillar Analysis'!$S$4:$S$725,0))</f>
        <v>Energy</v>
      </c>
      <c r="E161" s="27">
        <f>INDEX('Pillar Analysis'!$G$4:$G$725,MATCH(LARGE('Pillar Analysis'!$S$4:$S$725,12),'Pillar Analysis'!$S$4:$S$725,0))</f>
        <v>1536</v>
      </c>
      <c r="F161" s="27">
        <f>INDEX('Pillar Analysis'!$M$4:$M$725,MATCH(LARGE('Pillar Analysis'!$S$4:$S$725,12),'Pillar Analysis'!$S$4:$S$725,0))</f>
        <v>382</v>
      </c>
      <c r="G161" s="33" t="str">
        <f>INDEX('Pillar Analysis'!$H$4:$H$725,MATCH(LARGE('Pillar Analysis'!$S$4:$S$725,12),'Pillar Analysis'!$S$4:$S$725,0))</f>
        <v>Environmental</v>
      </c>
    </row>
    <row r="162" spans="1:7" ht="15" customHeight="1" x14ac:dyDescent="0.35">
      <c r="A162" s="25">
        <v>13</v>
      </c>
      <c r="B162" s="26" t="str">
        <f>INDEX('Pillar Analysis'!$A$4:$A$725,MATCH(LARGE('Pillar Analysis'!$S$4:$S$725,13),'Pillar Analysis'!$S$4:$S$725,0))</f>
        <v>Trane Technologies PLC</v>
      </c>
      <c r="C162" s="26" t="str">
        <f>INDEX('Pillar Analysis'!$B$4:$B$725,MATCH(LARGE('Pillar Analysis'!$S$4:$S$725,13),'Pillar Analysis'!$S$4:$S$725,0))</f>
        <v>tt</v>
      </c>
      <c r="D162" s="26" t="str">
        <f>INDEX('Pillar Analysis'!$C$4:$C$725,MATCH(LARGE('Pillar Analysis'!$S$4:$S$725,13),'Pillar Analysis'!$S$4:$S$725,0))</f>
        <v>Building</v>
      </c>
      <c r="E162" s="27">
        <f>INDEX('Pillar Analysis'!$G$4:$G$725,MATCH(LARGE('Pillar Analysis'!$S$4:$S$725,13),'Pillar Analysis'!$S$4:$S$725,0))</f>
        <v>1409</v>
      </c>
      <c r="F162" s="27">
        <f>INDEX('Pillar Analysis'!$M$4:$M$725,MATCH(LARGE('Pillar Analysis'!$S$4:$S$725,13),'Pillar Analysis'!$S$4:$S$725,0))</f>
        <v>380</v>
      </c>
      <c r="G162" s="33" t="str">
        <f>INDEX('Pillar Analysis'!$H$4:$H$725,MATCH(LARGE('Pillar Analysis'!$S$4:$S$725,13),'Pillar Analysis'!$S$4:$S$725,0))</f>
        <v>Environmental</v>
      </c>
    </row>
    <row r="163" spans="1:7" ht="15" customHeight="1" x14ac:dyDescent="0.35">
      <c r="A163" s="25">
        <v>14</v>
      </c>
      <c r="B163" s="26" t="str">
        <f>INDEX('Pillar Analysis'!$A$4:$A$725,MATCH(LARGE('Pillar Analysis'!$S$4:$S$725,14),'Pillar Analysis'!$S$4:$S$725,0))</f>
        <v>PepsiCo Inc</v>
      </c>
      <c r="C163" s="26" t="str">
        <f>INDEX('Pillar Analysis'!$B$4:$B$725,MATCH(LARGE('Pillar Analysis'!$S$4:$S$725,14),'Pillar Analysis'!$S$4:$S$725,0))</f>
        <v>pep</v>
      </c>
      <c r="D163" s="26" t="str">
        <f>INDEX('Pillar Analysis'!$C$4:$C$725,MATCH(LARGE('Pillar Analysis'!$S$4:$S$725,14),'Pillar Analysis'!$S$4:$S$725,0))</f>
        <v>Beverages</v>
      </c>
      <c r="E163" s="27">
        <f>INDEX('Pillar Analysis'!$G$4:$G$725,MATCH(LARGE('Pillar Analysis'!$S$4:$S$725,14),'Pillar Analysis'!$S$4:$S$725,0))</f>
        <v>1417</v>
      </c>
      <c r="F163" s="27">
        <f>INDEX('Pillar Analysis'!$M$4:$M$725,MATCH(LARGE('Pillar Analysis'!$S$4:$S$725,14),'Pillar Analysis'!$S$4:$S$725,0))</f>
        <v>379</v>
      </c>
      <c r="G163" s="33" t="str">
        <f>INDEX('Pillar Analysis'!$H$4:$H$725,MATCH(LARGE('Pillar Analysis'!$S$4:$S$725,14),'Pillar Analysis'!$S$4:$S$725,0))</f>
        <v>Environmental</v>
      </c>
    </row>
    <row r="164" spans="1:7" ht="15" customHeight="1" x14ac:dyDescent="0.35">
      <c r="A164" s="25">
        <v>15</v>
      </c>
      <c r="B164" s="26" t="str">
        <f>INDEX('Pillar Analysis'!$A$4:$A$725,MATCH(LARGE('Pillar Analysis'!$S$4:$S$725,15),'Pillar Analysis'!$S$4:$S$725,0))</f>
        <v>Exelon Corp</v>
      </c>
      <c r="C164" s="26" t="str">
        <f>INDEX('Pillar Analysis'!$B$4:$B$725,MATCH(LARGE('Pillar Analysis'!$S$4:$S$725,15),'Pillar Analysis'!$S$4:$S$725,0))</f>
        <v>exc</v>
      </c>
      <c r="D164" s="26" t="str">
        <f>INDEX('Pillar Analysis'!$C$4:$C$725,MATCH(LARGE('Pillar Analysis'!$S$4:$S$725,15),'Pillar Analysis'!$S$4:$S$725,0))</f>
        <v>Utilities</v>
      </c>
      <c r="E164" s="27">
        <f>INDEX('Pillar Analysis'!$G$4:$G$725,MATCH(LARGE('Pillar Analysis'!$S$4:$S$725,15),'Pillar Analysis'!$S$4:$S$725,0))</f>
        <v>1413</v>
      </c>
      <c r="F164" s="27">
        <f>INDEX('Pillar Analysis'!$M$4:$M$725,MATCH(LARGE('Pillar Analysis'!$S$4:$S$725,15),'Pillar Analysis'!$S$4:$S$725,0))</f>
        <v>378</v>
      </c>
      <c r="G164" s="33" t="str">
        <f>INDEX('Pillar Analysis'!$H$4:$H$725,MATCH(LARGE('Pillar Analysis'!$S$4:$S$725,15),'Pillar Analysis'!$S$4:$S$725,0))</f>
        <v>Environmental</v>
      </c>
    </row>
    <row r="166" spans="1:7" ht="19.5" customHeight="1" x14ac:dyDescent="0.35">
      <c r="A166" s="12" t="s">
        <v>2993</v>
      </c>
      <c r="B166" s="12"/>
      <c r="C166" s="12"/>
      <c r="D166" s="12"/>
      <c r="E166" s="12"/>
      <c r="F166" s="12"/>
    </row>
    <row r="167" spans="1:7" ht="27.75" customHeight="1" x14ac:dyDescent="0.35">
      <c r="A167" s="32" t="s">
        <v>2972</v>
      </c>
      <c r="B167" s="32" t="s">
        <v>2941</v>
      </c>
      <c r="C167" s="32" t="s">
        <v>2942</v>
      </c>
      <c r="D167" s="32" t="s">
        <v>2943</v>
      </c>
      <c r="E167" s="32" t="s">
        <v>2987</v>
      </c>
      <c r="F167" s="32" t="s">
        <v>2994</v>
      </c>
      <c r="G167" s="32" t="s">
        <v>2995</v>
      </c>
    </row>
    <row r="168" spans="1:7" ht="15" customHeight="1" x14ac:dyDescent="0.35">
      <c r="A168" s="25">
        <v>1</v>
      </c>
      <c r="B168" s="26" t="str">
        <f>INDEX(Benchmarking!$A$4:$A$725,MATCH(LARGE(Benchmarking!$V$4:$V$725,1),Benchmarking!$V$4:$V$725,0))</f>
        <v>Airbnb Inc</v>
      </c>
      <c r="C168" s="26" t="str">
        <f>INDEX(Benchmarking!$B$4:$B$725,MATCH(LARGE(Benchmarking!$V$4:$V$725,1),Benchmarking!$V$4:$V$725,0))</f>
        <v>abnb</v>
      </c>
      <c r="D168" s="26" t="str">
        <f>INDEX(Benchmarking!$C$4:$C$725,MATCH(LARGE(Benchmarking!$V$4:$V$725,1),Benchmarking!$V$4:$V$725,0))</f>
        <v>Hotels Restaurants &amp; Leisure</v>
      </c>
      <c r="E168" s="27">
        <f>INDEX(Benchmarking!$G$4:$G$725,MATCH(LARGE(Benchmarking!$V$4:$V$725,1),Benchmarking!$V$4:$V$725,0))</f>
        <v>1475</v>
      </c>
      <c r="F168" s="28">
        <f>INDEX(Benchmarking!$H$4:$H$725,MATCH(LARGE(Benchmarking!$V$4:$V$725,1),Benchmarking!$V$4:$V$725,0))</f>
        <v>918.86363636363637</v>
      </c>
      <c r="G168" s="35">
        <f>INDEX(Benchmarking!$I$4:$I$725,MATCH(LARGE(Benchmarking!$V$4:$V$725,1),Benchmarking!$V$4:$V$725,0))</f>
        <v>556.13636363636363</v>
      </c>
    </row>
    <row r="169" spans="1:7" ht="15" customHeight="1" x14ac:dyDescent="0.35">
      <c r="A169" s="25">
        <v>2</v>
      </c>
      <c r="B169" s="26" t="str">
        <f>INDEX(Benchmarking!$A$4:$A$725,MATCH(LARGE(Benchmarking!$V$4:$V$725,2),Benchmarking!$V$4:$V$725,0))</f>
        <v>Amazon.com Inc</v>
      </c>
      <c r="C169" s="26" t="str">
        <f>INDEX(Benchmarking!$B$4:$B$725,MATCH(LARGE(Benchmarking!$V$4:$V$725,2),Benchmarking!$V$4:$V$725,0))</f>
        <v>amzn</v>
      </c>
      <c r="D169" s="26" t="str">
        <f>INDEX(Benchmarking!$C$4:$C$725,MATCH(LARGE(Benchmarking!$V$4:$V$725,2),Benchmarking!$V$4:$V$725,0))</f>
        <v>Retail</v>
      </c>
      <c r="E169" s="27">
        <f>INDEX(Benchmarking!$G$4:$G$725,MATCH(LARGE(Benchmarking!$V$4:$V$725,2),Benchmarking!$V$4:$V$725,0))</f>
        <v>1433</v>
      </c>
      <c r="F169" s="28">
        <f>INDEX(Benchmarking!$H$4:$H$725,MATCH(LARGE(Benchmarking!$V$4:$V$725,2),Benchmarking!$V$4:$V$725,0))</f>
        <v>918.57692307692309</v>
      </c>
      <c r="G169" s="35">
        <f>INDEX(Benchmarking!$I$4:$I$725,MATCH(LARGE(Benchmarking!$V$4:$V$725,2),Benchmarking!$V$4:$V$725,0))</f>
        <v>514.42307692307691</v>
      </c>
    </row>
    <row r="170" spans="1:7" ht="15" customHeight="1" x14ac:dyDescent="0.35">
      <c r="A170" s="25">
        <v>3</v>
      </c>
      <c r="B170" s="26" t="str">
        <f>INDEX(Benchmarking!$A$4:$A$725,MATCH(LARGE(Benchmarking!$V$4:$V$725,3),Benchmarking!$V$4:$V$725,0))</f>
        <v>Microsoft Corp</v>
      </c>
      <c r="C170" s="26" t="str">
        <f>INDEX(Benchmarking!$B$4:$B$725,MATCH(LARGE(Benchmarking!$V$4:$V$725,3),Benchmarking!$V$4:$V$725,0))</f>
        <v>msft</v>
      </c>
      <c r="D170" s="26" t="str">
        <f>INDEX(Benchmarking!$C$4:$C$725,MATCH(LARGE(Benchmarking!$V$4:$V$725,3),Benchmarking!$V$4:$V$725,0))</f>
        <v>Technology</v>
      </c>
      <c r="E170" s="27">
        <f>INDEX(Benchmarking!$G$4:$G$725,MATCH(LARGE(Benchmarking!$V$4:$V$725,3),Benchmarking!$V$4:$V$725,0))</f>
        <v>1533</v>
      </c>
      <c r="F170" s="28">
        <f>INDEX(Benchmarking!$H$4:$H$725,MATCH(LARGE(Benchmarking!$V$4:$V$725,3),Benchmarking!$V$4:$V$725,0))</f>
        <v>1031.3174603174602</v>
      </c>
      <c r="G170" s="35">
        <f>INDEX(Benchmarking!$I$4:$I$725,MATCH(LARGE(Benchmarking!$V$4:$V$725,3),Benchmarking!$V$4:$V$725,0))</f>
        <v>501.68253968253975</v>
      </c>
    </row>
    <row r="171" spans="1:7" ht="15" customHeight="1" x14ac:dyDescent="0.35">
      <c r="A171" s="25">
        <v>4</v>
      </c>
      <c r="B171" s="26" t="str">
        <f>INDEX(Benchmarking!$A$4:$A$725,MATCH(LARGE(Benchmarking!$V$4:$V$725,4),Benchmarking!$V$4:$V$725,0))</f>
        <v>Newmont Corporation</v>
      </c>
      <c r="C171" s="26" t="str">
        <f>INDEX(Benchmarking!$B$4:$B$725,MATCH(LARGE(Benchmarking!$V$4:$V$725,4),Benchmarking!$V$4:$V$725,0))</f>
        <v>nem</v>
      </c>
      <c r="D171" s="26" t="str">
        <f>INDEX(Benchmarking!$C$4:$C$725,MATCH(LARGE(Benchmarking!$V$4:$V$725,4),Benchmarking!$V$4:$V$725,0))</f>
        <v>Metals &amp; Mining</v>
      </c>
      <c r="E171" s="27">
        <f>INDEX(Benchmarking!$G$4:$G$725,MATCH(LARGE(Benchmarking!$V$4:$V$725,4),Benchmarking!$V$4:$V$725,0))</f>
        <v>1419</v>
      </c>
      <c r="F171" s="28">
        <f>INDEX(Benchmarking!$H$4:$H$725,MATCH(LARGE(Benchmarking!$V$4:$V$725,4),Benchmarking!$V$4:$V$725,0))</f>
        <v>987</v>
      </c>
      <c r="G171" s="35">
        <f>INDEX(Benchmarking!$I$4:$I$725,MATCH(LARGE(Benchmarking!$V$4:$V$725,4),Benchmarking!$V$4:$V$725,0))</f>
        <v>432</v>
      </c>
    </row>
    <row r="172" spans="1:7" ht="15" customHeight="1" x14ac:dyDescent="0.35">
      <c r="A172" s="25">
        <v>5</v>
      </c>
      <c r="B172" s="26" t="str">
        <f>INDEX(Benchmarking!$A$4:$A$725,MATCH(LARGE(Benchmarking!$V$4:$V$725,5),Benchmarking!$V$4:$V$725,0))</f>
        <v>Conocophillips</v>
      </c>
      <c r="C172" s="26" t="str">
        <f>INDEX(Benchmarking!$B$4:$B$725,MATCH(LARGE(Benchmarking!$V$4:$V$725,5),Benchmarking!$V$4:$V$725,0))</f>
        <v>cop</v>
      </c>
      <c r="D172" s="26" t="str">
        <f>INDEX(Benchmarking!$C$4:$C$725,MATCH(LARGE(Benchmarking!$V$4:$V$725,5),Benchmarking!$V$4:$V$725,0))</f>
        <v>Energy</v>
      </c>
      <c r="E172" s="27">
        <f>INDEX(Benchmarking!$G$4:$G$725,MATCH(LARGE(Benchmarking!$V$4:$V$725,5),Benchmarking!$V$4:$V$725,0))</f>
        <v>1536</v>
      </c>
      <c r="F172" s="28">
        <f>INDEX(Benchmarking!$H$4:$H$725,MATCH(LARGE(Benchmarking!$V$4:$V$725,5),Benchmarking!$V$4:$V$725,0))</f>
        <v>1117.7619047619048</v>
      </c>
      <c r="G172" s="35">
        <f>INDEX(Benchmarking!$I$4:$I$725,MATCH(LARGE(Benchmarking!$V$4:$V$725,5),Benchmarking!$V$4:$V$725,0))</f>
        <v>418.23809523809518</v>
      </c>
    </row>
    <row r="173" spans="1:7" ht="15" customHeight="1" x14ac:dyDescent="0.35">
      <c r="A173" s="25">
        <v>6</v>
      </c>
      <c r="B173" s="26" t="str">
        <f>INDEX(Benchmarking!$A$4:$A$725,MATCH(LARGE(Benchmarking!$V$4:$V$725,6),Benchmarking!$V$4:$V$725,0))</f>
        <v>Air Products and Chemicals Inc</v>
      </c>
      <c r="C173" s="26" t="str">
        <f>INDEX(Benchmarking!$B$4:$B$725,MATCH(LARGE(Benchmarking!$V$4:$V$725,6),Benchmarking!$V$4:$V$725,0))</f>
        <v>apd</v>
      </c>
      <c r="D173" s="26" t="str">
        <f>INDEX(Benchmarking!$C$4:$C$725,MATCH(LARGE(Benchmarking!$V$4:$V$725,6),Benchmarking!$V$4:$V$725,0))</f>
        <v>Chemicals</v>
      </c>
      <c r="E173" s="27">
        <f>INDEX(Benchmarking!$G$4:$G$725,MATCH(LARGE(Benchmarking!$V$4:$V$725,6),Benchmarking!$V$4:$V$725,0))</f>
        <v>1442</v>
      </c>
      <c r="F173" s="28">
        <f>INDEX(Benchmarking!$H$4:$H$725,MATCH(LARGE(Benchmarking!$V$4:$V$725,6),Benchmarking!$V$4:$V$725,0))</f>
        <v>1058.8947368421052</v>
      </c>
      <c r="G173" s="35">
        <f>INDEX(Benchmarking!$I$4:$I$725,MATCH(LARGE(Benchmarking!$V$4:$V$725,6),Benchmarking!$V$4:$V$725,0))</f>
        <v>383.1052631578948</v>
      </c>
    </row>
    <row r="174" spans="1:7" ht="15" customHeight="1" x14ac:dyDescent="0.35">
      <c r="A174" s="25">
        <v>7</v>
      </c>
      <c r="B174" s="26" t="str">
        <f>INDEX(Benchmarking!$A$4:$A$725,MATCH(LARGE(Benchmarking!$V$4:$V$725,7),Benchmarking!$V$4:$V$725,0))</f>
        <v>Aptiv PLC</v>
      </c>
      <c r="C174" s="26" t="str">
        <f>INDEX(Benchmarking!$B$4:$B$725,MATCH(LARGE(Benchmarking!$V$4:$V$725,7),Benchmarking!$V$4:$V$725,0))</f>
        <v>aptv</v>
      </c>
      <c r="D174" s="26" t="str">
        <f>INDEX(Benchmarking!$C$4:$C$725,MATCH(LARGE(Benchmarking!$V$4:$V$725,7),Benchmarking!$V$4:$V$725,0))</f>
        <v>Auto Components</v>
      </c>
      <c r="E174" s="27">
        <f>INDEX(Benchmarking!$G$4:$G$725,MATCH(LARGE(Benchmarking!$V$4:$V$725,7),Benchmarking!$V$4:$V$725,0))</f>
        <v>1204</v>
      </c>
      <c r="F174" s="28">
        <f>INDEX(Benchmarking!$H$4:$H$725,MATCH(LARGE(Benchmarking!$V$4:$V$725,7),Benchmarking!$V$4:$V$725,0))</f>
        <v>833.33333333333337</v>
      </c>
      <c r="G174" s="35">
        <f>INDEX(Benchmarking!$I$4:$I$725,MATCH(LARGE(Benchmarking!$V$4:$V$725,7),Benchmarking!$V$4:$V$725,0))</f>
        <v>370.66666666666663</v>
      </c>
    </row>
    <row r="175" spans="1:7" ht="15" customHeight="1" x14ac:dyDescent="0.35">
      <c r="A175" s="25">
        <v>8</v>
      </c>
      <c r="B175" s="26" t="str">
        <f>INDEX(Benchmarking!$A$4:$A$725,MATCH(LARGE(Benchmarking!$V$4:$V$725,8),Benchmarking!$V$4:$V$725,0))</f>
        <v>Becton Dickinson and Co</v>
      </c>
      <c r="C175" s="26" t="str">
        <f>INDEX(Benchmarking!$B$4:$B$725,MATCH(LARGE(Benchmarking!$V$4:$V$725,8),Benchmarking!$V$4:$V$725,0))</f>
        <v>bdx</v>
      </c>
      <c r="D175" s="26" t="str">
        <f>INDEX(Benchmarking!$C$4:$C$725,MATCH(LARGE(Benchmarking!$V$4:$V$725,8),Benchmarking!$V$4:$V$725,0))</f>
        <v>Health Care</v>
      </c>
      <c r="E175" s="27">
        <f>INDEX(Benchmarking!$G$4:$G$725,MATCH(LARGE(Benchmarking!$V$4:$V$725,8),Benchmarking!$V$4:$V$725,0))</f>
        <v>1306</v>
      </c>
      <c r="F175" s="28">
        <f>INDEX(Benchmarking!$H$4:$H$725,MATCH(LARGE(Benchmarking!$V$4:$V$725,8),Benchmarking!$V$4:$V$725,0))</f>
        <v>938.76470588235293</v>
      </c>
      <c r="G175" s="35">
        <f>INDEX(Benchmarking!$I$4:$I$725,MATCH(LARGE(Benchmarking!$V$4:$V$725,8),Benchmarking!$V$4:$V$725,0))</f>
        <v>367.23529411764707</v>
      </c>
    </row>
    <row r="176" spans="1:7" ht="15" customHeight="1" x14ac:dyDescent="0.35">
      <c r="A176" s="25">
        <v>9</v>
      </c>
      <c r="B176" s="26" t="str">
        <f>INDEX(Benchmarking!$A$4:$A$725,MATCH(LARGE(Benchmarking!$V$4:$V$725,9),Benchmarking!$V$4:$V$725,0))</f>
        <v>Hannon Armstrong Sustainable Infrastructure Capital Inc</v>
      </c>
      <c r="C176" s="26" t="str">
        <f>INDEX(Benchmarking!$B$4:$B$725,MATCH(LARGE(Benchmarking!$V$4:$V$725,9),Benchmarking!$V$4:$V$725,0))</f>
        <v>hasi</v>
      </c>
      <c r="D176" s="26" t="str">
        <f>INDEX(Benchmarking!$C$4:$C$725,MATCH(LARGE(Benchmarking!$V$4:$V$725,9),Benchmarking!$V$4:$V$725,0))</f>
        <v>Real Estate</v>
      </c>
      <c r="E176" s="27">
        <f>INDEX(Benchmarking!$G$4:$G$725,MATCH(LARGE(Benchmarking!$V$4:$V$725,9),Benchmarking!$V$4:$V$725,0))</f>
        <v>1363</v>
      </c>
      <c r="F176" s="28">
        <f>INDEX(Benchmarking!$H$4:$H$725,MATCH(LARGE(Benchmarking!$V$4:$V$725,9),Benchmarking!$V$4:$V$725,0))</f>
        <v>995.94444444444446</v>
      </c>
      <c r="G176" s="35">
        <f>INDEX(Benchmarking!$I$4:$I$725,MATCH(LARGE(Benchmarking!$V$4:$V$725,9),Benchmarking!$V$4:$V$725,0))</f>
        <v>367.05555555555554</v>
      </c>
    </row>
    <row r="177" spans="1:7" ht="15" customHeight="1" x14ac:dyDescent="0.35">
      <c r="A177" s="25">
        <v>10</v>
      </c>
      <c r="B177" s="26" t="str">
        <f>INDEX(Benchmarking!$A$4:$A$725,MATCH(LARGE(Benchmarking!$V$4:$V$725,10),Benchmarking!$V$4:$V$725,0))</f>
        <v>Amphenol Corp</v>
      </c>
      <c r="C177" s="26" t="str">
        <f>INDEX(Benchmarking!$B$4:$B$725,MATCH(LARGE(Benchmarking!$V$4:$V$725,10),Benchmarking!$V$4:$V$725,0))</f>
        <v>aph</v>
      </c>
      <c r="D177" s="26" t="str">
        <f>INDEX(Benchmarking!$C$4:$C$725,MATCH(LARGE(Benchmarking!$V$4:$V$725,10),Benchmarking!$V$4:$V$725,0))</f>
        <v>Electrical Equipment</v>
      </c>
      <c r="E177" s="27">
        <f>INDEX(Benchmarking!$G$4:$G$725,MATCH(LARGE(Benchmarking!$V$4:$V$725,10),Benchmarking!$V$4:$V$725,0))</f>
        <v>1290</v>
      </c>
      <c r="F177" s="28">
        <f>INDEX(Benchmarking!$H$4:$H$725,MATCH(LARGE(Benchmarking!$V$4:$V$725,10),Benchmarking!$V$4:$V$725,0))</f>
        <v>933</v>
      </c>
      <c r="G177" s="35">
        <f>INDEX(Benchmarking!$I$4:$I$725,MATCH(LARGE(Benchmarking!$V$4:$V$725,10),Benchmarking!$V$4:$V$725,0))</f>
        <v>357</v>
      </c>
    </row>
    <row r="178" spans="1:7" ht="15" customHeight="1" x14ac:dyDescent="0.35">
      <c r="A178" s="25">
        <v>11</v>
      </c>
      <c r="B178" s="26" t="str">
        <f>INDEX(Benchmarking!$A$4:$A$725,MATCH(LARGE(Benchmarking!$V$4:$V$725,11),Benchmarking!$V$4:$V$725,0))</f>
        <v>PepsiCo Inc</v>
      </c>
      <c r="C178" s="26" t="str">
        <f>INDEX(Benchmarking!$B$4:$B$725,MATCH(LARGE(Benchmarking!$V$4:$V$725,11),Benchmarking!$V$4:$V$725,0))</f>
        <v>pep</v>
      </c>
      <c r="D178" s="26" t="str">
        <f>INDEX(Benchmarking!$C$4:$C$725,MATCH(LARGE(Benchmarking!$V$4:$V$725,11),Benchmarking!$V$4:$V$725,0))</f>
        <v>Beverages</v>
      </c>
      <c r="E178" s="27">
        <f>INDEX(Benchmarking!$G$4:$G$725,MATCH(LARGE(Benchmarking!$V$4:$V$725,11),Benchmarking!$V$4:$V$725,0))</f>
        <v>1417</v>
      </c>
      <c r="F178" s="28">
        <f>INDEX(Benchmarking!$H$4:$H$725,MATCH(LARGE(Benchmarking!$V$4:$V$725,11),Benchmarking!$V$4:$V$725,0))</f>
        <v>1061</v>
      </c>
      <c r="G178" s="35">
        <f>INDEX(Benchmarking!$I$4:$I$725,MATCH(LARGE(Benchmarking!$V$4:$V$725,11),Benchmarking!$V$4:$V$725,0))</f>
        <v>356</v>
      </c>
    </row>
    <row r="179" spans="1:7" ht="15" customHeight="1" x14ac:dyDescent="0.35">
      <c r="A179" s="25">
        <v>12</v>
      </c>
      <c r="B179" s="26" t="str">
        <f>INDEX(Benchmarking!$A$4:$A$725,MATCH(LARGE(Benchmarking!$V$4:$V$725,12),Benchmarking!$V$4:$V$725,0))</f>
        <v>MSCI Inc</v>
      </c>
      <c r="C179" s="26" t="str">
        <f>INDEX(Benchmarking!$B$4:$B$725,MATCH(LARGE(Benchmarking!$V$4:$V$725,12),Benchmarking!$V$4:$V$725,0))</f>
        <v>msci</v>
      </c>
      <c r="D179" s="26" t="str">
        <f>INDEX(Benchmarking!$C$4:$C$725,MATCH(LARGE(Benchmarking!$V$4:$V$725,12),Benchmarking!$V$4:$V$725,0))</f>
        <v>Financial Services</v>
      </c>
      <c r="E179" s="27">
        <f>INDEX(Benchmarking!$G$4:$G$725,MATCH(LARGE(Benchmarking!$V$4:$V$725,12),Benchmarking!$V$4:$V$725,0))</f>
        <v>1262</v>
      </c>
      <c r="F179" s="28">
        <f>INDEX(Benchmarking!$H$4:$H$725,MATCH(LARGE(Benchmarking!$V$4:$V$725,12),Benchmarking!$V$4:$V$725,0))</f>
        <v>909.33333333333337</v>
      </c>
      <c r="G179" s="35">
        <f>INDEX(Benchmarking!$I$4:$I$725,MATCH(LARGE(Benchmarking!$V$4:$V$725,12),Benchmarking!$V$4:$V$725,0))</f>
        <v>352.66666666666663</v>
      </c>
    </row>
    <row r="180" spans="1:7" ht="15" customHeight="1" x14ac:dyDescent="0.35">
      <c r="A180" s="25">
        <v>13</v>
      </c>
      <c r="B180" s="26" t="str">
        <f>INDEX(Benchmarking!$A$4:$A$725,MATCH(LARGE(Benchmarking!$V$4:$V$725,13),Benchmarking!$V$4:$V$725,0))</f>
        <v>Amgen Inc</v>
      </c>
      <c r="C180" s="26" t="str">
        <f>INDEX(Benchmarking!$B$4:$B$725,MATCH(LARGE(Benchmarking!$V$4:$V$725,13),Benchmarking!$V$4:$V$725,0))</f>
        <v>amgn</v>
      </c>
      <c r="D180" s="26" t="str">
        <f>INDEX(Benchmarking!$C$4:$C$725,MATCH(LARGE(Benchmarking!$V$4:$V$725,13),Benchmarking!$V$4:$V$725,0))</f>
        <v>Biotechnology</v>
      </c>
      <c r="E180" s="27">
        <f>INDEX(Benchmarking!$G$4:$G$725,MATCH(LARGE(Benchmarking!$V$4:$V$725,13),Benchmarking!$V$4:$V$725,0))</f>
        <v>1215</v>
      </c>
      <c r="F180" s="28">
        <f>INDEX(Benchmarking!$H$4:$H$725,MATCH(LARGE(Benchmarking!$V$4:$V$725,13),Benchmarking!$V$4:$V$725,0))</f>
        <v>866.91071428571433</v>
      </c>
      <c r="G180" s="35">
        <f>INDEX(Benchmarking!$I$4:$I$725,MATCH(LARGE(Benchmarking!$V$4:$V$725,13),Benchmarking!$V$4:$V$725,0))</f>
        <v>348.08928571428567</v>
      </c>
    </row>
    <row r="181" spans="1:7" ht="15" customHeight="1" x14ac:dyDescent="0.35">
      <c r="A181" s="25">
        <v>14</v>
      </c>
      <c r="B181" s="26" t="str">
        <f>INDEX(Benchmarking!$A$4:$A$725,MATCH(LARGE(Benchmarking!$V$4:$V$725,14),Benchmarking!$V$4:$V$725,0))</f>
        <v>Trimble Inc</v>
      </c>
      <c r="C181" s="26" t="str">
        <f>INDEX(Benchmarking!$B$4:$B$725,MATCH(LARGE(Benchmarking!$V$4:$V$725,14),Benchmarking!$V$4:$V$725,0))</f>
        <v>trmb</v>
      </c>
      <c r="D181" s="26" t="str">
        <f>INDEX(Benchmarking!$C$4:$C$725,MATCH(LARGE(Benchmarking!$V$4:$V$725,14),Benchmarking!$V$4:$V$725,0))</f>
        <v>Electrical Equipment</v>
      </c>
      <c r="E181" s="27">
        <f>INDEX(Benchmarking!$G$4:$G$725,MATCH(LARGE(Benchmarking!$V$4:$V$725,14),Benchmarking!$V$4:$V$725,0))</f>
        <v>1280</v>
      </c>
      <c r="F181" s="28">
        <f>INDEX(Benchmarking!$H$4:$H$725,MATCH(LARGE(Benchmarking!$V$4:$V$725,14),Benchmarking!$V$4:$V$725,0))</f>
        <v>933</v>
      </c>
      <c r="G181" s="35">
        <f>INDEX(Benchmarking!$I$4:$I$725,MATCH(LARGE(Benchmarking!$V$4:$V$725,14),Benchmarking!$V$4:$V$725,0))</f>
        <v>347</v>
      </c>
    </row>
    <row r="182" spans="1:7" ht="15" customHeight="1" x14ac:dyDescent="0.35">
      <c r="A182" s="25">
        <v>15</v>
      </c>
      <c r="B182" s="26" t="str">
        <f>INDEX(Benchmarking!$A$4:$A$725,MATCH(LARGE(Benchmarking!$V$4:$V$725,15),Benchmarking!$V$4:$V$725,0))</f>
        <v>Procter &amp; Gamble Co</v>
      </c>
      <c r="C182" s="26" t="str">
        <f>INDEX(Benchmarking!$B$4:$B$725,MATCH(LARGE(Benchmarking!$V$4:$V$725,15),Benchmarking!$V$4:$V$725,0))</f>
        <v>pg</v>
      </c>
      <c r="D182" s="26" t="str">
        <f>INDEX(Benchmarking!$C$4:$C$725,MATCH(LARGE(Benchmarking!$V$4:$V$725,15),Benchmarking!$V$4:$V$725,0))</f>
        <v>Consumer products</v>
      </c>
      <c r="E182" s="27">
        <f>INDEX(Benchmarking!$G$4:$G$725,MATCH(LARGE(Benchmarking!$V$4:$V$725,15),Benchmarking!$V$4:$V$725,0))</f>
        <v>1292</v>
      </c>
      <c r="F182" s="28">
        <f>INDEX(Benchmarking!$H$4:$H$725,MATCH(LARGE(Benchmarking!$V$4:$V$725,15),Benchmarking!$V$4:$V$725,0))</f>
        <v>945.55</v>
      </c>
      <c r="G182" s="35">
        <f>INDEX(Benchmarking!$I$4:$I$725,MATCH(LARGE(Benchmarking!$V$4:$V$725,15),Benchmarking!$V$4:$V$725,0))</f>
        <v>346.45000000000005</v>
      </c>
    </row>
    <row r="184" spans="1:7" ht="19.5" customHeight="1" x14ac:dyDescent="0.35">
      <c r="A184" s="12" t="s">
        <v>2996</v>
      </c>
      <c r="B184" s="12"/>
      <c r="C184" s="12"/>
      <c r="D184" s="12"/>
      <c r="E184" s="12"/>
      <c r="F184" s="12"/>
    </row>
    <row r="185" spans="1:7" ht="27.75" customHeight="1" x14ac:dyDescent="0.35">
      <c r="A185" s="32" t="s">
        <v>2972</v>
      </c>
      <c r="B185" s="32" t="s">
        <v>2941</v>
      </c>
      <c r="C185" s="32" t="s">
        <v>2942</v>
      </c>
      <c r="D185" s="32" t="s">
        <v>2943</v>
      </c>
      <c r="E185" s="32" t="s">
        <v>2987</v>
      </c>
      <c r="F185" s="32" t="s">
        <v>2994</v>
      </c>
      <c r="G185" s="32" t="s">
        <v>2995</v>
      </c>
    </row>
    <row r="186" spans="1:7" ht="15" customHeight="1" x14ac:dyDescent="0.35">
      <c r="A186" s="25">
        <v>1</v>
      </c>
      <c r="B186" s="26" t="str">
        <f>INDEX(Benchmarking!$A$4:$A$725,MATCH(LARGE(Benchmarking!$W$4:$W$725,1),Benchmarking!$W$4:$W$725,0))</f>
        <v>Xcel Energy Inc</v>
      </c>
      <c r="C186" s="26" t="str">
        <f>INDEX(Benchmarking!$B$4:$B$725,MATCH(LARGE(Benchmarking!$W$4:$W$725,1),Benchmarking!$W$4:$W$725,0))</f>
        <v>xel</v>
      </c>
      <c r="D186" s="26" t="str">
        <f>INDEX(Benchmarking!$C$4:$C$725,MATCH(LARGE(Benchmarking!$W$4:$W$725,1),Benchmarking!$W$4:$W$725,0))</f>
        <v>Utilities</v>
      </c>
      <c r="E186" s="27">
        <f>INDEX(Benchmarking!$G$4:$G$725,MATCH(LARGE(Benchmarking!$W$4:$W$725,1),Benchmarking!$W$4:$W$725,0))</f>
        <v>629</v>
      </c>
      <c r="F186" s="28">
        <f>INDEX(Benchmarking!$H$4:$H$725,MATCH(LARGE(Benchmarking!$W$4:$W$725,1),Benchmarking!$W$4:$W$725,0))</f>
        <v>1190.6333333333334</v>
      </c>
      <c r="G186" s="35">
        <f>INDEX(Benchmarking!$I$4:$I$725,MATCH(LARGE(Benchmarking!$W$4:$W$725,1),Benchmarking!$W$4:$W$725,0))</f>
        <v>-561.63333333333344</v>
      </c>
    </row>
    <row r="187" spans="1:7" ht="15" customHeight="1" x14ac:dyDescent="0.35">
      <c r="A187" s="25">
        <v>2</v>
      </c>
      <c r="B187" s="26" t="str">
        <f>INDEX(Benchmarking!$A$4:$A$725,MATCH(LARGE(Benchmarking!$W$4:$W$725,2),Benchmarking!$W$4:$W$725,0))</f>
        <v>Granite Construction Inc</v>
      </c>
      <c r="C187" s="26" t="str">
        <f>INDEX(Benchmarking!$B$4:$B$725,MATCH(LARGE(Benchmarking!$W$4:$W$725,2),Benchmarking!$W$4:$W$725,0))</f>
        <v>gva</v>
      </c>
      <c r="D187" s="26" t="str">
        <f>INDEX(Benchmarking!$C$4:$C$725,MATCH(LARGE(Benchmarking!$W$4:$W$725,2),Benchmarking!$W$4:$W$725,0))</f>
        <v>Construction</v>
      </c>
      <c r="E187" s="27">
        <f>INDEX(Benchmarking!$G$4:$G$725,MATCH(LARGE(Benchmarking!$W$4:$W$725,2),Benchmarking!$W$4:$W$725,0))</f>
        <v>600</v>
      </c>
      <c r="F187" s="28">
        <f>INDEX(Benchmarking!$H$4:$H$725,MATCH(LARGE(Benchmarking!$W$4:$W$725,2),Benchmarking!$W$4:$W$725,0))</f>
        <v>1082.6666666666667</v>
      </c>
      <c r="G187" s="35">
        <f>INDEX(Benchmarking!$I$4:$I$725,MATCH(LARGE(Benchmarking!$W$4:$W$725,2),Benchmarking!$W$4:$W$725,0))</f>
        <v>-482.66666666666674</v>
      </c>
    </row>
    <row r="188" spans="1:7" ht="15" customHeight="1" x14ac:dyDescent="0.35">
      <c r="A188" s="25">
        <v>3</v>
      </c>
      <c r="B188" s="26" t="str">
        <f>INDEX(Benchmarking!$A$4:$A$725,MATCH(LARGE(Benchmarking!$W$4:$W$725,3),Benchmarking!$W$4:$W$725,0))</f>
        <v>Chevron Corp</v>
      </c>
      <c r="C188" s="26" t="str">
        <f>INDEX(Benchmarking!$B$4:$B$725,MATCH(LARGE(Benchmarking!$W$4:$W$725,3),Benchmarking!$W$4:$W$725,0))</f>
        <v>cvx</v>
      </c>
      <c r="D188" s="26" t="str">
        <f>INDEX(Benchmarking!$C$4:$C$725,MATCH(LARGE(Benchmarking!$W$4:$W$725,3),Benchmarking!$W$4:$W$725,0))</f>
        <v>Energy</v>
      </c>
      <c r="E188" s="27">
        <f>INDEX(Benchmarking!$G$4:$G$725,MATCH(LARGE(Benchmarking!$W$4:$W$725,3),Benchmarking!$W$4:$W$725,0))</f>
        <v>637</v>
      </c>
      <c r="F188" s="28">
        <f>INDEX(Benchmarking!$H$4:$H$725,MATCH(LARGE(Benchmarking!$W$4:$W$725,3),Benchmarking!$W$4:$W$725,0))</f>
        <v>1117.7619047619048</v>
      </c>
      <c r="G188" s="35">
        <f>INDEX(Benchmarking!$I$4:$I$725,MATCH(LARGE(Benchmarking!$W$4:$W$725,3),Benchmarking!$W$4:$W$725,0))</f>
        <v>-480.76190476190482</v>
      </c>
    </row>
    <row r="189" spans="1:7" ht="15" customHeight="1" x14ac:dyDescent="0.35">
      <c r="A189" s="25">
        <v>4</v>
      </c>
      <c r="B189" s="26" t="str">
        <f>INDEX(Benchmarking!$A$4:$A$725,MATCH(LARGE(Benchmarking!$W$4:$W$725,4),Benchmarking!$W$4:$W$725,0))</f>
        <v>Coca-Cola Co</v>
      </c>
      <c r="C189" s="26" t="str">
        <f>INDEX(Benchmarking!$B$4:$B$725,MATCH(LARGE(Benchmarking!$W$4:$W$725,4),Benchmarking!$W$4:$W$725,0))</f>
        <v>ko</v>
      </c>
      <c r="D189" s="26" t="str">
        <f>INDEX(Benchmarking!$C$4:$C$725,MATCH(LARGE(Benchmarking!$W$4:$W$725,4),Benchmarking!$W$4:$W$725,0))</f>
        <v>Beverages</v>
      </c>
      <c r="E189" s="27">
        <f>INDEX(Benchmarking!$G$4:$G$725,MATCH(LARGE(Benchmarking!$W$4:$W$725,4),Benchmarking!$W$4:$W$725,0))</f>
        <v>601</v>
      </c>
      <c r="F189" s="28">
        <f>INDEX(Benchmarking!$H$4:$H$725,MATCH(LARGE(Benchmarking!$W$4:$W$725,4),Benchmarking!$W$4:$W$725,0))</f>
        <v>1061</v>
      </c>
      <c r="G189" s="35">
        <f>INDEX(Benchmarking!$I$4:$I$725,MATCH(LARGE(Benchmarking!$W$4:$W$725,4),Benchmarking!$W$4:$W$725,0))</f>
        <v>-460</v>
      </c>
    </row>
    <row r="190" spans="1:7" ht="15" customHeight="1" x14ac:dyDescent="0.35">
      <c r="A190" s="25">
        <v>5</v>
      </c>
      <c r="B190" s="26" t="str">
        <f>INDEX(Benchmarking!$A$4:$A$725,MATCH(LARGE(Benchmarking!$W$4:$W$725,5),Benchmarking!$W$4:$W$725,0))</f>
        <v>Primeenergy Resources Corp</v>
      </c>
      <c r="C190" s="26" t="str">
        <f>INDEX(Benchmarking!$B$4:$B$725,MATCH(LARGE(Benchmarking!$W$4:$W$725,5),Benchmarking!$W$4:$W$725,0))</f>
        <v>pnrg</v>
      </c>
      <c r="D190" s="26" t="str">
        <f>INDEX(Benchmarking!$C$4:$C$725,MATCH(LARGE(Benchmarking!$W$4:$W$725,5),Benchmarking!$W$4:$W$725,0))</f>
        <v>Energy</v>
      </c>
      <c r="E190" s="27">
        <f>INDEX(Benchmarking!$G$4:$G$725,MATCH(LARGE(Benchmarking!$W$4:$W$725,5),Benchmarking!$W$4:$W$725,0))</f>
        <v>660</v>
      </c>
      <c r="F190" s="28">
        <f>INDEX(Benchmarking!$H$4:$H$725,MATCH(LARGE(Benchmarking!$W$4:$W$725,5),Benchmarking!$W$4:$W$725,0))</f>
        <v>1117.7619047619048</v>
      </c>
      <c r="G190" s="35">
        <f>INDEX(Benchmarking!$I$4:$I$725,MATCH(LARGE(Benchmarking!$W$4:$W$725,5),Benchmarking!$W$4:$W$725,0))</f>
        <v>-457.76190476190482</v>
      </c>
    </row>
    <row r="191" spans="1:7" ht="15" customHeight="1" x14ac:dyDescent="0.35">
      <c r="A191" s="25">
        <v>6</v>
      </c>
      <c r="B191" s="26" t="str">
        <f>INDEX(Benchmarking!$A$4:$A$725,MATCH(LARGE(Benchmarking!$W$4:$W$725,6),Benchmarking!$W$4:$W$725,0))</f>
        <v>Dow Inc</v>
      </c>
      <c r="C191" s="26" t="str">
        <f>INDEX(Benchmarking!$B$4:$B$725,MATCH(LARGE(Benchmarking!$W$4:$W$725,6),Benchmarking!$W$4:$W$725,0))</f>
        <v>dow</v>
      </c>
      <c r="D191" s="26" t="str">
        <f>INDEX(Benchmarking!$C$4:$C$725,MATCH(LARGE(Benchmarking!$W$4:$W$725,6),Benchmarking!$W$4:$W$725,0))</f>
        <v>Chemicals</v>
      </c>
      <c r="E191" s="27">
        <f>INDEX(Benchmarking!$G$4:$G$725,MATCH(LARGE(Benchmarking!$W$4:$W$725,6),Benchmarking!$W$4:$W$725,0))</f>
        <v>626</v>
      </c>
      <c r="F191" s="28">
        <f>INDEX(Benchmarking!$H$4:$H$725,MATCH(LARGE(Benchmarking!$W$4:$W$725,6),Benchmarking!$W$4:$W$725,0))</f>
        <v>1058.8947368421052</v>
      </c>
      <c r="G191" s="35">
        <f>INDEX(Benchmarking!$I$4:$I$725,MATCH(LARGE(Benchmarking!$W$4:$W$725,6),Benchmarking!$W$4:$W$725,0))</f>
        <v>-432.8947368421052</v>
      </c>
    </row>
    <row r="192" spans="1:7" ht="15" customHeight="1" x14ac:dyDescent="0.35">
      <c r="A192" s="25">
        <v>7</v>
      </c>
      <c r="B192" s="26" t="str">
        <f>INDEX(Benchmarking!$A$4:$A$725,MATCH(LARGE(Benchmarking!$W$4:$W$725,7),Benchmarking!$W$4:$W$725,0))</f>
        <v>Advanced Micro Devices Inc</v>
      </c>
      <c r="C192" s="26" t="str">
        <f>INDEX(Benchmarking!$B$4:$B$725,MATCH(LARGE(Benchmarking!$W$4:$W$725,7),Benchmarking!$W$4:$W$725,0))</f>
        <v>amd</v>
      </c>
      <c r="D192" s="26" t="str">
        <f>INDEX(Benchmarking!$C$4:$C$725,MATCH(LARGE(Benchmarking!$W$4:$W$725,7),Benchmarking!$W$4:$W$725,0))</f>
        <v>Semiconductors</v>
      </c>
      <c r="E192" s="27">
        <f>INDEX(Benchmarking!$G$4:$G$725,MATCH(LARGE(Benchmarking!$W$4:$W$725,7),Benchmarking!$W$4:$W$725,0))</f>
        <v>608</v>
      </c>
      <c r="F192" s="28">
        <f>INDEX(Benchmarking!$H$4:$H$725,MATCH(LARGE(Benchmarking!$W$4:$W$725,7),Benchmarking!$W$4:$W$725,0))</f>
        <v>1030.5833333333333</v>
      </c>
      <c r="G192" s="35">
        <f>INDEX(Benchmarking!$I$4:$I$725,MATCH(LARGE(Benchmarking!$W$4:$W$725,7),Benchmarking!$W$4:$W$725,0))</f>
        <v>-422.58333333333326</v>
      </c>
    </row>
    <row r="193" spans="1:7" ht="15" customHeight="1" x14ac:dyDescent="0.35">
      <c r="A193" s="25">
        <v>8</v>
      </c>
      <c r="B193" s="26" t="str">
        <f>INDEX(Benchmarking!$A$4:$A$725,MATCH(LARGE(Benchmarking!$W$4:$W$725,8),Benchmarking!$W$4:$W$725,0))</f>
        <v>HEICO Corp</v>
      </c>
      <c r="C193" s="26" t="str">
        <f>INDEX(Benchmarking!$B$4:$B$725,MATCH(LARGE(Benchmarking!$W$4:$W$725,8),Benchmarking!$W$4:$W$725,0))</f>
        <v>hei</v>
      </c>
      <c r="D193" s="26" t="str">
        <f>INDEX(Benchmarking!$C$4:$C$725,MATCH(LARGE(Benchmarking!$W$4:$W$725,8),Benchmarking!$W$4:$W$725,0))</f>
        <v>Aerospace &amp; Defense</v>
      </c>
      <c r="E193" s="27">
        <f>INDEX(Benchmarking!$G$4:$G$725,MATCH(LARGE(Benchmarking!$W$4:$W$725,8),Benchmarking!$W$4:$W$725,0))</f>
        <v>633</v>
      </c>
      <c r="F193" s="28">
        <f>INDEX(Benchmarking!$H$4:$H$725,MATCH(LARGE(Benchmarking!$W$4:$W$725,8),Benchmarking!$W$4:$W$725,0))</f>
        <v>1048.1818181818182</v>
      </c>
      <c r="G193" s="35">
        <f>INDEX(Benchmarking!$I$4:$I$725,MATCH(LARGE(Benchmarking!$W$4:$W$725,8),Benchmarking!$W$4:$W$725,0))</f>
        <v>-415.18181818181824</v>
      </c>
    </row>
    <row r="194" spans="1:7" ht="15" customHeight="1" x14ac:dyDescent="0.35">
      <c r="A194" s="25">
        <v>9</v>
      </c>
      <c r="B194" s="26" t="str">
        <f>INDEX(Benchmarking!$A$4:$A$725,MATCH(LARGE(Benchmarking!$W$4:$W$725,9),Benchmarking!$W$4:$W$725,0))</f>
        <v>Adobe Inc</v>
      </c>
      <c r="C194" s="26" t="str">
        <f>INDEX(Benchmarking!$B$4:$B$725,MATCH(LARGE(Benchmarking!$W$4:$W$725,9),Benchmarking!$W$4:$W$725,0))</f>
        <v>adbe</v>
      </c>
      <c r="D194" s="26" t="str">
        <f>INDEX(Benchmarking!$C$4:$C$725,MATCH(LARGE(Benchmarking!$W$4:$W$725,9),Benchmarking!$W$4:$W$725,0))</f>
        <v>Technology</v>
      </c>
      <c r="E194" s="27">
        <f>INDEX(Benchmarking!$G$4:$G$725,MATCH(LARGE(Benchmarking!$W$4:$W$725,9),Benchmarking!$W$4:$W$725,0))</f>
        <v>621</v>
      </c>
      <c r="F194" s="28">
        <f>INDEX(Benchmarking!$H$4:$H$725,MATCH(LARGE(Benchmarking!$W$4:$W$725,9),Benchmarking!$W$4:$W$725,0))</f>
        <v>1031.3174603174602</v>
      </c>
      <c r="G194" s="35">
        <f>INDEX(Benchmarking!$I$4:$I$725,MATCH(LARGE(Benchmarking!$W$4:$W$725,9),Benchmarking!$W$4:$W$725,0))</f>
        <v>-410.31746031746025</v>
      </c>
    </row>
    <row r="195" spans="1:7" ht="15" customHeight="1" x14ac:dyDescent="0.35">
      <c r="A195" s="25">
        <v>10</v>
      </c>
      <c r="B195" s="26" t="str">
        <f>INDEX(Benchmarking!$A$4:$A$725,MATCH(LARGE(Benchmarking!$W$4:$W$725,10),Benchmarking!$W$4:$W$725,0))</f>
        <v>Broadcom Inc</v>
      </c>
      <c r="C195" s="26" t="str">
        <f>INDEX(Benchmarking!$B$4:$B$725,MATCH(LARGE(Benchmarking!$W$4:$W$725,10),Benchmarking!$W$4:$W$725,0))</f>
        <v>avgo</v>
      </c>
      <c r="D195" s="26" t="str">
        <f>INDEX(Benchmarking!$C$4:$C$725,MATCH(LARGE(Benchmarking!$W$4:$W$725,10),Benchmarking!$W$4:$W$725,0))</f>
        <v>Semiconductors</v>
      </c>
      <c r="E195" s="27">
        <f>INDEX(Benchmarking!$G$4:$G$725,MATCH(LARGE(Benchmarking!$W$4:$W$725,10),Benchmarking!$W$4:$W$725,0))</f>
        <v>622</v>
      </c>
      <c r="F195" s="28">
        <f>INDEX(Benchmarking!$H$4:$H$725,MATCH(LARGE(Benchmarking!$W$4:$W$725,10),Benchmarking!$W$4:$W$725,0))</f>
        <v>1030.5833333333333</v>
      </c>
      <c r="G195" s="35">
        <f>INDEX(Benchmarking!$I$4:$I$725,MATCH(LARGE(Benchmarking!$W$4:$W$725,10),Benchmarking!$W$4:$W$725,0))</f>
        <v>-408.58333333333326</v>
      </c>
    </row>
    <row r="196" spans="1:7" ht="15" customHeight="1" x14ac:dyDescent="0.35">
      <c r="A196" s="25">
        <v>11</v>
      </c>
      <c r="B196" s="26" t="str">
        <f>INDEX(Benchmarking!$A$4:$A$725,MATCH(LARGE(Benchmarking!$W$4:$W$725,11),Benchmarking!$W$4:$W$725,0))</f>
        <v>Cheetah Mobile Inc</v>
      </c>
      <c r="C196" s="26" t="str">
        <f>INDEX(Benchmarking!$B$4:$B$725,MATCH(LARGE(Benchmarking!$W$4:$W$725,11),Benchmarking!$W$4:$W$725,0))</f>
        <v>cmcm</v>
      </c>
      <c r="D196" s="26" t="str">
        <f>INDEX(Benchmarking!$C$4:$C$725,MATCH(LARGE(Benchmarking!$W$4:$W$725,11),Benchmarking!$W$4:$W$725,0))</f>
        <v>Technology</v>
      </c>
      <c r="E196" s="27">
        <f>INDEX(Benchmarking!$G$4:$G$725,MATCH(LARGE(Benchmarking!$W$4:$W$725,11),Benchmarking!$W$4:$W$725,0))</f>
        <v>634</v>
      </c>
      <c r="F196" s="28">
        <f>INDEX(Benchmarking!$H$4:$H$725,MATCH(LARGE(Benchmarking!$W$4:$W$725,11),Benchmarking!$W$4:$W$725,0))</f>
        <v>1031.3174603174602</v>
      </c>
      <c r="G196" s="35">
        <f>INDEX(Benchmarking!$I$4:$I$725,MATCH(LARGE(Benchmarking!$W$4:$W$725,11),Benchmarking!$W$4:$W$725,0))</f>
        <v>-397.31746031746025</v>
      </c>
    </row>
    <row r="197" spans="1:7" ht="15" customHeight="1" x14ac:dyDescent="0.35">
      <c r="A197" s="25">
        <v>12</v>
      </c>
      <c r="B197" s="26" t="str">
        <f>INDEX(Benchmarking!$A$4:$A$725,MATCH(LARGE(Benchmarking!$W$4:$W$725,12),Benchmarking!$W$4:$W$725,0))</f>
        <v>Western Union Co</v>
      </c>
      <c r="C197" s="26" t="str">
        <f>INDEX(Benchmarking!$B$4:$B$725,MATCH(LARGE(Benchmarking!$W$4:$W$725,12),Benchmarking!$W$4:$W$725,0))</f>
        <v>wu</v>
      </c>
      <c r="D197" s="26" t="str">
        <f>INDEX(Benchmarking!$C$4:$C$725,MATCH(LARGE(Benchmarking!$W$4:$W$725,12),Benchmarking!$W$4:$W$725,0))</f>
        <v>Technology</v>
      </c>
      <c r="E197" s="27">
        <f>INDEX(Benchmarking!$G$4:$G$725,MATCH(LARGE(Benchmarking!$W$4:$W$725,12),Benchmarking!$W$4:$W$725,0))</f>
        <v>638</v>
      </c>
      <c r="F197" s="28">
        <f>INDEX(Benchmarking!$H$4:$H$725,MATCH(LARGE(Benchmarking!$W$4:$W$725,12),Benchmarking!$W$4:$W$725,0))</f>
        <v>1031.3174603174602</v>
      </c>
      <c r="G197" s="35">
        <f>INDEX(Benchmarking!$I$4:$I$725,MATCH(LARGE(Benchmarking!$W$4:$W$725,12),Benchmarking!$W$4:$W$725,0))</f>
        <v>-393.31746031746025</v>
      </c>
    </row>
    <row r="198" spans="1:7" ht="15" customHeight="1" x14ac:dyDescent="0.35">
      <c r="A198" s="25">
        <v>13</v>
      </c>
      <c r="B198" s="26" t="str">
        <f>INDEX(Benchmarking!$A$4:$A$725,MATCH(LARGE(Benchmarking!$W$4:$W$725,13),Benchmarking!$W$4:$W$725,0))</f>
        <v>CBRE Group Inc</v>
      </c>
      <c r="C198" s="26" t="str">
        <f>INDEX(Benchmarking!$B$4:$B$725,MATCH(LARGE(Benchmarking!$W$4:$W$725,13),Benchmarking!$W$4:$W$725,0))</f>
        <v>cbre</v>
      </c>
      <c r="D198" s="26" t="str">
        <f>INDEX(Benchmarking!$C$4:$C$725,MATCH(LARGE(Benchmarking!$W$4:$W$725,13),Benchmarking!$W$4:$W$725,0))</f>
        <v>Real Estate</v>
      </c>
      <c r="E198" s="27">
        <f>INDEX(Benchmarking!$G$4:$G$725,MATCH(LARGE(Benchmarking!$W$4:$W$725,13),Benchmarking!$W$4:$W$725,0))</f>
        <v>609</v>
      </c>
      <c r="F198" s="28">
        <f>INDEX(Benchmarking!$H$4:$H$725,MATCH(LARGE(Benchmarking!$W$4:$W$725,13),Benchmarking!$W$4:$W$725,0))</f>
        <v>995.94444444444446</v>
      </c>
      <c r="G198" s="35">
        <f>INDEX(Benchmarking!$I$4:$I$725,MATCH(LARGE(Benchmarking!$W$4:$W$725,13),Benchmarking!$W$4:$W$725,0))</f>
        <v>-386.94444444444446</v>
      </c>
    </row>
    <row r="199" spans="1:7" ht="15" customHeight="1" x14ac:dyDescent="0.35">
      <c r="A199" s="25">
        <v>14</v>
      </c>
      <c r="B199" s="26" t="str">
        <f>INDEX(Benchmarking!$A$4:$A$725,MATCH(LARGE(Benchmarking!$W$4:$W$725,14),Benchmarking!$W$4:$W$725,0))</f>
        <v>Carrier Global Corp</v>
      </c>
      <c r="C199" s="26" t="str">
        <f>INDEX(Benchmarking!$B$4:$B$725,MATCH(LARGE(Benchmarking!$W$4:$W$725,14),Benchmarking!$W$4:$W$725,0))</f>
        <v>carr</v>
      </c>
      <c r="D199" s="26" t="str">
        <f>INDEX(Benchmarking!$C$4:$C$725,MATCH(LARGE(Benchmarking!$W$4:$W$725,14),Benchmarking!$W$4:$W$725,0))</f>
        <v>Building</v>
      </c>
      <c r="E199" s="27">
        <f>INDEX(Benchmarking!$G$4:$G$725,MATCH(LARGE(Benchmarking!$W$4:$W$725,14),Benchmarking!$W$4:$W$725,0))</f>
        <v>694</v>
      </c>
      <c r="F199" s="28">
        <f>INDEX(Benchmarking!$H$4:$H$725,MATCH(LARGE(Benchmarking!$W$4:$W$725,14),Benchmarking!$W$4:$W$725,0))</f>
        <v>1074.2</v>
      </c>
      <c r="G199" s="35">
        <f>INDEX(Benchmarking!$I$4:$I$725,MATCH(LARGE(Benchmarking!$W$4:$W$725,14),Benchmarking!$W$4:$W$725,0))</f>
        <v>-380.20000000000005</v>
      </c>
    </row>
    <row r="200" spans="1:7" ht="15" customHeight="1" x14ac:dyDescent="0.35">
      <c r="A200" s="25">
        <v>15</v>
      </c>
      <c r="B200" s="26" t="str">
        <f>INDEX(Benchmarking!$A$4:$A$725,MATCH(LARGE(Benchmarking!$W$4:$W$725,15),Benchmarking!$W$4:$W$725,0))</f>
        <v>Mastercard Inc</v>
      </c>
      <c r="C200" s="26" t="str">
        <f>INDEX(Benchmarking!$B$4:$B$725,MATCH(LARGE(Benchmarking!$W$4:$W$725,15),Benchmarking!$W$4:$W$725,0))</f>
        <v>ma</v>
      </c>
      <c r="D200" s="26" t="str">
        <f>INDEX(Benchmarking!$C$4:$C$725,MATCH(LARGE(Benchmarking!$W$4:$W$725,15),Benchmarking!$W$4:$W$725,0))</f>
        <v>Technology</v>
      </c>
      <c r="E200" s="27">
        <f>INDEX(Benchmarking!$G$4:$G$725,MATCH(LARGE(Benchmarking!$W$4:$W$725,15),Benchmarking!$W$4:$W$725,0))</f>
        <v>655</v>
      </c>
      <c r="F200" s="28">
        <f>INDEX(Benchmarking!$H$4:$H$725,MATCH(LARGE(Benchmarking!$W$4:$W$725,15),Benchmarking!$W$4:$W$725,0))</f>
        <v>1031.3174603174602</v>
      </c>
      <c r="G200" s="35">
        <f>INDEX(Benchmarking!$I$4:$I$725,MATCH(LARGE(Benchmarking!$W$4:$W$725,15),Benchmarking!$W$4:$W$725,0))</f>
        <v>-376.31746031746025</v>
      </c>
    </row>
  </sheetData>
  <mergeCells count="13">
    <mergeCell ref="A148:F148"/>
    <mergeCell ref="A166:F166"/>
    <mergeCell ref="A184:F184"/>
    <mergeCell ref="A58:F58"/>
    <mergeCell ref="A76:F76"/>
    <mergeCell ref="A127:F127"/>
    <mergeCell ref="A128:F128"/>
    <mergeCell ref="A130:F130"/>
    <mergeCell ref="A1:F1"/>
    <mergeCell ref="A2:F2"/>
    <mergeCell ref="A4:F4"/>
    <mergeCell ref="A22:F22"/>
    <mergeCell ref="A40:F4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08D57"/>
  </sheetPr>
  <dimension ref="A1:L101"/>
  <sheetViews>
    <sheetView showGridLines="0" zoomScaleNormal="100" workbookViewId="0">
      <selection sqref="A1:L1"/>
    </sheetView>
  </sheetViews>
  <sheetFormatPr defaultColWidth="8.6328125" defaultRowHeight="14.5" x14ac:dyDescent="0.35"/>
  <cols>
    <col min="1" max="12" width="13" customWidth="1"/>
  </cols>
  <sheetData>
    <row r="1" spans="1:12" ht="30" customHeight="1" x14ac:dyDescent="0.35">
      <c r="A1" s="14" t="s">
        <v>2997</v>
      </c>
      <c r="B1" s="14"/>
      <c r="C1" s="14"/>
      <c r="D1" s="14"/>
      <c r="E1" s="14"/>
      <c r="F1" s="14"/>
      <c r="G1" s="14"/>
      <c r="H1" s="14"/>
      <c r="I1" s="14"/>
      <c r="J1" s="14"/>
      <c r="K1" s="14"/>
      <c r="L1" s="14"/>
    </row>
    <row r="2" spans="1:12" ht="18" customHeight="1" x14ac:dyDescent="0.35">
      <c r="A2" s="13" t="s">
        <v>2998</v>
      </c>
      <c r="B2" s="13"/>
      <c r="C2" s="13"/>
      <c r="D2" s="13"/>
      <c r="E2" s="13"/>
      <c r="F2" s="13"/>
      <c r="G2" s="13"/>
      <c r="H2" s="13"/>
      <c r="I2" s="13"/>
      <c r="J2" s="13"/>
      <c r="K2" s="13"/>
      <c r="L2" s="13"/>
    </row>
    <row r="4" spans="1:12" ht="15" customHeight="1" x14ac:dyDescent="0.35">
      <c r="A4" s="36" t="s">
        <v>2999</v>
      </c>
    </row>
    <row r="5" spans="1:12" ht="25.5" customHeight="1" x14ac:dyDescent="0.35">
      <c r="A5" s="9" t="s">
        <v>3000</v>
      </c>
      <c r="B5" s="9"/>
      <c r="C5" s="9" t="s">
        <v>3001</v>
      </c>
      <c r="D5" s="9"/>
      <c r="E5" s="9" t="s">
        <v>3002</v>
      </c>
      <c r="F5" s="9"/>
      <c r="G5" s="9" t="s">
        <v>3003</v>
      </c>
      <c r="H5" s="9"/>
      <c r="I5" s="9" t="s">
        <v>3004</v>
      </c>
      <c r="J5" s="9"/>
      <c r="K5" s="9" t="s">
        <v>3005</v>
      </c>
      <c r="L5" s="9"/>
    </row>
    <row r="6" spans="1:12" ht="30" customHeight="1" x14ac:dyDescent="0.35">
      <c r="A6" s="8">
        <f>COUNTA(Benchmarking!B4:B725)</f>
        <v>722</v>
      </c>
      <c r="B6" s="8"/>
      <c r="C6" s="8">
        <f>47</f>
        <v>47</v>
      </c>
      <c r="D6" s="8"/>
      <c r="E6" s="7">
        <f>AVERAGE(Benchmarking!G4:G725)</f>
        <v>975.7506925207756</v>
      </c>
      <c r="F6" s="7"/>
      <c r="G6" s="7">
        <f>AVERAGE(Benchmarking!D4:D725)</f>
        <v>404.80609418282546</v>
      </c>
      <c r="H6" s="7"/>
      <c r="I6" s="7">
        <f>AVERAGE(Benchmarking!E4:E725)</f>
        <v>292.18282548476452</v>
      </c>
      <c r="J6" s="7"/>
      <c r="K6" s="7">
        <f>AVERAGE(Benchmarking!F4:F725)</f>
        <v>278.76177285318562</v>
      </c>
      <c r="L6" s="7"/>
    </row>
    <row r="8" spans="1:12" ht="25.5" customHeight="1" x14ac:dyDescent="0.35">
      <c r="A8" s="9" t="s">
        <v>3006</v>
      </c>
      <c r="B8" s="9"/>
      <c r="C8" s="9" t="s">
        <v>3007</v>
      </c>
      <c r="D8" s="9"/>
      <c r="E8" s="9" t="s">
        <v>3008</v>
      </c>
      <c r="F8" s="9"/>
      <c r="G8" s="9" t="s">
        <v>3009</v>
      </c>
      <c r="H8" s="9"/>
      <c r="I8" s="9" t="s">
        <v>3010</v>
      </c>
      <c r="J8" s="9"/>
      <c r="K8" s="9" t="s">
        <v>3011</v>
      </c>
      <c r="L8" s="9"/>
    </row>
    <row r="9" spans="1:12" ht="30" customHeight="1" x14ac:dyDescent="0.35">
      <c r="A9" s="6" t="str">
        <f>Rankings!B6</f>
        <v>Conocophillips</v>
      </c>
      <c r="B9" s="6"/>
      <c r="C9" s="6" t="str">
        <f>Rankings!B78</f>
        <v>Utilities</v>
      </c>
      <c r="D9" s="6"/>
      <c r="E9" s="6" t="str">
        <f>Rankings!B150</f>
        <v>CMS Energy Corp</v>
      </c>
      <c r="F9" s="6"/>
      <c r="G9" s="8">
        <f>COUNTIF(Benchmarking!I4:I725,"&lt;0")</f>
        <v>329</v>
      </c>
      <c r="H9" s="8"/>
      <c r="I9" s="8">
        <f>SUMPRODUCT(--('Pillar Analysis'!Q4:Q725&lt;&gt;""))</f>
        <v>43</v>
      </c>
      <c r="J9" s="8"/>
      <c r="K9" s="7">
        <f>MEDIAN(Benchmarking!G4:G725)</f>
        <v>1046</v>
      </c>
      <c r="L9" s="7"/>
    </row>
    <row r="11" spans="1:12" ht="21.75" customHeight="1" x14ac:dyDescent="0.35">
      <c r="A11" s="10" t="s">
        <v>3012</v>
      </c>
      <c r="B11" s="10"/>
      <c r="C11" s="10"/>
      <c r="D11" s="10"/>
      <c r="E11" s="10"/>
      <c r="F11" s="10"/>
      <c r="G11" s="10"/>
      <c r="H11" s="10"/>
      <c r="I11" s="10"/>
      <c r="J11" s="10"/>
      <c r="K11" s="10"/>
      <c r="L11" s="10"/>
    </row>
    <row r="13" spans="1:12" ht="15" customHeight="1" x14ac:dyDescent="0.35">
      <c r="A13" s="5" t="s">
        <v>3013</v>
      </c>
      <c r="B13" s="5"/>
      <c r="C13" s="5"/>
      <c r="D13" s="5"/>
      <c r="E13" s="5"/>
      <c r="F13" s="5"/>
      <c r="G13" s="5" t="s">
        <v>3014</v>
      </c>
      <c r="H13" s="5"/>
      <c r="I13" s="5"/>
      <c r="J13" s="5"/>
      <c r="K13" s="5"/>
      <c r="L13" s="5"/>
    </row>
    <row r="33" spans="1:12" ht="15" customHeight="1" x14ac:dyDescent="0.35">
      <c r="A33" s="5" t="s">
        <v>3015</v>
      </c>
      <c r="B33" s="5"/>
      <c r="C33" s="5"/>
      <c r="D33" s="5"/>
      <c r="E33" s="5"/>
      <c r="F33" s="5"/>
      <c r="G33" s="5" t="s">
        <v>3016</v>
      </c>
      <c r="H33" s="5"/>
      <c r="I33" s="5"/>
      <c r="J33" s="5"/>
      <c r="K33" s="5"/>
      <c r="L33" s="5"/>
    </row>
    <row r="53" spans="1:12" ht="15" customHeight="1" x14ac:dyDescent="0.35">
      <c r="A53" s="5" t="s">
        <v>3017</v>
      </c>
      <c r="B53" s="5"/>
      <c r="C53" s="5"/>
      <c r="D53" s="5"/>
      <c r="E53" s="5"/>
      <c r="F53" s="5"/>
      <c r="G53" s="5" t="s">
        <v>3018</v>
      </c>
      <c r="H53" s="5"/>
      <c r="I53" s="5"/>
      <c r="J53" s="5"/>
      <c r="K53" s="5"/>
      <c r="L53" s="5"/>
    </row>
    <row r="62" spans="1:12" ht="15" customHeight="1" x14ac:dyDescent="0.35">
      <c r="A62" s="37" t="s">
        <v>3019</v>
      </c>
    </row>
    <row r="63" spans="1:12" ht="15" customHeight="1" x14ac:dyDescent="0.35">
      <c r="A63" t="s">
        <v>3020</v>
      </c>
      <c r="B63" t="s">
        <v>3021</v>
      </c>
    </row>
    <row r="64" spans="1:12" ht="15" customHeight="1" x14ac:dyDescent="0.35">
      <c r="A64" t="s">
        <v>3022</v>
      </c>
      <c r="B64" s="18">
        <f>AVERAGE(Benchmarking!D4:D725)</f>
        <v>404.80609418282546</v>
      </c>
    </row>
    <row r="65" spans="1:2" ht="15" customHeight="1" x14ac:dyDescent="0.35">
      <c r="A65" t="s">
        <v>3023</v>
      </c>
      <c r="B65" s="18">
        <f>AVERAGE(Benchmarking!E4:E725)</f>
        <v>292.18282548476452</v>
      </c>
    </row>
    <row r="66" spans="1:2" ht="15" customHeight="1" x14ac:dyDescent="0.35">
      <c r="A66" t="s">
        <v>3024</v>
      </c>
      <c r="B66" s="18">
        <f>AVERAGE(Benchmarking!F4:F725)</f>
        <v>278.76177285318562</v>
      </c>
    </row>
    <row r="68" spans="1:2" ht="15" customHeight="1" x14ac:dyDescent="0.35">
      <c r="A68" t="s">
        <v>3025</v>
      </c>
      <c r="B68" t="s">
        <v>3026</v>
      </c>
    </row>
    <row r="69" spans="1:2" ht="15" customHeight="1" x14ac:dyDescent="0.35">
      <c r="A69" t="s">
        <v>3027</v>
      </c>
      <c r="B69">
        <f>COUNTIFS(Benchmarking!$G$4:$G$725,"&gt;="&amp;600,Benchmarking!$G$4:$G$725,"&lt;"&amp;700)</f>
        <v>118</v>
      </c>
    </row>
    <row r="70" spans="1:2" ht="15" customHeight="1" x14ac:dyDescent="0.35">
      <c r="A70" t="s">
        <v>3028</v>
      </c>
      <c r="B70">
        <f>COUNTIFS(Benchmarking!$G$4:$G$725,"&gt;="&amp;700,Benchmarking!$G$4:$G$725,"&lt;"&amp;800)</f>
        <v>88</v>
      </c>
    </row>
    <row r="71" spans="1:2" ht="15" customHeight="1" x14ac:dyDescent="0.35">
      <c r="A71" t="s">
        <v>3029</v>
      </c>
      <c r="B71">
        <f>COUNTIFS(Benchmarking!$G$4:$G$725,"&gt;="&amp;800,Benchmarking!$G$4:$G$725,"&lt;"&amp;900)</f>
        <v>65</v>
      </c>
    </row>
    <row r="72" spans="1:2" ht="15" customHeight="1" x14ac:dyDescent="0.35">
      <c r="A72" t="s">
        <v>3030</v>
      </c>
      <c r="B72">
        <f>COUNTIFS(Benchmarking!$G$4:$G$725,"&gt;="&amp;900,Benchmarking!$G$4:$G$725,"&lt;"&amp;1000)</f>
        <v>57</v>
      </c>
    </row>
    <row r="73" spans="1:2" ht="15" customHeight="1" x14ac:dyDescent="0.35">
      <c r="A73" t="s">
        <v>3031</v>
      </c>
      <c r="B73">
        <f>COUNTIFS(Benchmarking!$G$4:$G$725,"&gt;="&amp;1000,Benchmarking!$G$4:$G$725,"&lt;"&amp;1100)</f>
        <v>82</v>
      </c>
    </row>
    <row r="74" spans="1:2" ht="15" customHeight="1" x14ac:dyDescent="0.35">
      <c r="A74" t="s">
        <v>3032</v>
      </c>
      <c r="B74">
        <f>COUNTIFS(Benchmarking!$G$4:$G$725,"&gt;="&amp;1100,Benchmarking!$G$4:$G$725,"&lt;"&amp;1200)</f>
        <v>229</v>
      </c>
    </row>
    <row r="75" spans="1:2" ht="15" customHeight="1" x14ac:dyDescent="0.35">
      <c r="A75" t="s">
        <v>3033</v>
      </c>
      <c r="B75">
        <f>COUNTIFS(Benchmarking!$G$4:$G$725,"&gt;="&amp;1200,Benchmarking!$G$4:$G$725,"&lt;"&amp;1300)</f>
        <v>59</v>
      </c>
    </row>
    <row r="76" spans="1:2" ht="15" customHeight="1" x14ac:dyDescent="0.35">
      <c r="A76" t="s">
        <v>3034</v>
      </c>
      <c r="B76">
        <f>COUNTIFS(Benchmarking!$G$4:$G$725,"&gt;="&amp;1300,Benchmarking!$G$4:$G$725,"&lt;"&amp;1400)</f>
        <v>12</v>
      </c>
    </row>
    <row r="77" spans="1:2" ht="15" customHeight="1" x14ac:dyDescent="0.35">
      <c r="A77" t="s">
        <v>3035</v>
      </c>
      <c r="B77">
        <f>COUNTIFS(Benchmarking!$G$4:$G$725,"&gt;="&amp;1400,Benchmarking!$G$4:$G$725,"&lt;"&amp;1500)</f>
        <v>9</v>
      </c>
    </row>
    <row r="78" spans="1:2" ht="15" customHeight="1" x14ac:dyDescent="0.35">
      <c r="A78" t="s">
        <v>3036</v>
      </c>
      <c r="B78">
        <f>COUNTIFS(Benchmarking!$G$4:$G$725,"&gt;="&amp;1500,Benchmarking!$G$4:$G$725,"&lt;="&amp;1600)</f>
        <v>3</v>
      </c>
    </row>
    <row r="80" spans="1:2" ht="15" customHeight="1" x14ac:dyDescent="0.35">
      <c r="A80" s="37" t="s">
        <v>3037</v>
      </c>
    </row>
    <row r="81" spans="1:2" ht="15" customHeight="1" x14ac:dyDescent="0.35">
      <c r="A81" t="s">
        <v>2941</v>
      </c>
      <c r="B81" t="s">
        <v>2995</v>
      </c>
    </row>
    <row r="82" spans="1:2" ht="15" customHeight="1" x14ac:dyDescent="0.35">
      <c r="A82" t="str">
        <f>Rankings!B168</f>
        <v>Airbnb Inc</v>
      </c>
      <c r="B82" s="19">
        <f>Rankings!G168</f>
        <v>556.13636363636363</v>
      </c>
    </row>
    <row r="83" spans="1:2" ht="15" customHeight="1" x14ac:dyDescent="0.35">
      <c r="A83" t="str">
        <f>Rankings!B169</f>
        <v>Amazon.com Inc</v>
      </c>
      <c r="B83" s="19">
        <f>Rankings!G169</f>
        <v>514.42307692307691</v>
      </c>
    </row>
    <row r="84" spans="1:2" ht="15" customHeight="1" x14ac:dyDescent="0.35">
      <c r="A84" t="str">
        <f>Rankings!B170</f>
        <v>Microsoft Corp</v>
      </c>
      <c r="B84" s="19">
        <f>Rankings!G170</f>
        <v>501.68253968253975</v>
      </c>
    </row>
    <row r="85" spans="1:2" ht="15" customHeight="1" x14ac:dyDescent="0.35">
      <c r="A85" t="str">
        <f>Rankings!B171</f>
        <v>Newmont Corporation</v>
      </c>
      <c r="B85" s="19">
        <f>Rankings!G171</f>
        <v>432</v>
      </c>
    </row>
    <row r="86" spans="1:2" ht="15" customHeight="1" x14ac:dyDescent="0.35">
      <c r="A86" t="str">
        <f>Rankings!B172</f>
        <v>Conocophillips</v>
      </c>
      <c r="B86" s="19">
        <f>Rankings!G172</f>
        <v>418.23809523809518</v>
      </c>
    </row>
    <row r="87" spans="1:2" ht="15" customHeight="1" x14ac:dyDescent="0.35">
      <c r="A87" t="str">
        <f>Rankings!B173</f>
        <v>Air Products and Chemicals Inc</v>
      </c>
      <c r="B87" s="19">
        <f>Rankings!G173</f>
        <v>383.1052631578948</v>
      </c>
    </row>
    <row r="88" spans="1:2" ht="15" customHeight="1" x14ac:dyDescent="0.35">
      <c r="A88" t="str">
        <f>Rankings!B174</f>
        <v>Aptiv PLC</v>
      </c>
      <c r="B88" s="19">
        <f>Rankings!G174</f>
        <v>370.66666666666663</v>
      </c>
    </row>
    <row r="89" spans="1:2" ht="15" customHeight="1" x14ac:dyDescent="0.35">
      <c r="A89" t="str">
        <f>Rankings!B175</f>
        <v>Becton Dickinson and Co</v>
      </c>
      <c r="B89" s="19">
        <f>Rankings!G175</f>
        <v>367.23529411764707</v>
      </c>
    </row>
    <row r="90" spans="1:2" ht="15" customHeight="1" x14ac:dyDescent="0.35">
      <c r="A90" t="str">
        <f>Rankings!B176</f>
        <v>Hannon Armstrong Sustainable Infrastructure Capital Inc</v>
      </c>
      <c r="B90" s="19">
        <f>Rankings!G176</f>
        <v>367.05555555555554</v>
      </c>
    </row>
    <row r="91" spans="1:2" ht="15" customHeight="1" x14ac:dyDescent="0.35">
      <c r="A91" t="str">
        <f>Rankings!B177</f>
        <v>Amphenol Corp</v>
      </c>
      <c r="B91" s="19">
        <f>Rankings!G177</f>
        <v>357</v>
      </c>
    </row>
    <row r="92" spans="1:2" ht="15" customHeight="1" x14ac:dyDescent="0.35">
      <c r="A92" t="str">
        <f>Rankings!B186</f>
        <v>Xcel Energy Inc</v>
      </c>
      <c r="B92" s="19">
        <f>Rankings!G186</f>
        <v>-561.63333333333344</v>
      </c>
    </row>
    <row r="93" spans="1:2" ht="15" customHeight="1" x14ac:dyDescent="0.35">
      <c r="A93" t="str">
        <f>Rankings!B187</f>
        <v>Granite Construction Inc</v>
      </c>
      <c r="B93" s="19">
        <f>Rankings!G187</f>
        <v>-482.66666666666674</v>
      </c>
    </row>
    <row r="94" spans="1:2" ht="15" customHeight="1" x14ac:dyDescent="0.35">
      <c r="A94" t="str">
        <f>Rankings!B188</f>
        <v>Chevron Corp</v>
      </c>
      <c r="B94" s="19">
        <f>Rankings!G188</f>
        <v>-480.76190476190482</v>
      </c>
    </row>
    <row r="95" spans="1:2" ht="15" customHeight="1" x14ac:dyDescent="0.35">
      <c r="A95" t="str">
        <f>Rankings!B189</f>
        <v>Coca-Cola Co</v>
      </c>
      <c r="B95" s="19">
        <f>Rankings!G189</f>
        <v>-460</v>
      </c>
    </row>
    <row r="96" spans="1:2" ht="15" customHeight="1" x14ac:dyDescent="0.35">
      <c r="A96" t="str">
        <f>Rankings!B190</f>
        <v>Primeenergy Resources Corp</v>
      </c>
      <c r="B96" s="19">
        <f>Rankings!G190</f>
        <v>-457.76190476190482</v>
      </c>
    </row>
    <row r="97" spans="1:2" ht="15" customHeight="1" x14ac:dyDescent="0.35">
      <c r="A97" t="str">
        <f>Rankings!B191</f>
        <v>Dow Inc</v>
      </c>
      <c r="B97" s="19">
        <f>Rankings!G191</f>
        <v>-432.8947368421052</v>
      </c>
    </row>
    <row r="98" spans="1:2" ht="15" customHeight="1" x14ac:dyDescent="0.35">
      <c r="A98" t="str">
        <f>Rankings!B192</f>
        <v>Advanced Micro Devices Inc</v>
      </c>
      <c r="B98" s="19">
        <f>Rankings!G192</f>
        <v>-422.58333333333326</v>
      </c>
    </row>
    <row r="99" spans="1:2" ht="15" customHeight="1" x14ac:dyDescent="0.35">
      <c r="A99" t="str">
        <f>Rankings!B193</f>
        <v>HEICO Corp</v>
      </c>
      <c r="B99" s="19">
        <f>Rankings!G193</f>
        <v>-415.18181818181824</v>
      </c>
    </row>
    <row r="100" spans="1:2" ht="15" customHeight="1" x14ac:dyDescent="0.35">
      <c r="A100" t="str">
        <f>Rankings!B194</f>
        <v>Adobe Inc</v>
      </c>
      <c r="B100" s="19">
        <f>Rankings!G194</f>
        <v>-410.31746031746025</v>
      </c>
    </row>
    <row r="101" spans="1:2" ht="15" customHeight="1" x14ac:dyDescent="0.35">
      <c r="A101" t="str">
        <f>Rankings!B195</f>
        <v>Broadcom Inc</v>
      </c>
      <c r="B101" s="19">
        <f>Rankings!G195</f>
        <v>-408.58333333333326</v>
      </c>
    </row>
  </sheetData>
  <mergeCells count="33">
    <mergeCell ref="A53:F53"/>
    <mergeCell ref="G53:L53"/>
    <mergeCell ref="K9:L9"/>
    <mergeCell ref="A11:L11"/>
    <mergeCell ref="A13:F13"/>
    <mergeCell ref="G13:L13"/>
    <mergeCell ref="A33:F33"/>
    <mergeCell ref="G33:L33"/>
    <mergeCell ref="A9:B9"/>
    <mergeCell ref="C9:D9"/>
    <mergeCell ref="E9:F9"/>
    <mergeCell ref="G9:H9"/>
    <mergeCell ref="I9:J9"/>
    <mergeCell ref="K6:L6"/>
    <mergeCell ref="A8:B8"/>
    <mergeCell ref="C8:D8"/>
    <mergeCell ref="E8:F8"/>
    <mergeCell ref="G8:H8"/>
    <mergeCell ref="I8:J8"/>
    <mergeCell ref="K8:L8"/>
    <mergeCell ref="A6:B6"/>
    <mergeCell ref="C6:D6"/>
    <mergeCell ref="E6:F6"/>
    <mergeCell ref="G6:H6"/>
    <mergeCell ref="I6:J6"/>
    <mergeCell ref="A1:L1"/>
    <mergeCell ref="A2:L2"/>
    <mergeCell ref="A5:B5"/>
    <mergeCell ref="C5:D5"/>
    <mergeCell ref="E5:F5"/>
    <mergeCell ref="G5:H5"/>
    <mergeCell ref="I5:J5"/>
    <mergeCell ref="K5:L5"/>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8"/>
  <sheetViews>
    <sheetView showGridLines="0" topLeftCell="A61" zoomScaleNormal="100" workbookViewId="0">
      <selection sqref="A1:H1"/>
    </sheetView>
  </sheetViews>
  <sheetFormatPr defaultColWidth="8.6328125" defaultRowHeight="14.5" x14ac:dyDescent="0.35"/>
  <cols>
    <col min="1" max="1" width="16" customWidth="1"/>
    <col min="2" max="3" width="14" customWidth="1"/>
    <col min="4" max="8" width="10" customWidth="1"/>
  </cols>
  <sheetData>
    <row r="1" spans="1:8" ht="30" customHeight="1" x14ac:dyDescent="0.35">
      <c r="A1" s="14" t="s">
        <v>3038</v>
      </c>
      <c r="B1" s="14"/>
      <c r="C1" s="14"/>
      <c r="D1" s="14"/>
      <c r="E1" s="14"/>
      <c r="F1" s="14"/>
      <c r="G1" s="14"/>
      <c r="H1" s="14"/>
    </row>
    <row r="2" spans="1:8" ht="18" customHeight="1" x14ac:dyDescent="0.35">
      <c r="A2" s="13" t="s">
        <v>3039</v>
      </c>
      <c r="B2" s="13"/>
      <c r="C2" s="13"/>
      <c r="D2" s="13"/>
      <c r="E2" s="13"/>
      <c r="F2" s="13"/>
      <c r="G2" s="13"/>
      <c r="H2" s="13"/>
    </row>
    <row r="4" spans="1:8" ht="19.5" customHeight="1" x14ac:dyDescent="0.35">
      <c r="A4" s="12" t="s">
        <v>3040</v>
      </c>
      <c r="B4" s="12"/>
      <c r="C4" s="12"/>
      <c r="D4" s="12"/>
      <c r="E4" s="12"/>
      <c r="F4" s="12"/>
      <c r="G4" s="12"/>
      <c r="H4" s="12"/>
    </row>
    <row r="5" spans="1:8" ht="96" customHeight="1" x14ac:dyDescent="0.35">
      <c r="A5" s="4" t="s">
        <v>3041</v>
      </c>
      <c r="B5" s="4"/>
      <c r="C5" s="4"/>
      <c r="D5" s="4"/>
      <c r="E5" s="4"/>
      <c r="F5" s="4"/>
      <c r="G5" s="4"/>
      <c r="H5" s="4"/>
    </row>
    <row r="7" spans="1:8" ht="19.5" customHeight="1" x14ac:dyDescent="0.35">
      <c r="A7" s="12" t="s">
        <v>3042</v>
      </c>
      <c r="B7" s="12"/>
      <c r="C7" s="12"/>
      <c r="D7" s="12"/>
      <c r="E7" s="12"/>
      <c r="F7" s="12"/>
      <c r="G7" s="12"/>
      <c r="H7" s="12"/>
    </row>
    <row r="8" spans="1:8" ht="51" customHeight="1" x14ac:dyDescent="0.35">
      <c r="A8" s="4" t="s">
        <v>3043</v>
      </c>
      <c r="B8" s="4"/>
      <c r="C8" s="4"/>
      <c r="D8" s="4"/>
      <c r="E8" s="4"/>
      <c r="F8" s="4"/>
      <c r="G8" s="4"/>
      <c r="H8" s="4"/>
    </row>
    <row r="9" spans="1:8" ht="51" customHeight="1" x14ac:dyDescent="0.35">
      <c r="A9" s="4" t="s">
        <v>3044</v>
      </c>
      <c r="B9" s="4"/>
      <c r="C9" s="4"/>
      <c r="D9" s="4"/>
      <c r="E9" s="4"/>
      <c r="F9" s="4"/>
      <c r="G9" s="4"/>
      <c r="H9" s="4"/>
    </row>
    <row r="10" spans="1:8" ht="36" customHeight="1" x14ac:dyDescent="0.35">
      <c r="A10" s="4" t="s">
        <v>3045</v>
      </c>
      <c r="B10" s="4"/>
      <c r="C10" s="4"/>
      <c r="D10" s="4"/>
      <c r="E10" s="4"/>
      <c r="F10" s="4"/>
      <c r="G10" s="4"/>
      <c r="H10" s="4"/>
    </row>
    <row r="11" spans="1:8" ht="36" customHeight="1" x14ac:dyDescent="0.35">
      <c r="A11" s="4" t="s">
        <v>3046</v>
      </c>
      <c r="B11" s="4"/>
      <c r="C11" s="4"/>
      <c r="D11" s="4"/>
      <c r="E11" s="4"/>
      <c r="F11" s="4"/>
      <c r="G11" s="4"/>
      <c r="H11" s="4"/>
    </row>
    <row r="12" spans="1:8" ht="51" customHeight="1" x14ac:dyDescent="0.35">
      <c r="A12" s="4" t="s">
        <v>3047</v>
      </c>
      <c r="B12" s="4"/>
      <c r="C12" s="4"/>
      <c r="D12" s="4"/>
      <c r="E12" s="4"/>
      <c r="F12" s="4"/>
      <c r="G12" s="4"/>
      <c r="H12" s="4"/>
    </row>
    <row r="13" spans="1:8" ht="36" customHeight="1" x14ac:dyDescent="0.35">
      <c r="A13" s="4" t="s">
        <v>3048</v>
      </c>
      <c r="B13" s="4"/>
      <c r="C13" s="4"/>
      <c r="D13" s="4"/>
      <c r="E13" s="4"/>
      <c r="F13" s="4"/>
      <c r="G13" s="4"/>
      <c r="H13" s="4"/>
    </row>
    <row r="14" spans="1:8" ht="36" customHeight="1" x14ac:dyDescent="0.35">
      <c r="A14" s="4" t="s">
        <v>3049</v>
      </c>
      <c r="B14" s="4"/>
      <c r="C14" s="4"/>
      <c r="D14" s="4"/>
      <c r="E14" s="4"/>
      <c r="F14" s="4"/>
      <c r="G14" s="4"/>
      <c r="H14" s="4"/>
    </row>
    <row r="16" spans="1:8" ht="19.5" customHeight="1" x14ac:dyDescent="0.35">
      <c r="A16" s="11" t="s">
        <v>3050</v>
      </c>
      <c r="B16" s="11"/>
      <c r="C16" s="11"/>
      <c r="D16" s="11"/>
      <c r="E16" s="11"/>
      <c r="F16" s="11"/>
      <c r="G16" s="11"/>
      <c r="H16" s="11"/>
    </row>
    <row r="17" spans="1:8" ht="36" customHeight="1" x14ac:dyDescent="0.35">
      <c r="A17" s="10" t="s">
        <v>3051</v>
      </c>
      <c r="B17" s="10"/>
      <c r="C17" s="10"/>
      <c r="D17" s="10"/>
      <c r="E17" s="10"/>
      <c r="F17" s="10"/>
      <c r="G17" s="10"/>
      <c r="H17" s="10"/>
    </row>
    <row r="18" spans="1:8" ht="21" customHeight="1" x14ac:dyDescent="0.35">
      <c r="A18" s="3" t="s">
        <v>3052</v>
      </c>
      <c r="B18" s="3"/>
      <c r="C18" s="3"/>
      <c r="D18" s="3"/>
      <c r="E18" s="3"/>
      <c r="F18" s="3"/>
      <c r="G18" s="3"/>
      <c r="H18" s="3"/>
    </row>
    <row r="19" spans="1:8" ht="51" customHeight="1" x14ac:dyDescent="0.35">
      <c r="A19" s="2" t="s">
        <v>3053</v>
      </c>
      <c r="B19" s="2"/>
      <c r="C19" s="2"/>
      <c r="D19" s="2"/>
      <c r="E19" s="2"/>
      <c r="F19" s="2"/>
      <c r="G19" s="2"/>
      <c r="H19" s="2"/>
    </row>
    <row r="20" spans="1:8" ht="36" customHeight="1" x14ac:dyDescent="0.35">
      <c r="A20" s="2" t="s">
        <v>3054</v>
      </c>
      <c r="B20" s="2"/>
      <c r="C20" s="2"/>
      <c r="D20" s="2"/>
      <c r="E20" s="2"/>
      <c r="F20" s="2"/>
      <c r="G20" s="2"/>
      <c r="H20" s="2"/>
    </row>
    <row r="21" spans="1:8" ht="51" customHeight="1" x14ac:dyDescent="0.35">
      <c r="A21" s="2" t="s">
        <v>3055</v>
      </c>
      <c r="B21" s="2"/>
      <c r="C21" s="2"/>
      <c r="D21" s="2"/>
      <c r="E21" s="2"/>
      <c r="F21" s="2"/>
      <c r="G21" s="2"/>
      <c r="H21" s="2"/>
    </row>
    <row r="23" spans="1:8" ht="36" customHeight="1" x14ac:dyDescent="0.35">
      <c r="A23" s="3" t="s">
        <v>3056</v>
      </c>
      <c r="B23" s="3"/>
      <c r="C23" s="3"/>
      <c r="D23" s="3"/>
      <c r="E23" s="3"/>
      <c r="F23" s="3"/>
      <c r="G23" s="3"/>
      <c r="H23" s="3"/>
    </row>
    <row r="24" spans="1:8" ht="36" customHeight="1" x14ac:dyDescent="0.35">
      <c r="A24" s="2" t="s">
        <v>3057</v>
      </c>
      <c r="B24" s="2"/>
      <c r="C24" s="2"/>
      <c r="D24" s="2"/>
      <c r="E24" s="2"/>
      <c r="F24" s="2"/>
      <c r="G24" s="2"/>
      <c r="H24" s="2"/>
    </row>
    <row r="25" spans="1:8" ht="36" customHeight="1" x14ac:dyDescent="0.35">
      <c r="A25" s="2" t="s">
        <v>3058</v>
      </c>
      <c r="B25" s="2"/>
      <c r="C25" s="2"/>
      <c r="D25" s="2"/>
      <c r="E25" s="2"/>
      <c r="F25" s="2"/>
      <c r="G25" s="2"/>
      <c r="H25" s="2"/>
    </row>
    <row r="26" spans="1:8" ht="36" customHeight="1" x14ac:dyDescent="0.35">
      <c r="A26" s="2" t="s">
        <v>3059</v>
      </c>
      <c r="B26" s="2"/>
      <c r="C26" s="2"/>
      <c r="D26" s="2"/>
      <c r="E26" s="2"/>
      <c r="F26" s="2"/>
      <c r="G26" s="2"/>
      <c r="H26" s="2"/>
    </row>
    <row r="28" spans="1:8" ht="36" customHeight="1" x14ac:dyDescent="0.35">
      <c r="A28" s="3" t="s">
        <v>3060</v>
      </c>
      <c r="B28" s="3"/>
      <c r="C28" s="3"/>
      <c r="D28" s="3"/>
      <c r="E28" s="3"/>
      <c r="F28" s="3"/>
      <c r="G28" s="3"/>
      <c r="H28" s="3"/>
    </row>
    <row r="29" spans="1:8" ht="36" customHeight="1" x14ac:dyDescent="0.35">
      <c r="A29" s="2" t="s">
        <v>3061</v>
      </c>
      <c r="B29" s="2"/>
      <c r="C29" s="2"/>
      <c r="D29" s="2"/>
      <c r="E29" s="2"/>
      <c r="F29" s="2"/>
      <c r="G29" s="2"/>
      <c r="H29" s="2"/>
    </row>
    <row r="30" spans="1:8" ht="36" customHeight="1" x14ac:dyDescent="0.35">
      <c r="A30" s="2" t="s">
        <v>3062</v>
      </c>
      <c r="B30" s="2"/>
      <c r="C30" s="2"/>
      <c r="D30" s="2"/>
      <c r="E30" s="2"/>
      <c r="F30" s="2"/>
      <c r="G30" s="2"/>
      <c r="H30" s="2"/>
    </row>
    <row r="31" spans="1:8" ht="36" customHeight="1" x14ac:dyDescent="0.35">
      <c r="A31" s="2" t="s">
        <v>3063</v>
      </c>
      <c r="B31" s="2"/>
      <c r="C31" s="2"/>
      <c r="D31" s="2"/>
      <c r="E31" s="2"/>
      <c r="F31" s="2"/>
      <c r="G31" s="2"/>
      <c r="H31" s="2"/>
    </row>
    <row r="33" spans="1:8" ht="21" customHeight="1" x14ac:dyDescent="0.35">
      <c r="A33" s="3" t="s">
        <v>3064</v>
      </c>
      <c r="B33" s="3"/>
      <c r="C33" s="3"/>
      <c r="D33" s="3"/>
      <c r="E33" s="3"/>
      <c r="F33" s="3"/>
      <c r="G33" s="3"/>
      <c r="H33" s="3"/>
    </row>
    <row r="34" spans="1:8" ht="36" customHeight="1" x14ac:dyDescent="0.35">
      <c r="A34" s="2" t="s">
        <v>3065</v>
      </c>
      <c r="B34" s="2"/>
      <c r="C34" s="2"/>
      <c r="D34" s="2"/>
      <c r="E34" s="2"/>
      <c r="F34" s="2"/>
      <c r="G34" s="2"/>
      <c r="H34" s="2"/>
    </row>
    <row r="35" spans="1:8" ht="36" customHeight="1" x14ac:dyDescent="0.35">
      <c r="A35" s="2" t="s">
        <v>3066</v>
      </c>
      <c r="B35" s="2"/>
      <c r="C35" s="2"/>
      <c r="D35" s="2"/>
      <c r="E35" s="2"/>
      <c r="F35" s="2"/>
      <c r="G35" s="2"/>
      <c r="H35" s="2"/>
    </row>
    <row r="36" spans="1:8" ht="51" customHeight="1" x14ac:dyDescent="0.35">
      <c r="A36" s="2" t="s">
        <v>3067</v>
      </c>
      <c r="B36" s="2"/>
      <c r="C36" s="2"/>
      <c r="D36" s="2"/>
      <c r="E36" s="2"/>
      <c r="F36" s="2"/>
      <c r="G36" s="2"/>
      <c r="H36" s="2"/>
    </row>
    <row r="38" spans="1:8" ht="19.5" customHeight="1" x14ac:dyDescent="0.35">
      <c r="A38" s="12" t="s">
        <v>3068</v>
      </c>
      <c r="B38" s="12"/>
      <c r="C38" s="12"/>
      <c r="D38" s="12"/>
      <c r="E38" s="12"/>
      <c r="F38" s="12"/>
      <c r="G38" s="12"/>
      <c r="H38" s="12"/>
    </row>
    <row r="39" spans="1:8" ht="36" customHeight="1" x14ac:dyDescent="0.35">
      <c r="A39" s="4" t="s">
        <v>3069</v>
      </c>
      <c r="B39" s="4"/>
      <c r="C39" s="4"/>
      <c r="D39" s="4"/>
      <c r="E39" s="4"/>
      <c r="F39" s="4"/>
      <c r="G39" s="4"/>
      <c r="H39" s="4"/>
    </row>
    <row r="40" spans="1:8" ht="111" customHeight="1" x14ac:dyDescent="0.35">
      <c r="A40" s="4" t="s">
        <v>3070</v>
      </c>
      <c r="B40" s="4"/>
      <c r="C40" s="4"/>
      <c r="D40" s="4"/>
      <c r="E40" s="4"/>
      <c r="F40" s="4"/>
      <c r="G40" s="4"/>
      <c r="H40" s="4"/>
    </row>
    <row r="41" spans="1:8" ht="51" customHeight="1" x14ac:dyDescent="0.35">
      <c r="A41" s="4" t="s">
        <v>3071</v>
      </c>
      <c r="B41" s="4"/>
      <c r="C41" s="4"/>
      <c r="D41" s="4"/>
      <c r="E41" s="4"/>
      <c r="F41" s="4"/>
      <c r="G41" s="4"/>
      <c r="H41" s="4"/>
    </row>
    <row r="42" spans="1:8" ht="51" customHeight="1" x14ac:dyDescent="0.35">
      <c r="A42" s="4" t="s">
        <v>3072</v>
      </c>
      <c r="B42" s="4"/>
      <c r="C42" s="4"/>
      <c r="D42" s="4"/>
      <c r="E42" s="4"/>
      <c r="F42" s="4"/>
      <c r="G42" s="4"/>
      <c r="H42" s="4"/>
    </row>
    <row r="44" spans="1:8" ht="19.5" customHeight="1" x14ac:dyDescent="0.35">
      <c r="A44" s="12" t="s">
        <v>3073</v>
      </c>
      <c r="B44" s="12"/>
      <c r="C44" s="12"/>
      <c r="D44" s="12"/>
      <c r="E44" s="12"/>
      <c r="F44" s="12"/>
      <c r="G44" s="12"/>
      <c r="H44" s="12"/>
    </row>
    <row r="45" spans="1:8" ht="36" customHeight="1" x14ac:dyDescent="0.35">
      <c r="A45" s="4" t="s">
        <v>3074</v>
      </c>
      <c r="B45" s="4"/>
      <c r="C45" s="4"/>
      <c r="D45" s="4"/>
      <c r="E45" s="4"/>
      <c r="F45" s="4"/>
      <c r="G45" s="4"/>
      <c r="H45" s="4"/>
    </row>
    <row r="46" spans="1:8" ht="51" customHeight="1" x14ac:dyDescent="0.35">
      <c r="A46" s="4" t="s">
        <v>3075</v>
      </c>
      <c r="B46" s="4"/>
      <c r="C46" s="4"/>
      <c r="D46" s="4"/>
      <c r="E46" s="4"/>
      <c r="F46" s="4"/>
      <c r="G46" s="4"/>
      <c r="H46" s="4"/>
    </row>
    <row r="47" spans="1:8" ht="36" customHeight="1" x14ac:dyDescent="0.35">
      <c r="A47" s="4" t="s">
        <v>3076</v>
      </c>
      <c r="B47" s="4"/>
      <c r="C47" s="4"/>
      <c r="D47" s="4"/>
      <c r="E47" s="4"/>
      <c r="F47" s="4"/>
      <c r="G47" s="4"/>
      <c r="H47" s="4"/>
    </row>
    <row r="49" spans="1:8" ht="19.5" customHeight="1" x14ac:dyDescent="0.35">
      <c r="A49" s="12" t="s">
        <v>3077</v>
      </c>
      <c r="B49" s="12"/>
      <c r="C49" s="12"/>
      <c r="D49" s="12"/>
      <c r="E49" s="12"/>
      <c r="F49" s="12"/>
      <c r="G49" s="12"/>
      <c r="H49" s="12"/>
    </row>
    <row r="50" spans="1:8" ht="36" customHeight="1" x14ac:dyDescent="0.35">
      <c r="A50" s="4" t="s">
        <v>3078</v>
      </c>
      <c r="B50" s="4"/>
      <c r="C50" s="4"/>
      <c r="D50" s="4"/>
      <c r="E50" s="4"/>
      <c r="F50" s="4"/>
      <c r="G50" s="4"/>
      <c r="H50" s="4"/>
    </row>
    <row r="51" spans="1:8" ht="51" customHeight="1" x14ac:dyDescent="0.35">
      <c r="A51" s="4" t="s">
        <v>3079</v>
      </c>
      <c r="B51" s="4"/>
      <c r="C51" s="4"/>
      <c r="D51" s="4"/>
      <c r="E51" s="4"/>
      <c r="F51" s="4"/>
      <c r="G51" s="4"/>
      <c r="H51" s="4"/>
    </row>
    <row r="52" spans="1:8" ht="36" customHeight="1" x14ac:dyDescent="0.35">
      <c r="A52" s="4" t="s">
        <v>3080</v>
      </c>
      <c r="B52" s="4"/>
      <c r="C52" s="4"/>
      <c r="D52" s="4"/>
      <c r="E52" s="4"/>
      <c r="F52" s="4"/>
      <c r="G52" s="4"/>
      <c r="H52" s="4"/>
    </row>
    <row r="54" spans="1:8" ht="19.5" customHeight="1" x14ac:dyDescent="0.35">
      <c r="A54" s="12" t="s">
        <v>3081</v>
      </c>
      <c r="B54" s="12"/>
      <c r="C54" s="12"/>
      <c r="D54" s="12"/>
      <c r="E54" s="12"/>
      <c r="F54" s="12"/>
      <c r="G54" s="12"/>
      <c r="H54" s="12"/>
    </row>
    <row r="55" spans="1:8" ht="51" customHeight="1" x14ac:dyDescent="0.35">
      <c r="A55" s="4" t="s">
        <v>3082</v>
      </c>
      <c r="B55" s="4"/>
      <c r="C55" s="4"/>
      <c r="D55" s="4"/>
      <c r="E55" s="4"/>
      <c r="F55" s="4"/>
      <c r="G55" s="4"/>
      <c r="H55" s="4"/>
    </row>
    <row r="56" spans="1:8" ht="51" customHeight="1" x14ac:dyDescent="0.35">
      <c r="A56" s="4" t="s">
        <v>3083</v>
      </c>
      <c r="B56" s="4"/>
      <c r="C56" s="4"/>
      <c r="D56" s="4"/>
      <c r="E56" s="4"/>
      <c r="F56" s="4"/>
      <c r="G56" s="4"/>
      <c r="H56" s="4"/>
    </row>
    <row r="57" spans="1:8" ht="36" customHeight="1" x14ac:dyDescent="0.35">
      <c r="A57" s="4" t="s">
        <v>3084</v>
      </c>
      <c r="B57" s="4"/>
      <c r="C57" s="4"/>
      <c r="D57" s="4"/>
      <c r="E57" s="4"/>
      <c r="F57" s="4"/>
      <c r="G57" s="4"/>
      <c r="H57" s="4"/>
    </row>
    <row r="59" spans="1:8" ht="19.5" customHeight="1" x14ac:dyDescent="0.35">
      <c r="A59" s="1" t="s">
        <v>3085</v>
      </c>
      <c r="B59" s="1"/>
      <c r="C59" s="1"/>
      <c r="D59" s="1"/>
      <c r="E59" s="1"/>
      <c r="F59" s="1"/>
      <c r="G59" s="1"/>
      <c r="H59" s="1"/>
    </row>
    <row r="60" spans="1:8" ht="36" customHeight="1" x14ac:dyDescent="0.35">
      <c r="A60" s="4" t="s">
        <v>3086</v>
      </c>
      <c r="B60" s="4"/>
      <c r="C60" s="4"/>
      <c r="D60" s="4"/>
      <c r="E60" s="4"/>
      <c r="F60" s="4"/>
      <c r="G60" s="4"/>
      <c r="H60" s="4"/>
    </row>
    <row r="61" spans="1:8" ht="36" customHeight="1" x14ac:dyDescent="0.35">
      <c r="A61" s="4" t="s">
        <v>3087</v>
      </c>
      <c r="B61" s="4"/>
      <c r="C61" s="4"/>
      <c r="D61" s="4"/>
      <c r="E61" s="4"/>
      <c r="F61" s="4"/>
      <c r="G61" s="4"/>
      <c r="H61" s="4"/>
    </row>
    <row r="62" spans="1:8" ht="36" customHeight="1" x14ac:dyDescent="0.35">
      <c r="A62" s="4" t="s">
        <v>3088</v>
      </c>
      <c r="B62" s="4"/>
      <c r="C62" s="4"/>
      <c r="D62" s="4"/>
      <c r="E62" s="4"/>
      <c r="F62" s="4"/>
      <c r="G62" s="4"/>
      <c r="H62" s="4"/>
    </row>
    <row r="63" spans="1:8" ht="36" customHeight="1" x14ac:dyDescent="0.35">
      <c r="A63" s="4" t="s">
        <v>3089</v>
      </c>
      <c r="B63" s="4"/>
      <c r="C63" s="4"/>
      <c r="D63" s="4"/>
      <c r="E63" s="4"/>
      <c r="F63" s="4"/>
      <c r="G63" s="4"/>
      <c r="H63" s="4"/>
    </row>
    <row r="64" spans="1:8" ht="36" customHeight="1" x14ac:dyDescent="0.35">
      <c r="A64" s="4" t="s">
        <v>3090</v>
      </c>
      <c r="B64" s="4"/>
      <c r="C64" s="4"/>
      <c r="D64" s="4"/>
      <c r="E64" s="4"/>
      <c r="F64" s="4"/>
      <c r="G64" s="4"/>
      <c r="H64" s="4"/>
    </row>
    <row r="65" spans="1:8" ht="81" customHeight="1" x14ac:dyDescent="0.35">
      <c r="A65" s="4" t="s">
        <v>3091</v>
      </c>
      <c r="B65" s="4"/>
      <c r="C65" s="4"/>
      <c r="D65" s="4"/>
      <c r="E65" s="4"/>
      <c r="F65" s="4"/>
      <c r="G65" s="4"/>
      <c r="H65" s="4"/>
    </row>
    <row r="66" spans="1:8" ht="51" customHeight="1" x14ac:dyDescent="0.35">
      <c r="A66" s="4" t="s">
        <v>3092</v>
      </c>
      <c r="B66" s="4"/>
      <c r="C66" s="4"/>
      <c r="D66" s="4"/>
      <c r="E66" s="4"/>
      <c r="F66" s="4"/>
      <c r="G66" s="4"/>
      <c r="H66" s="4"/>
    </row>
    <row r="68" spans="1:8" ht="19.5" customHeight="1" x14ac:dyDescent="0.35">
      <c r="A68" s="12" t="s">
        <v>3093</v>
      </c>
      <c r="B68" s="12"/>
      <c r="C68" s="12"/>
      <c r="D68" s="12"/>
      <c r="E68" s="12"/>
      <c r="F68" s="12"/>
      <c r="G68" s="12"/>
      <c r="H68" s="12"/>
    </row>
    <row r="69" spans="1:8" ht="36" customHeight="1" x14ac:dyDescent="0.35">
      <c r="A69" s="4" t="s">
        <v>3094</v>
      </c>
      <c r="B69" s="4"/>
      <c r="C69" s="4"/>
      <c r="D69" s="4"/>
      <c r="E69" s="4"/>
      <c r="F69" s="4"/>
      <c r="G69" s="4"/>
      <c r="H69" s="4"/>
    </row>
    <row r="70" spans="1:8" ht="21" customHeight="1" x14ac:dyDescent="0.35">
      <c r="A70" s="4" t="s">
        <v>3095</v>
      </c>
      <c r="B70" s="4"/>
      <c r="C70" s="4"/>
      <c r="D70" s="4"/>
      <c r="E70" s="4"/>
      <c r="F70" s="4"/>
      <c r="G70" s="4"/>
      <c r="H70" s="4"/>
    </row>
    <row r="71" spans="1:8" ht="36" customHeight="1" x14ac:dyDescent="0.35">
      <c r="A71" s="4" t="s">
        <v>3096</v>
      </c>
      <c r="B71" s="4"/>
      <c r="C71" s="4"/>
      <c r="D71" s="4"/>
      <c r="E71" s="4"/>
      <c r="F71" s="4"/>
      <c r="G71" s="4"/>
      <c r="H71" s="4"/>
    </row>
    <row r="72" spans="1:8" ht="36" customHeight="1" x14ac:dyDescent="0.35">
      <c r="A72" s="4" t="s">
        <v>3097</v>
      </c>
      <c r="B72" s="4"/>
      <c r="C72" s="4"/>
      <c r="D72" s="4"/>
      <c r="E72" s="4"/>
      <c r="F72" s="4"/>
      <c r="G72" s="4"/>
      <c r="H72" s="4"/>
    </row>
    <row r="73" spans="1:8" ht="21" customHeight="1" x14ac:dyDescent="0.35">
      <c r="A73" s="4" t="s">
        <v>3098</v>
      </c>
      <c r="B73" s="4"/>
      <c r="C73" s="4"/>
      <c r="D73" s="4"/>
      <c r="E73" s="4"/>
      <c r="F73" s="4"/>
      <c r="G73" s="4"/>
      <c r="H73" s="4"/>
    </row>
    <row r="74" spans="1:8" ht="21" customHeight="1" x14ac:dyDescent="0.35">
      <c r="A74" s="4" t="s">
        <v>3099</v>
      </c>
      <c r="B74" s="4"/>
      <c r="C74" s="4"/>
      <c r="D74" s="4"/>
      <c r="E74" s="4"/>
      <c r="F74" s="4"/>
      <c r="G74" s="4"/>
      <c r="H74" s="4"/>
    </row>
    <row r="75" spans="1:8" ht="36" customHeight="1" x14ac:dyDescent="0.35">
      <c r="A75" s="4" t="s">
        <v>3100</v>
      </c>
      <c r="B75" s="4"/>
      <c r="C75" s="4"/>
      <c r="D75" s="4"/>
      <c r="E75" s="4"/>
      <c r="F75" s="4"/>
      <c r="G75" s="4"/>
      <c r="H75" s="4"/>
    </row>
    <row r="77" spans="1:8" ht="19.5" customHeight="1" x14ac:dyDescent="0.35">
      <c r="A77" s="42" t="s">
        <v>3101</v>
      </c>
      <c r="B77" s="42"/>
      <c r="C77" s="42"/>
      <c r="D77" s="42"/>
      <c r="E77" s="42"/>
      <c r="F77" s="42"/>
      <c r="G77" s="42"/>
      <c r="H77" s="42"/>
    </row>
    <row r="78" spans="1:8" ht="15" customHeight="1" x14ac:dyDescent="0.35">
      <c r="A78" s="38" t="s">
        <v>3102</v>
      </c>
      <c r="C78" s="39">
        <f>COUNTA(Benchmarking!B4:B725)</f>
        <v>722</v>
      </c>
    </row>
    <row r="79" spans="1:8" ht="15" customHeight="1" x14ac:dyDescent="0.35">
      <c r="A79" s="38" t="s">
        <v>3103</v>
      </c>
      <c r="C79" s="39">
        <f>47</f>
        <v>47</v>
      </c>
    </row>
    <row r="80" spans="1:8" ht="15" customHeight="1" x14ac:dyDescent="0.35">
      <c r="A80" s="38" t="s">
        <v>3104</v>
      </c>
      <c r="C80" s="39">
        <f>45</f>
        <v>45</v>
      </c>
    </row>
    <row r="81" spans="1:8" ht="15" customHeight="1" x14ac:dyDescent="0.35">
      <c r="A81" s="38" t="s">
        <v>3105</v>
      </c>
      <c r="C81" s="40" t="str">
        <f>"Apr–Sep 2022"</f>
        <v>Apr–Sep 2022</v>
      </c>
    </row>
    <row r="83" spans="1:8" ht="51" customHeight="1" x14ac:dyDescent="0.35">
      <c r="A83" s="4" t="s">
        <v>3106</v>
      </c>
      <c r="B83" s="4"/>
      <c r="C83" s="4"/>
      <c r="D83" s="4"/>
      <c r="E83" s="4"/>
      <c r="F83" s="4"/>
      <c r="G83" s="4"/>
      <c r="H83" s="4"/>
    </row>
    <row r="84" spans="1:8" ht="51" customHeight="1" x14ac:dyDescent="0.35">
      <c r="A84" s="4" t="s">
        <v>3107</v>
      </c>
      <c r="B84" s="4"/>
      <c r="C84" s="4"/>
      <c r="D84" s="4"/>
      <c r="E84" s="4"/>
      <c r="F84" s="4"/>
      <c r="G84" s="4"/>
      <c r="H84" s="4"/>
    </row>
    <row r="85" spans="1:8" ht="66" customHeight="1" x14ac:dyDescent="0.35">
      <c r="A85" s="4" t="s">
        <v>3108</v>
      </c>
      <c r="B85" s="4"/>
      <c r="C85" s="4"/>
      <c r="D85" s="4"/>
      <c r="E85" s="4"/>
      <c r="F85" s="4"/>
      <c r="G85" s="4"/>
      <c r="H85" s="4"/>
    </row>
    <row r="86" spans="1:8" ht="36" customHeight="1" x14ac:dyDescent="0.35">
      <c r="A86" s="4" t="s">
        <v>3109</v>
      </c>
      <c r="B86" s="4"/>
      <c r="C86" s="4"/>
      <c r="D86" s="4"/>
      <c r="E86" s="4"/>
      <c r="F86" s="4"/>
      <c r="G86" s="4"/>
      <c r="H86" s="4"/>
    </row>
    <row r="87" spans="1:8" ht="66" customHeight="1" x14ac:dyDescent="0.35">
      <c r="A87" s="4" t="s">
        <v>3110</v>
      </c>
      <c r="B87" s="4"/>
      <c r="C87" s="4"/>
      <c r="D87" s="4"/>
      <c r="E87" s="4"/>
      <c r="F87" s="4"/>
      <c r="G87" s="4"/>
      <c r="H87" s="4"/>
    </row>
    <row r="88" spans="1:8" ht="36" customHeight="1" x14ac:dyDescent="0.35">
      <c r="A88" s="4" t="s">
        <v>3111</v>
      </c>
      <c r="B88" s="4"/>
      <c r="C88" s="4"/>
      <c r="D88" s="4"/>
      <c r="E88" s="4"/>
      <c r="F88" s="4"/>
      <c r="G88" s="4"/>
      <c r="H88" s="4"/>
    </row>
  </sheetData>
  <mergeCells count="70">
    <mergeCell ref="A84:H84"/>
    <mergeCell ref="A85:H85"/>
    <mergeCell ref="A86:H86"/>
    <mergeCell ref="A87:H87"/>
    <mergeCell ref="A88:H88"/>
    <mergeCell ref="A73:H73"/>
    <mergeCell ref="A74:H74"/>
    <mergeCell ref="A75:H75"/>
    <mergeCell ref="A77:H77"/>
    <mergeCell ref="A83:H83"/>
    <mergeCell ref="A68:H68"/>
    <mergeCell ref="A69:H69"/>
    <mergeCell ref="A70:H70"/>
    <mergeCell ref="A71:H71"/>
    <mergeCell ref="A72:H72"/>
    <mergeCell ref="A62:H62"/>
    <mergeCell ref="A63:H63"/>
    <mergeCell ref="A64:H64"/>
    <mergeCell ref="A65:H65"/>
    <mergeCell ref="A66:H66"/>
    <mergeCell ref="A56:H56"/>
    <mergeCell ref="A57:H57"/>
    <mergeCell ref="A59:H59"/>
    <mergeCell ref="A60:H60"/>
    <mergeCell ref="A61:H61"/>
    <mergeCell ref="A50:H50"/>
    <mergeCell ref="A51:H51"/>
    <mergeCell ref="A52:H52"/>
    <mergeCell ref="A54:H54"/>
    <mergeCell ref="A55:H55"/>
    <mergeCell ref="A44:H44"/>
    <mergeCell ref="A45:H45"/>
    <mergeCell ref="A46:H46"/>
    <mergeCell ref="A47:H47"/>
    <mergeCell ref="A49:H49"/>
    <mergeCell ref="A38:H38"/>
    <mergeCell ref="A39:H39"/>
    <mergeCell ref="A40:H40"/>
    <mergeCell ref="A41:H41"/>
    <mergeCell ref="A42:H42"/>
    <mergeCell ref="A31:H31"/>
    <mergeCell ref="A33:H33"/>
    <mergeCell ref="A34:H34"/>
    <mergeCell ref="A35:H35"/>
    <mergeCell ref="A36:H36"/>
    <mergeCell ref="A25:H25"/>
    <mergeCell ref="A26:H26"/>
    <mergeCell ref="A28:H28"/>
    <mergeCell ref="A29:H29"/>
    <mergeCell ref="A30:H30"/>
    <mergeCell ref="A19:H19"/>
    <mergeCell ref="A20:H20"/>
    <mergeCell ref="A21:H21"/>
    <mergeCell ref="A23:H23"/>
    <mergeCell ref="A24:H24"/>
    <mergeCell ref="A13:H13"/>
    <mergeCell ref="A14:H14"/>
    <mergeCell ref="A16:H16"/>
    <mergeCell ref="A17:H17"/>
    <mergeCell ref="A18:H18"/>
    <mergeCell ref="A8:H8"/>
    <mergeCell ref="A9:H9"/>
    <mergeCell ref="A10:H10"/>
    <mergeCell ref="A11:H11"/>
    <mergeCell ref="A12:H12"/>
    <mergeCell ref="A1:H1"/>
    <mergeCell ref="A2:H2"/>
    <mergeCell ref="A4:H4"/>
    <mergeCell ref="A5:H5"/>
    <mergeCell ref="A7:H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6"/>
  <sheetViews>
    <sheetView zoomScaleNormal="100" workbookViewId="0">
      <pane ySplit="1" topLeftCell="A2" activePane="bottomLeft" state="frozen"/>
      <selection pane="bottomLeft"/>
    </sheetView>
  </sheetViews>
  <sheetFormatPr defaultColWidth="8.6328125" defaultRowHeight="14.5" x14ac:dyDescent="0.35"/>
  <cols>
    <col min="1" max="1" width="30" customWidth="1"/>
    <col min="2" max="2" width="14" customWidth="1"/>
    <col min="3" max="3" width="16" customWidth="1"/>
    <col min="4" max="4" width="12" customWidth="1"/>
    <col min="5" max="9" width="14" customWidth="1"/>
    <col min="10" max="10" width="12" customWidth="1"/>
  </cols>
  <sheetData>
    <row r="1" spans="1:10" ht="31.5" customHeight="1" x14ac:dyDescent="0.35">
      <c r="A1" s="41" t="s">
        <v>3112</v>
      </c>
      <c r="B1" s="41" t="s">
        <v>2981</v>
      </c>
      <c r="C1" s="41" t="s">
        <v>3113</v>
      </c>
      <c r="D1" s="41" t="s">
        <v>3114</v>
      </c>
      <c r="E1" s="41" t="s">
        <v>3115</v>
      </c>
      <c r="F1" s="41" t="s">
        <v>2982</v>
      </c>
      <c r="G1" s="41" t="s">
        <v>3116</v>
      </c>
      <c r="H1" s="41" t="s">
        <v>3117</v>
      </c>
      <c r="I1" s="41" t="s">
        <v>3118</v>
      </c>
      <c r="J1" s="41" t="s">
        <v>3119</v>
      </c>
    </row>
    <row r="2" spans="1:10" ht="15" customHeight="1" x14ac:dyDescent="0.35">
      <c r="A2" t="s">
        <v>2936</v>
      </c>
      <c r="B2">
        <f>COUNTIF(Benchmarking!$C$4:$C$725,"Aerospace &amp; Defense")</f>
        <v>11</v>
      </c>
      <c r="C2" s="18">
        <f>AVERAGEIF(Benchmarking!$C$4:$C$725,"Aerospace &amp; Defense",Benchmarking!$D$4:$D$725)</f>
        <v>461.36363636363637</v>
      </c>
      <c r="D2" s="18">
        <f>AVERAGEIF(Benchmarking!$C$4:$C$725,"Aerospace &amp; Defense",Benchmarking!$E$4:$E$725)</f>
        <v>296.36363636363637</v>
      </c>
      <c r="E2" s="18">
        <f>AVERAGEIF(Benchmarking!$C$4:$C$725,"Aerospace &amp; Defense",Benchmarking!$F$4:$F$725)</f>
        <v>290.45454545454544</v>
      </c>
      <c r="F2" s="18">
        <f>AVERAGEIF(Benchmarking!$C$4:$C$725,"Aerospace &amp; Defense",Benchmarking!$G$4:$G$725)</f>
        <v>1048.1818181818182</v>
      </c>
      <c r="G2" s="18">
        <f t="array" ref="G2">MAX(IF(Benchmarking!$C$4:$C$725="Aerospace &amp; Defense",Benchmarking!$G$4:$G$725))</f>
        <v>1250</v>
      </c>
      <c r="H2" s="18">
        <f t="array" ref="H2">MIN(IF(Benchmarking!$C$4:$C$725="Aerospace &amp; Defense",Benchmarking!$G$4:$G$725))</f>
        <v>633</v>
      </c>
      <c r="I2" t="str">
        <f t="shared" ref="I2:I46" si="0">IF(B2&gt;=20,"Large sample",IF(B2&gt;=10,"Medium sample","Small sample"))</f>
        <v>Medium sample</v>
      </c>
      <c r="J2">
        <f t="shared" ref="J2:J46" si="1">F2+(1000-ROW())/1000000</f>
        <v>1048.1828161818182</v>
      </c>
    </row>
    <row r="3" spans="1:10" ht="15" customHeight="1" x14ac:dyDescent="0.35">
      <c r="A3" t="s">
        <v>71</v>
      </c>
      <c r="B3">
        <f>COUNTIF(Benchmarking!$C$4:$C$725,"Airlines")</f>
        <v>7</v>
      </c>
      <c r="C3" s="18">
        <f>AVERAGEIF(Benchmarking!$C$4:$C$725,"Airlines",Benchmarking!$D$4:$D$725)</f>
        <v>326.71428571428572</v>
      </c>
      <c r="D3" s="18">
        <f>AVERAGEIF(Benchmarking!$C$4:$C$725,"Airlines",Benchmarking!$E$4:$E$725)</f>
        <v>265.71428571428572</v>
      </c>
      <c r="E3" s="18">
        <f>AVERAGEIF(Benchmarking!$C$4:$C$725,"Airlines",Benchmarking!$F$4:$F$725)</f>
        <v>246.28571428571428</v>
      </c>
      <c r="F3" s="18">
        <f>AVERAGEIF(Benchmarking!$C$4:$C$725,"Airlines",Benchmarking!$G$4:$G$725)</f>
        <v>838.71428571428567</v>
      </c>
      <c r="G3" s="18">
        <f t="array" ref="G3">MAX(IF(Benchmarking!$C$4:$C$725="Airlines",Benchmarking!$G$4:$G$725))</f>
        <v>1128</v>
      </c>
      <c r="H3" s="18">
        <f t="array" ref="H3">MIN(IF(Benchmarking!$C$4:$C$725="Airlines",Benchmarking!$G$4:$G$725))</f>
        <v>629</v>
      </c>
      <c r="I3" t="str">
        <f t="shared" si="0"/>
        <v>Small sample</v>
      </c>
      <c r="J3">
        <f t="shared" si="1"/>
        <v>838.71528271428565</v>
      </c>
    </row>
    <row r="4" spans="1:10" ht="15" customHeight="1" x14ac:dyDescent="0.35">
      <c r="A4" t="s">
        <v>1087</v>
      </c>
      <c r="B4">
        <f>COUNTIF(Benchmarking!$C$4:$C$725,"Auto Components")</f>
        <v>3</v>
      </c>
      <c r="C4" s="18">
        <f>AVERAGEIF(Benchmarking!$C$4:$C$725,"Auto Components",Benchmarking!$D$4:$D$725)</f>
        <v>338.33333333333331</v>
      </c>
      <c r="D4" s="18">
        <f>AVERAGEIF(Benchmarking!$C$4:$C$725,"Auto Components",Benchmarking!$E$4:$E$725)</f>
        <v>248.33333333333334</v>
      </c>
      <c r="E4" s="18">
        <f>AVERAGEIF(Benchmarking!$C$4:$C$725,"Auto Components",Benchmarking!$F$4:$F$725)</f>
        <v>246.66666666666666</v>
      </c>
      <c r="F4" s="18">
        <f>AVERAGEIF(Benchmarking!$C$4:$C$725,"Auto Components",Benchmarking!$G$4:$G$725)</f>
        <v>833.33333333333337</v>
      </c>
      <c r="G4" s="18">
        <f t="array" ref="G4">MAX(IF(Benchmarking!$C$4:$C$725="Auto Components",Benchmarking!$G$4:$G$725))</f>
        <v>1204</v>
      </c>
      <c r="H4" s="18">
        <f t="array" ref="H4">MIN(IF(Benchmarking!$C$4:$C$725="Auto Components",Benchmarking!$G$4:$G$725))</f>
        <v>600</v>
      </c>
      <c r="I4" t="str">
        <f t="shared" si="0"/>
        <v>Small sample</v>
      </c>
      <c r="J4">
        <f t="shared" si="1"/>
        <v>833.33432933333336</v>
      </c>
    </row>
    <row r="5" spans="1:10" ht="15" customHeight="1" x14ac:dyDescent="0.35">
      <c r="A5" t="s">
        <v>35</v>
      </c>
      <c r="B5">
        <f>COUNTIF(Benchmarking!$C$4:$C$725,"Automobiles")</f>
        <v>4</v>
      </c>
      <c r="C5" s="18">
        <f>AVERAGEIF(Benchmarking!$C$4:$C$725,"Automobiles",Benchmarking!$D$4:$D$725)</f>
        <v>393</v>
      </c>
      <c r="D5" s="18">
        <f>AVERAGEIF(Benchmarking!$C$4:$C$725,"Automobiles",Benchmarking!$E$4:$E$725)</f>
        <v>229.25</v>
      </c>
      <c r="E5" s="18">
        <f>AVERAGEIF(Benchmarking!$C$4:$C$725,"Automobiles",Benchmarking!$F$4:$F$725)</f>
        <v>237</v>
      </c>
      <c r="F5" s="18">
        <f>AVERAGEIF(Benchmarking!$C$4:$C$725,"Automobiles",Benchmarking!$G$4:$G$725)</f>
        <v>859.25</v>
      </c>
      <c r="G5" s="18">
        <f t="array" ref="G5">MAX(IF(Benchmarking!$C$4:$C$725="Automobiles",Benchmarking!$G$4:$G$725))</f>
        <v>1068</v>
      </c>
      <c r="H5" s="18">
        <f t="array" ref="H5">MIN(IF(Benchmarking!$C$4:$C$725="Automobiles",Benchmarking!$G$4:$G$725))</f>
        <v>623</v>
      </c>
      <c r="I5" t="str">
        <f t="shared" si="0"/>
        <v>Small sample</v>
      </c>
      <c r="J5">
        <f t="shared" si="1"/>
        <v>859.25099499999999</v>
      </c>
    </row>
    <row r="6" spans="1:10" ht="15" customHeight="1" x14ac:dyDescent="0.35">
      <c r="A6" t="s">
        <v>138</v>
      </c>
      <c r="B6">
        <f>COUNTIF(Benchmarking!$C$4:$C$725,"Banking")</f>
        <v>29</v>
      </c>
      <c r="C6" s="18">
        <f>AVERAGEIF(Benchmarking!$C$4:$C$725,"Banking",Benchmarking!$D$4:$D$725)</f>
        <v>341.48275862068965</v>
      </c>
      <c r="D6" s="18">
        <f>AVERAGEIF(Benchmarking!$C$4:$C$725,"Banking",Benchmarking!$E$4:$E$725)</f>
        <v>292.34482758620692</v>
      </c>
      <c r="E6" s="18">
        <f>AVERAGEIF(Benchmarking!$C$4:$C$725,"Banking",Benchmarking!$F$4:$F$725)</f>
        <v>264.48275862068965</v>
      </c>
      <c r="F6" s="18">
        <f>AVERAGEIF(Benchmarking!$C$4:$C$725,"Banking",Benchmarking!$G$4:$G$725)</f>
        <v>898.31034482758616</v>
      </c>
      <c r="G6" s="18">
        <f t="array" ref="G6">MAX(IF(Benchmarking!$C$4:$C$725="Banking",Benchmarking!$G$4:$G$725))</f>
        <v>1208</v>
      </c>
      <c r="H6" s="18">
        <f t="array" ref="H6">MIN(IF(Benchmarking!$C$4:$C$725="Banking",Benchmarking!$G$4:$G$725))</f>
        <v>600</v>
      </c>
      <c r="I6" t="str">
        <f t="shared" si="0"/>
        <v>Large sample</v>
      </c>
      <c r="J6">
        <f t="shared" si="1"/>
        <v>898.31133882758616</v>
      </c>
    </row>
    <row r="7" spans="1:10" ht="15" customHeight="1" x14ac:dyDescent="0.35">
      <c r="A7" t="s">
        <v>742</v>
      </c>
      <c r="B7">
        <f>COUNTIF(Benchmarking!$C$4:$C$725,"Beverages")</f>
        <v>4</v>
      </c>
      <c r="C7" s="18">
        <f>AVERAGEIF(Benchmarking!$C$4:$C$725,"Beverages",Benchmarking!$D$4:$D$725)</f>
        <v>473.25</v>
      </c>
      <c r="D7" s="18">
        <f>AVERAGEIF(Benchmarking!$C$4:$C$725,"Beverages",Benchmarking!$E$4:$E$725)</f>
        <v>299.5</v>
      </c>
      <c r="E7" s="18">
        <f>AVERAGEIF(Benchmarking!$C$4:$C$725,"Beverages",Benchmarking!$F$4:$F$725)</f>
        <v>288.25</v>
      </c>
      <c r="F7" s="18">
        <f>AVERAGEIF(Benchmarking!$C$4:$C$725,"Beverages",Benchmarking!$G$4:$G$725)</f>
        <v>1061</v>
      </c>
      <c r="G7" s="18">
        <f t="array" ref="G7">MAX(IF(Benchmarking!$C$4:$C$725="Beverages",Benchmarking!$G$4:$G$725))</f>
        <v>1417</v>
      </c>
      <c r="H7" s="18">
        <f t="array" ref="H7">MIN(IF(Benchmarking!$C$4:$C$725="Beverages",Benchmarking!$G$4:$G$725))</f>
        <v>601</v>
      </c>
      <c r="I7" t="str">
        <f t="shared" si="0"/>
        <v>Small sample</v>
      </c>
      <c r="J7">
        <f t="shared" si="1"/>
        <v>1061.0009930000001</v>
      </c>
    </row>
    <row r="8" spans="1:10" ht="15" customHeight="1" x14ac:dyDescent="0.35">
      <c r="A8" t="s">
        <v>107</v>
      </c>
      <c r="B8">
        <f>COUNTIF(Benchmarking!$C$4:$C$725,"Biotechnology")</f>
        <v>56</v>
      </c>
      <c r="C8" s="18">
        <f>AVERAGEIF(Benchmarking!$C$4:$C$725,"Biotechnology",Benchmarking!$D$4:$D$725)</f>
        <v>306.53571428571428</v>
      </c>
      <c r="D8" s="18">
        <f>AVERAGEIF(Benchmarking!$C$4:$C$725,"Biotechnology",Benchmarking!$E$4:$E$725)</f>
        <v>268.85714285714283</v>
      </c>
      <c r="E8" s="18">
        <f>AVERAGEIF(Benchmarking!$C$4:$C$725,"Biotechnology",Benchmarking!$F$4:$F$725)</f>
        <v>291.51785714285717</v>
      </c>
      <c r="F8" s="18">
        <f>AVERAGEIF(Benchmarking!$C$4:$C$725,"Biotechnology",Benchmarking!$G$4:$G$725)</f>
        <v>866.91071428571433</v>
      </c>
      <c r="G8" s="18">
        <f t="array" ref="G8">MAX(IF(Benchmarking!$C$4:$C$725="Biotechnology",Benchmarking!$G$4:$G$725))</f>
        <v>1215</v>
      </c>
      <c r="H8" s="18">
        <f t="array" ref="H8">MIN(IF(Benchmarking!$C$4:$C$725="Biotechnology",Benchmarking!$G$4:$G$725))</f>
        <v>604</v>
      </c>
      <c r="I8" t="str">
        <f t="shared" si="0"/>
        <v>Large sample</v>
      </c>
      <c r="J8">
        <f t="shared" si="1"/>
        <v>866.91170628571433</v>
      </c>
    </row>
    <row r="9" spans="1:10" ht="15" customHeight="1" x14ac:dyDescent="0.35">
      <c r="A9" t="s">
        <v>86</v>
      </c>
      <c r="B9">
        <f>COUNTIF(Benchmarking!$C$4:$C$725,"Building")</f>
        <v>10</v>
      </c>
      <c r="C9" s="18">
        <f>AVERAGEIF(Benchmarking!$C$4:$C$725,"Building",Benchmarking!$D$4:$D$725)</f>
        <v>476.7</v>
      </c>
      <c r="D9" s="18">
        <f>AVERAGEIF(Benchmarking!$C$4:$C$725,"Building",Benchmarking!$E$4:$E$725)</f>
        <v>305.10000000000002</v>
      </c>
      <c r="E9" s="18">
        <f>AVERAGEIF(Benchmarking!$C$4:$C$725,"Building",Benchmarking!$F$4:$F$725)</f>
        <v>292.39999999999998</v>
      </c>
      <c r="F9" s="18">
        <f>AVERAGEIF(Benchmarking!$C$4:$C$725,"Building",Benchmarking!$G$4:$G$725)</f>
        <v>1074.2</v>
      </c>
      <c r="G9" s="18">
        <f t="array" ref="G9">MAX(IF(Benchmarking!$C$4:$C$725="Building",Benchmarking!$G$4:$G$725))</f>
        <v>1409</v>
      </c>
      <c r="H9" s="18">
        <f t="array" ref="H9">MIN(IF(Benchmarking!$C$4:$C$725="Building",Benchmarking!$G$4:$G$725))</f>
        <v>694</v>
      </c>
      <c r="I9" t="str">
        <f t="shared" si="0"/>
        <v>Medium sample</v>
      </c>
      <c r="J9">
        <f t="shared" si="1"/>
        <v>1074.2009910000002</v>
      </c>
    </row>
    <row r="10" spans="1:10" ht="15" customHeight="1" x14ac:dyDescent="0.35">
      <c r="A10" t="s">
        <v>258</v>
      </c>
      <c r="B10">
        <f>COUNTIF(Benchmarking!$C$4:$C$725,"Chemicals")</f>
        <v>19</v>
      </c>
      <c r="C10" s="18">
        <f>AVERAGEIF(Benchmarking!$C$4:$C$725,"Chemicals",Benchmarking!$D$4:$D$725)</f>
        <v>463.73684210526318</v>
      </c>
      <c r="D10" s="18">
        <f>AVERAGEIF(Benchmarking!$C$4:$C$725,"Chemicals",Benchmarking!$E$4:$E$725)</f>
        <v>304.36842105263156</v>
      </c>
      <c r="E10" s="18">
        <f>AVERAGEIF(Benchmarking!$C$4:$C$725,"Chemicals",Benchmarking!$F$4:$F$725)</f>
        <v>290.78947368421052</v>
      </c>
      <c r="F10" s="18">
        <f>AVERAGEIF(Benchmarking!$C$4:$C$725,"Chemicals",Benchmarking!$G$4:$G$725)</f>
        <v>1058.8947368421052</v>
      </c>
      <c r="G10" s="18">
        <f t="array" ref="G10">MAX(IF(Benchmarking!$C$4:$C$725="Chemicals",Benchmarking!$G$4:$G$725))</f>
        <v>1442</v>
      </c>
      <c r="H10" s="18">
        <f t="array" ref="H10">MIN(IF(Benchmarking!$C$4:$C$725="Chemicals",Benchmarking!$G$4:$G$725))</f>
        <v>626</v>
      </c>
      <c r="I10" t="str">
        <f t="shared" si="0"/>
        <v>Medium sample</v>
      </c>
      <c r="J10">
        <f t="shared" si="1"/>
        <v>1058.8957268421052</v>
      </c>
    </row>
    <row r="11" spans="1:10" ht="15" customHeight="1" x14ac:dyDescent="0.35">
      <c r="A11" t="s">
        <v>3120</v>
      </c>
      <c r="B11">
        <f>COUNTIF(Benchmarking!$C$4:$C$725,"Commercial Services &amp; Supplies")</f>
        <v>7</v>
      </c>
      <c r="C11" s="18">
        <f>AVERAGEIF(Benchmarking!$C$4:$C$725,"Commercial Services &amp; Supplies",Benchmarking!$D$4:$D$725)</f>
        <v>419.42857142857144</v>
      </c>
      <c r="D11" s="18">
        <f>AVERAGEIF(Benchmarking!$C$4:$C$725,"Commercial Services &amp; Supplies",Benchmarking!$E$4:$E$725)</f>
        <v>301.28571428571428</v>
      </c>
      <c r="E11" s="18">
        <f>AVERAGEIF(Benchmarking!$C$4:$C$725,"Commercial Services &amp; Supplies",Benchmarking!$F$4:$F$725)</f>
        <v>275.14285714285717</v>
      </c>
      <c r="F11" s="18">
        <f>AVERAGEIF(Benchmarking!$C$4:$C$725,"Commercial Services &amp; Supplies",Benchmarking!$G$4:$G$725)</f>
        <v>995.85714285714289</v>
      </c>
      <c r="G11" s="18">
        <f t="array" ref="G11">MAX(IF(Benchmarking!$C$4:$C$725="Commercial Services &amp; Supplies",Benchmarking!$G$4:$G$725))</f>
        <v>1306</v>
      </c>
      <c r="H11" s="18">
        <f t="array" ref="H11">MIN(IF(Benchmarking!$C$4:$C$725="Commercial Services &amp; Supplies",Benchmarking!$G$4:$G$725))</f>
        <v>679</v>
      </c>
      <c r="I11" t="str">
        <f t="shared" si="0"/>
        <v>Small sample</v>
      </c>
      <c r="J11">
        <f t="shared" si="1"/>
        <v>995.85813185714289</v>
      </c>
    </row>
    <row r="12" spans="1:10" ht="15" customHeight="1" x14ac:dyDescent="0.35">
      <c r="A12" t="s">
        <v>81</v>
      </c>
      <c r="B12">
        <f>COUNTIF(Benchmarking!$C$4:$C$725,"Communications")</f>
        <v>9</v>
      </c>
      <c r="C12" s="18">
        <f>AVERAGEIF(Benchmarking!$C$4:$C$725,"Communications",Benchmarking!$D$4:$D$725)</f>
        <v>385</v>
      </c>
      <c r="D12" s="18">
        <f>AVERAGEIF(Benchmarking!$C$4:$C$725,"Communications",Benchmarking!$E$4:$E$725)</f>
        <v>278.77777777777777</v>
      </c>
      <c r="E12" s="18">
        <f>AVERAGEIF(Benchmarking!$C$4:$C$725,"Communications",Benchmarking!$F$4:$F$725)</f>
        <v>274.44444444444446</v>
      </c>
      <c r="F12" s="18">
        <f>AVERAGEIF(Benchmarking!$C$4:$C$725,"Communications",Benchmarking!$G$4:$G$725)</f>
        <v>938.22222222222217</v>
      </c>
      <c r="G12" s="18">
        <f t="array" ref="G12">MAX(IF(Benchmarking!$C$4:$C$725="Communications",Benchmarking!$G$4:$G$725))</f>
        <v>1157</v>
      </c>
      <c r="H12" s="18">
        <f t="array" ref="H12">MIN(IF(Benchmarking!$C$4:$C$725="Communications",Benchmarking!$G$4:$G$725))</f>
        <v>636</v>
      </c>
      <c r="I12" t="str">
        <f t="shared" si="0"/>
        <v>Small sample</v>
      </c>
      <c r="J12">
        <f t="shared" si="1"/>
        <v>938.22321022222218</v>
      </c>
    </row>
    <row r="13" spans="1:10" ht="15" customHeight="1" x14ac:dyDescent="0.35">
      <c r="A13" t="s">
        <v>1524</v>
      </c>
      <c r="B13">
        <f>COUNTIF(Benchmarking!$C$4:$C$725,"Construction")</f>
        <v>6</v>
      </c>
      <c r="C13" s="18">
        <f>AVERAGEIF(Benchmarking!$C$4:$C$725,"Construction",Benchmarking!$D$4:$D$725)</f>
        <v>495.33333333333331</v>
      </c>
      <c r="D13" s="18">
        <f>AVERAGEIF(Benchmarking!$C$4:$C$725,"Construction",Benchmarking!$E$4:$E$725)</f>
        <v>306.16666666666669</v>
      </c>
      <c r="E13" s="18">
        <f>AVERAGEIF(Benchmarking!$C$4:$C$725,"Construction",Benchmarking!$F$4:$F$725)</f>
        <v>281.16666666666669</v>
      </c>
      <c r="F13" s="18">
        <f>AVERAGEIF(Benchmarking!$C$4:$C$725,"Construction",Benchmarking!$G$4:$G$725)</f>
        <v>1082.6666666666667</v>
      </c>
      <c r="G13" s="18">
        <f t="array" ref="G13">MAX(IF(Benchmarking!$C$4:$C$725="Construction",Benchmarking!$G$4:$G$725))</f>
        <v>1256</v>
      </c>
      <c r="H13" s="18">
        <f t="array" ref="H13">MIN(IF(Benchmarking!$C$4:$C$725="Construction",Benchmarking!$G$4:$G$725))</f>
        <v>600</v>
      </c>
      <c r="I13" t="str">
        <f t="shared" si="0"/>
        <v>Small sample</v>
      </c>
      <c r="J13">
        <f t="shared" si="1"/>
        <v>1082.6676536666666</v>
      </c>
    </row>
    <row r="14" spans="1:10" ht="15" customHeight="1" x14ac:dyDescent="0.35">
      <c r="A14" t="s">
        <v>46</v>
      </c>
      <c r="B14">
        <f>COUNTIF(Benchmarking!$C$4:$C$725,"Consumer products")</f>
        <v>20</v>
      </c>
      <c r="C14" s="18">
        <f>AVERAGEIF(Benchmarking!$C$4:$C$725,"Consumer products",Benchmarking!$D$4:$D$725)</f>
        <v>384.9</v>
      </c>
      <c r="D14" s="18">
        <f>AVERAGEIF(Benchmarking!$C$4:$C$725,"Consumer products",Benchmarking!$E$4:$E$725)</f>
        <v>285.7</v>
      </c>
      <c r="E14" s="18">
        <f>AVERAGEIF(Benchmarking!$C$4:$C$725,"Consumer products",Benchmarking!$F$4:$F$725)</f>
        <v>274.95</v>
      </c>
      <c r="F14" s="18">
        <f>AVERAGEIF(Benchmarking!$C$4:$C$725,"Consumer products",Benchmarking!$G$4:$G$725)</f>
        <v>945.55</v>
      </c>
      <c r="G14" s="18">
        <f t="array" ref="G14">MAX(IF(Benchmarking!$C$4:$C$725="Consumer products",Benchmarking!$G$4:$G$725))</f>
        <v>1292</v>
      </c>
      <c r="H14" s="18">
        <f t="array" ref="H14">MIN(IF(Benchmarking!$C$4:$C$725="Consumer products",Benchmarking!$G$4:$G$725))</f>
        <v>647</v>
      </c>
      <c r="I14" t="str">
        <f t="shared" si="0"/>
        <v>Large sample</v>
      </c>
      <c r="J14">
        <f t="shared" si="1"/>
        <v>945.55098599999997</v>
      </c>
    </row>
    <row r="15" spans="1:10" ht="15" customHeight="1" x14ac:dyDescent="0.35">
      <c r="A15" t="s">
        <v>709</v>
      </c>
      <c r="B15">
        <f>COUNTIF(Benchmarking!$C$4:$C$725,"Distributors")</f>
        <v>3</v>
      </c>
      <c r="C15" s="18">
        <f>AVERAGEIF(Benchmarking!$C$4:$C$725,"Distributors",Benchmarking!$D$4:$D$725)</f>
        <v>525</v>
      </c>
      <c r="D15" s="18">
        <f>AVERAGEIF(Benchmarking!$C$4:$C$725,"Distributors",Benchmarking!$E$4:$E$725)</f>
        <v>277</v>
      </c>
      <c r="E15" s="18">
        <f>AVERAGEIF(Benchmarking!$C$4:$C$725,"Distributors",Benchmarking!$F$4:$F$725)</f>
        <v>307.66666666666669</v>
      </c>
      <c r="F15" s="18">
        <f>AVERAGEIF(Benchmarking!$C$4:$C$725,"Distributors",Benchmarking!$G$4:$G$725)</f>
        <v>1109.6666666666667</v>
      </c>
      <c r="G15" s="18">
        <f t="array" ref="G15">MAX(IF(Benchmarking!$C$4:$C$725="Distributors",Benchmarking!$G$4:$G$725))</f>
        <v>1144</v>
      </c>
      <c r="H15" s="18">
        <f t="array" ref="H15">MIN(IF(Benchmarking!$C$4:$C$725="Distributors",Benchmarking!$G$4:$G$725))</f>
        <v>1065</v>
      </c>
      <c r="I15" t="str">
        <f t="shared" si="0"/>
        <v>Small sample</v>
      </c>
      <c r="J15">
        <f t="shared" si="1"/>
        <v>1109.6676516666666</v>
      </c>
    </row>
    <row r="16" spans="1:10" ht="15" customHeight="1" x14ac:dyDescent="0.35">
      <c r="A16" t="s">
        <v>66</v>
      </c>
      <c r="B16">
        <f>COUNTIF(Benchmarking!$C$4:$C$725,"Diversified Consumer Services")</f>
        <v>3</v>
      </c>
      <c r="C16" s="18">
        <f>AVERAGEIF(Benchmarking!$C$4:$C$725,"Diversified Consumer Services",Benchmarking!$D$4:$D$725)</f>
        <v>286</v>
      </c>
      <c r="D16" s="18">
        <f>AVERAGEIF(Benchmarking!$C$4:$C$725,"Diversified Consumer Services",Benchmarking!$E$4:$E$725)</f>
        <v>233.33333333333334</v>
      </c>
      <c r="E16" s="18">
        <f>AVERAGEIF(Benchmarking!$C$4:$C$725,"Diversified Consumer Services",Benchmarking!$F$4:$F$725)</f>
        <v>220</v>
      </c>
      <c r="F16" s="18">
        <f>AVERAGEIF(Benchmarking!$C$4:$C$725,"Diversified Consumer Services",Benchmarking!$G$4:$G$725)</f>
        <v>739.33333333333337</v>
      </c>
      <c r="G16" s="18">
        <f t="array" ref="G16">MAX(IF(Benchmarking!$C$4:$C$725="Diversified Consumer Services",Benchmarking!$G$4:$G$725))</f>
        <v>912</v>
      </c>
      <c r="H16" s="18">
        <f t="array" ref="H16">MIN(IF(Benchmarking!$C$4:$C$725="Diversified Consumer Services",Benchmarking!$G$4:$G$725))</f>
        <v>608</v>
      </c>
      <c r="I16" t="str">
        <f t="shared" si="0"/>
        <v>Small sample</v>
      </c>
      <c r="J16">
        <f t="shared" si="1"/>
        <v>739.33431733333339</v>
      </c>
    </row>
    <row r="17" spans="1:10" ht="15" customHeight="1" x14ac:dyDescent="0.35">
      <c r="A17" t="s">
        <v>96</v>
      </c>
      <c r="B17">
        <f>COUNTIF(Benchmarking!$C$4:$C$725,"Electrical Equipment")</f>
        <v>27</v>
      </c>
      <c r="C17" s="18">
        <f>AVERAGEIF(Benchmarking!$C$4:$C$725,"Electrical Equipment",Benchmarking!$D$4:$D$725)</f>
        <v>381.7037037037037</v>
      </c>
      <c r="D17" s="18">
        <f>AVERAGEIF(Benchmarking!$C$4:$C$725,"Electrical Equipment",Benchmarking!$E$4:$E$725)</f>
        <v>272.11111111111109</v>
      </c>
      <c r="E17" s="18">
        <f>AVERAGEIF(Benchmarking!$C$4:$C$725,"Electrical Equipment",Benchmarking!$F$4:$F$725)</f>
        <v>279.18518518518516</v>
      </c>
      <c r="F17" s="18">
        <f>AVERAGEIF(Benchmarking!$C$4:$C$725,"Electrical Equipment",Benchmarking!$G$4:$G$725)</f>
        <v>933</v>
      </c>
      <c r="G17" s="18">
        <f t="array" ref="G17">MAX(IF(Benchmarking!$C$4:$C$725="Electrical Equipment",Benchmarking!$G$4:$G$725))</f>
        <v>1290</v>
      </c>
      <c r="H17" s="18">
        <f t="array" ref="H17">MIN(IF(Benchmarking!$C$4:$C$725="Electrical Equipment",Benchmarking!$G$4:$G$725))</f>
        <v>600</v>
      </c>
      <c r="I17" t="str">
        <f t="shared" si="0"/>
        <v>Large sample</v>
      </c>
      <c r="J17">
        <f t="shared" si="1"/>
        <v>933.00098300000002</v>
      </c>
    </row>
    <row r="18" spans="1:10" ht="15" customHeight="1" x14ac:dyDescent="0.35">
      <c r="A18" t="s">
        <v>607</v>
      </c>
      <c r="B18">
        <f>COUNTIF(Benchmarking!$C$4:$C$725,"Energy")</f>
        <v>21</v>
      </c>
      <c r="C18" s="18">
        <f>AVERAGEIF(Benchmarking!$C$4:$C$725,"Energy",Benchmarking!$D$4:$D$725)</f>
        <v>515.09523809523807</v>
      </c>
      <c r="D18" s="18">
        <f>AVERAGEIF(Benchmarking!$C$4:$C$725,"Energy",Benchmarking!$E$4:$E$725)</f>
        <v>308.95238095238096</v>
      </c>
      <c r="E18" s="18">
        <f>AVERAGEIF(Benchmarking!$C$4:$C$725,"Energy",Benchmarking!$F$4:$F$725)</f>
        <v>293.71428571428572</v>
      </c>
      <c r="F18" s="18">
        <f>AVERAGEIF(Benchmarking!$C$4:$C$725,"Energy",Benchmarking!$G$4:$G$725)</f>
        <v>1117.7619047619048</v>
      </c>
      <c r="G18" s="18">
        <f t="array" ref="G18">MAX(IF(Benchmarking!$C$4:$C$725="Energy",Benchmarking!$G$4:$G$725))</f>
        <v>1536</v>
      </c>
      <c r="H18" s="18">
        <f t="array" ref="H18">MIN(IF(Benchmarking!$C$4:$C$725="Energy",Benchmarking!$G$4:$G$725))</f>
        <v>637</v>
      </c>
      <c r="I18" t="str">
        <f t="shared" si="0"/>
        <v>Large sample</v>
      </c>
      <c r="J18">
        <f t="shared" si="1"/>
        <v>1117.7628867619048</v>
      </c>
    </row>
    <row r="19" spans="1:10" ht="15" customHeight="1" x14ac:dyDescent="0.35">
      <c r="A19" t="s">
        <v>224</v>
      </c>
      <c r="B19">
        <f>COUNTIF(Benchmarking!$C$4:$C$725,"Financial Services")</f>
        <v>33</v>
      </c>
      <c r="C19" s="18">
        <f>AVERAGEIF(Benchmarking!$C$4:$C$725,"Financial Services",Benchmarking!$D$4:$D$725)</f>
        <v>367.63636363636363</v>
      </c>
      <c r="D19" s="18">
        <f>AVERAGEIF(Benchmarking!$C$4:$C$725,"Financial Services",Benchmarking!$E$4:$E$725)</f>
        <v>276.45454545454544</v>
      </c>
      <c r="E19" s="18">
        <f>AVERAGEIF(Benchmarking!$C$4:$C$725,"Financial Services",Benchmarking!$F$4:$F$725)</f>
        <v>265.24242424242425</v>
      </c>
      <c r="F19" s="18">
        <f>AVERAGEIF(Benchmarking!$C$4:$C$725,"Financial Services",Benchmarking!$G$4:$G$725)</f>
        <v>909.33333333333337</v>
      </c>
      <c r="G19" s="18">
        <f t="array" ref="G19">MAX(IF(Benchmarking!$C$4:$C$725="Financial Services",Benchmarking!$G$4:$G$725))</f>
        <v>1262</v>
      </c>
      <c r="H19" s="18">
        <f t="array" ref="H19">MIN(IF(Benchmarking!$C$4:$C$725="Financial Services",Benchmarking!$G$4:$G$725))</f>
        <v>610</v>
      </c>
      <c r="I19" t="str">
        <f t="shared" si="0"/>
        <v>Large sample</v>
      </c>
      <c r="J19">
        <f t="shared" si="1"/>
        <v>909.3343143333334</v>
      </c>
    </row>
    <row r="20" spans="1:10" ht="15" customHeight="1" x14ac:dyDescent="0.35">
      <c r="A20" t="s">
        <v>415</v>
      </c>
      <c r="B20">
        <f>COUNTIF(Benchmarking!$C$4:$C$725,"Food Products")</f>
        <v>14</v>
      </c>
      <c r="C20" s="18">
        <f>AVERAGEIF(Benchmarking!$C$4:$C$725,"Food Products",Benchmarking!$D$4:$D$725)</f>
        <v>516.57142857142856</v>
      </c>
      <c r="D20" s="18">
        <f>AVERAGEIF(Benchmarking!$C$4:$C$725,"Food Products",Benchmarking!$E$4:$E$725)</f>
        <v>311.28571428571428</v>
      </c>
      <c r="E20" s="18">
        <f>AVERAGEIF(Benchmarking!$C$4:$C$725,"Food Products",Benchmarking!$F$4:$F$725)</f>
        <v>303.21428571428572</v>
      </c>
      <c r="F20" s="18">
        <f>AVERAGEIF(Benchmarking!$C$4:$C$725,"Food Products",Benchmarking!$G$4:$G$725)</f>
        <v>1131.0714285714287</v>
      </c>
      <c r="G20" s="18">
        <f t="array" ref="G20">MAX(IF(Benchmarking!$C$4:$C$725="Food Products",Benchmarking!$G$4:$G$725))</f>
        <v>1276</v>
      </c>
      <c r="H20" s="18">
        <f t="array" ref="H20">MIN(IF(Benchmarking!$C$4:$C$725="Food Products",Benchmarking!$G$4:$G$725))</f>
        <v>901</v>
      </c>
      <c r="I20" t="str">
        <f t="shared" si="0"/>
        <v>Medium sample</v>
      </c>
      <c r="J20">
        <f t="shared" si="1"/>
        <v>1131.0724085714287</v>
      </c>
    </row>
    <row r="21" spans="1:10" ht="15" customHeight="1" x14ac:dyDescent="0.35">
      <c r="A21" t="s">
        <v>124</v>
      </c>
      <c r="B21">
        <f>COUNTIF(Benchmarking!$C$4:$C$725,"Health Care")</f>
        <v>51</v>
      </c>
      <c r="C21" s="18">
        <f>AVERAGEIF(Benchmarking!$C$4:$C$725,"Health Care",Benchmarking!$D$4:$D$725)</f>
        <v>374.52941176470586</v>
      </c>
      <c r="D21" s="18">
        <f>AVERAGEIF(Benchmarking!$C$4:$C$725,"Health Care",Benchmarking!$E$4:$E$725)</f>
        <v>287.43137254901961</v>
      </c>
      <c r="E21" s="18">
        <f>AVERAGEIF(Benchmarking!$C$4:$C$725,"Health Care",Benchmarking!$F$4:$F$725)</f>
        <v>276.80392156862746</v>
      </c>
      <c r="F21" s="18">
        <f>AVERAGEIF(Benchmarking!$C$4:$C$725,"Health Care",Benchmarking!$G$4:$G$725)</f>
        <v>938.76470588235293</v>
      </c>
      <c r="G21" s="18">
        <f t="array" ref="G21">MAX(IF(Benchmarking!$C$4:$C$725="Health Care",Benchmarking!$G$4:$G$725))</f>
        <v>1306</v>
      </c>
      <c r="H21" s="18">
        <f t="array" ref="H21">MIN(IF(Benchmarking!$C$4:$C$725="Health Care",Benchmarking!$G$4:$G$725))</f>
        <v>600</v>
      </c>
      <c r="I21" t="str">
        <f t="shared" si="0"/>
        <v>Large sample</v>
      </c>
      <c r="J21">
        <f t="shared" si="1"/>
        <v>938.76568488235296</v>
      </c>
    </row>
    <row r="22" spans="1:10" ht="15" customHeight="1" x14ac:dyDescent="0.35">
      <c r="A22" t="s">
        <v>3121</v>
      </c>
      <c r="B22">
        <f>COUNTIF(Benchmarking!$C$4:$C$725,"Hotels Restaurants &amp; Leisure")</f>
        <v>22</v>
      </c>
      <c r="C22" s="18">
        <f>AVERAGEIF(Benchmarking!$C$4:$C$725,"Hotels Restaurants &amp; Leisure",Benchmarking!$D$4:$D$725)</f>
        <v>374.63636363636363</v>
      </c>
      <c r="D22" s="18">
        <f>AVERAGEIF(Benchmarking!$C$4:$C$725,"Hotels Restaurants &amp; Leisure",Benchmarking!$E$4:$E$725)</f>
        <v>283.04545454545456</v>
      </c>
      <c r="E22" s="18">
        <f>AVERAGEIF(Benchmarking!$C$4:$C$725,"Hotels Restaurants &amp; Leisure",Benchmarking!$F$4:$F$725)</f>
        <v>261.18181818181819</v>
      </c>
      <c r="F22" s="18">
        <f>AVERAGEIF(Benchmarking!$C$4:$C$725,"Hotels Restaurants &amp; Leisure",Benchmarking!$G$4:$G$725)</f>
        <v>918.86363636363637</v>
      </c>
      <c r="G22" s="18">
        <f t="array" ref="G22">MAX(IF(Benchmarking!$C$4:$C$725="Hotels Restaurants &amp; Leisure",Benchmarking!$G$4:$G$725))</f>
        <v>1475</v>
      </c>
      <c r="H22" s="18">
        <f t="array" ref="H22">MIN(IF(Benchmarking!$C$4:$C$725="Hotels Restaurants &amp; Leisure",Benchmarking!$G$4:$G$725))</f>
        <v>600</v>
      </c>
      <c r="I22" t="str">
        <f t="shared" si="0"/>
        <v>Large sample</v>
      </c>
      <c r="J22">
        <f t="shared" si="1"/>
        <v>918.86461436363641</v>
      </c>
    </row>
    <row r="23" spans="1:10" ht="15" customHeight="1" x14ac:dyDescent="0.35">
      <c r="A23" t="s">
        <v>2873</v>
      </c>
      <c r="B23">
        <f>COUNTIF(Benchmarking!$C$4:$C$725,"Hotels, Restaurants &amp; Leisure")</f>
        <v>2</v>
      </c>
      <c r="C23" s="18">
        <f>AVERAGEIF(Benchmarking!$C$4:$C$725,"Hotels, Restaurants &amp; Leisure",Benchmarking!$D$4:$D$725)</f>
        <v>270</v>
      </c>
      <c r="D23" s="18">
        <f>AVERAGEIF(Benchmarking!$C$4:$C$725,"Hotels, Restaurants &amp; Leisure",Benchmarking!$E$4:$E$725)</f>
        <v>248.5</v>
      </c>
      <c r="E23" s="18">
        <f>AVERAGEIF(Benchmarking!$C$4:$C$725,"Hotels, Restaurants &amp; Leisure",Benchmarking!$F$4:$F$725)</f>
        <v>227.5</v>
      </c>
      <c r="F23" s="18">
        <f>AVERAGEIF(Benchmarking!$C$4:$C$725,"Hotels, Restaurants &amp; Leisure",Benchmarking!$G$4:$G$725)</f>
        <v>746</v>
      </c>
      <c r="G23" s="18">
        <f t="array" ref="G23">MAX(IF(Benchmarking!$C$4:$C$725="Hotels, Restaurants &amp; Leisure",Benchmarking!$G$4:$G$725))</f>
        <v>843</v>
      </c>
      <c r="H23" s="18">
        <f t="array" ref="H23">MIN(IF(Benchmarking!$C$4:$C$725="Hotels, Restaurants &amp; Leisure",Benchmarking!$G$4:$G$725))</f>
        <v>649</v>
      </c>
      <c r="I23" t="str">
        <f t="shared" si="0"/>
        <v>Small sample</v>
      </c>
      <c r="J23">
        <f t="shared" si="1"/>
        <v>746.00097700000003</v>
      </c>
    </row>
    <row r="24" spans="1:10" ht="15" customHeight="1" x14ac:dyDescent="0.35">
      <c r="A24" t="s">
        <v>1907</v>
      </c>
      <c r="B24">
        <f>COUNTIF(Benchmarking!$C$4:$C$725,"Industrial Conglomerates")</f>
        <v>3</v>
      </c>
      <c r="C24" s="18">
        <f>AVERAGEIF(Benchmarking!$C$4:$C$725,"Industrial Conglomerates",Benchmarking!$D$4:$D$725)</f>
        <v>534.66666666666663</v>
      </c>
      <c r="D24" s="18">
        <f>AVERAGEIF(Benchmarking!$C$4:$C$725,"Industrial Conglomerates",Benchmarking!$E$4:$E$725)</f>
        <v>318</v>
      </c>
      <c r="E24" s="18">
        <f>AVERAGEIF(Benchmarking!$C$4:$C$725,"Industrial Conglomerates",Benchmarking!$F$4:$F$725)</f>
        <v>304.33333333333331</v>
      </c>
      <c r="F24" s="18">
        <f>AVERAGEIF(Benchmarking!$C$4:$C$725,"Industrial Conglomerates",Benchmarking!$G$4:$G$725)</f>
        <v>1157</v>
      </c>
      <c r="G24" s="18">
        <f t="array" ref="G24">MAX(IF(Benchmarking!$C$4:$C$725="Industrial Conglomerates",Benchmarking!$G$4:$G$725))</f>
        <v>1197</v>
      </c>
      <c r="H24" s="18">
        <f t="array" ref="H24">MIN(IF(Benchmarking!$C$4:$C$725="Industrial Conglomerates",Benchmarking!$G$4:$G$725))</f>
        <v>1133</v>
      </c>
      <c r="I24" t="str">
        <f t="shared" si="0"/>
        <v>Small sample</v>
      </c>
      <c r="J24">
        <f t="shared" si="1"/>
        <v>1157.000976</v>
      </c>
    </row>
    <row r="25" spans="1:10" ht="15" customHeight="1" x14ac:dyDescent="0.35">
      <c r="A25" t="s">
        <v>76</v>
      </c>
      <c r="B25">
        <f>COUNTIF(Benchmarking!$C$4:$C$725,"Insurance")</f>
        <v>27</v>
      </c>
      <c r="C25" s="18">
        <f>AVERAGEIF(Benchmarking!$C$4:$C$725,"Insurance",Benchmarking!$D$4:$D$725)</f>
        <v>425.25925925925924</v>
      </c>
      <c r="D25" s="18">
        <f>AVERAGEIF(Benchmarking!$C$4:$C$725,"Insurance",Benchmarking!$E$4:$E$725)</f>
        <v>295.66666666666669</v>
      </c>
      <c r="E25" s="18">
        <f>AVERAGEIF(Benchmarking!$C$4:$C$725,"Insurance",Benchmarking!$F$4:$F$725)</f>
        <v>291.44444444444446</v>
      </c>
      <c r="F25" s="18">
        <f>AVERAGEIF(Benchmarking!$C$4:$C$725,"Insurance",Benchmarking!$G$4:$G$725)</f>
        <v>1012.3703703703703</v>
      </c>
      <c r="G25" s="18">
        <f t="array" ref="G25">MAX(IF(Benchmarking!$C$4:$C$725="Insurance",Benchmarking!$G$4:$G$725))</f>
        <v>1300</v>
      </c>
      <c r="H25" s="18">
        <f t="array" ref="H25">MIN(IF(Benchmarking!$C$4:$C$725="Insurance",Benchmarking!$G$4:$G$725))</f>
        <v>668</v>
      </c>
      <c r="I25" t="str">
        <f t="shared" si="0"/>
        <v>Large sample</v>
      </c>
      <c r="J25">
        <f t="shared" si="1"/>
        <v>1012.3713453703704</v>
      </c>
    </row>
    <row r="26" spans="1:10" ht="15" customHeight="1" x14ac:dyDescent="0.35">
      <c r="A26" t="s">
        <v>2228</v>
      </c>
      <c r="B26">
        <f>COUNTIF(Benchmarking!$C$4:$C$725,"Leisure Products")</f>
        <v>3</v>
      </c>
      <c r="C26" s="18">
        <f>AVERAGEIF(Benchmarking!$C$4:$C$725,"Leisure Products",Benchmarking!$D$4:$D$725)</f>
        <v>252.33333333333334</v>
      </c>
      <c r="D26" s="18">
        <f>AVERAGEIF(Benchmarking!$C$4:$C$725,"Leisure Products",Benchmarking!$E$4:$E$725)</f>
        <v>259.33333333333331</v>
      </c>
      <c r="E26" s="18">
        <f>AVERAGEIF(Benchmarking!$C$4:$C$725,"Leisure Products",Benchmarking!$F$4:$F$725)</f>
        <v>268.33333333333331</v>
      </c>
      <c r="F26" s="18">
        <f>AVERAGEIF(Benchmarking!$C$4:$C$725,"Leisure Products",Benchmarking!$G$4:$G$725)</f>
        <v>780</v>
      </c>
      <c r="G26" s="18">
        <f t="array" ref="G26">MAX(IF(Benchmarking!$C$4:$C$725="Leisure Products",Benchmarking!$G$4:$G$725))</f>
        <v>856</v>
      </c>
      <c r="H26" s="18">
        <f t="array" ref="H26">MIN(IF(Benchmarking!$C$4:$C$725="Leisure Products",Benchmarking!$G$4:$G$725))</f>
        <v>657</v>
      </c>
      <c r="I26" t="str">
        <f t="shared" si="0"/>
        <v>Small sample</v>
      </c>
      <c r="J26">
        <f t="shared" si="1"/>
        <v>780.00097400000004</v>
      </c>
    </row>
    <row r="27" spans="1:10" ht="15" customHeight="1" x14ac:dyDescent="0.35">
      <c r="A27" t="s">
        <v>3122</v>
      </c>
      <c r="B27">
        <f>COUNTIF(Benchmarking!$C$4:$C$725,"Life Sciences Tools &amp; Services")</f>
        <v>16</v>
      </c>
      <c r="C27" s="18">
        <f>AVERAGEIF(Benchmarking!$C$4:$C$725,"Life Sciences Tools &amp; Services",Benchmarking!$D$4:$D$725)</f>
        <v>421.375</v>
      </c>
      <c r="D27" s="18">
        <f>AVERAGEIF(Benchmarking!$C$4:$C$725,"Life Sciences Tools &amp; Services",Benchmarking!$E$4:$E$725)</f>
        <v>294.5</v>
      </c>
      <c r="E27" s="18">
        <f>AVERAGEIF(Benchmarking!$C$4:$C$725,"Life Sciences Tools &amp; Services",Benchmarking!$F$4:$F$725)</f>
        <v>277.25</v>
      </c>
      <c r="F27" s="18">
        <f>AVERAGEIF(Benchmarking!$C$4:$C$725,"Life Sciences Tools &amp; Services",Benchmarking!$G$4:$G$725)</f>
        <v>993.125</v>
      </c>
      <c r="G27" s="18">
        <f t="array" ref="G27">MAX(IF(Benchmarking!$C$4:$C$725="Life Sciences Tools &amp; Services",Benchmarking!$G$4:$G$725))</f>
        <v>1259</v>
      </c>
      <c r="H27" s="18">
        <f t="array" ref="H27">MIN(IF(Benchmarking!$C$4:$C$725="Life Sciences Tools &amp; Services",Benchmarking!$G$4:$G$725))</f>
        <v>659</v>
      </c>
      <c r="I27" t="str">
        <f t="shared" si="0"/>
        <v>Medium sample</v>
      </c>
      <c r="J27">
        <f t="shared" si="1"/>
        <v>993.12597300000004</v>
      </c>
    </row>
    <row r="28" spans="1:10" ht="15" customHeight="1" x14ac:dyDescent="0.35">
      <c r="A28" t="s">
        <v>3123</v>
      </c>
      <c r="B28">
        <f>COUNTIF(Benchmarking!$C$4:$C$725,"Logistics &amp; Transportation")</f>
        <v>6</v>
      </c>
      <c r="C28" s="18">
        <f>AVERAGEIF(Benchmarking!$C$4:$C$725,"Logistics &amp; Transportation",Benchmarking!$D$4:$D$725)</f>
        <v>452.33333333333331</v>
      </c>
      <c r="D28" s="18">
        <f>AVERAGEIF(Benchmarking!$C$4:$C$725,"Logistics &amp; Transportation",Benchmarking!$E$4:$E$725)</f>
        <v>289.5</v>
      </c>
      <c r="E28" s="18">
        <f>AVERAGEIF(Benchmarking!$C$4:$C$725,"Logistics &amp; Transportation",Benchmarking!$F$4:$F$725)</f>
        <v>283.33333333333331</v>
      </c>
      <c r="F28" s="18">
        <f>AVERAGEIF(Benchmarking!$C$4:$C$725,"Logistics &amp; Transportation",Benchmarking!$G$4:$G$725)</f>
        <v>1025.1666666666667</v>
      </c>
      <c r="G28" s="18">
        <f t="array" ref="G28">MAX(IF(Benchmarking!$C$4:$C$725="Logistics &amp; Transportation",Benchmarking!$G$4:$G$725))</f>
        <v>1243</v>
      </c>
      <c r="H28" s="18">
        <f t="array" ref="H28">MIN(IF(Benchmarking!$C$4:$C$725="Logistics &amp; Transportation",Benchmarking!$G$4:$G$725))</f>
        <v>769</v>
      </c>
      <c r="I28" t="str">
        <f t="shared" si="0"/>
        <v>Small sample</v>
      </c>
      <c r="J28">
        <f t="shared" si="1"/>
        <v>1025.1676386666668</v>
      </c>
    </row>
    <row r="29" spans="1:10" ht="15" customHeight="1" x14ac:dyDescent="0.35">
      <c r="A29" t="s">
        <v>390</v>
      </c>
      <c r="B29">
        <f>COUNTIF(Benchmarking!$C$4:$C$725,"Machinery")</f>
        <v>21</v>
      </c>
      <c r="C29" s="18">
        <f>AVERAGEIF(Benchmarking!$C$4:$C$725,"Machinery",Benchmarking!$D$4:$D$725)</f>
        <v>459.57142857142856</v>
      </c>
      <c r="D29" s="18">
        <f>AVERAGEIF(Benchmarking!$C$4:$C$725,"Machinery",Benchmarking!$E$4:$E$725)</f>
        <v>313.66666666666669</v>
      </c>
      <c r="E29" s="18">
        <f>AVERAGEIF(Benchmarking!$C$4:$C$725,"Machinery",Benchmarking!$F$4:$F$725)</f>
        <v>274.8095238095238</v>
      </c>
      <c r="F29" s="18">
        <f>AVERAGEIF(Benchmarking!$C$4:$C$725,"Machinery",Benchmarking!$G$4:$G$725)</f>
        <v>1048.047619047619</v>
      </c>
      <c r="G29" s="18">
        <f t="array" ref="G29">MAX(IF(Benchmarking!$C$4:$C$725="Machinery",Benchmarking!$G$4:$G$725))</f>
        <v>1238</v>
      </c>
      <c r="H29" s="18">
        <f t="array" ref="H29">MIN(IF(Benchmarking!$C$4:$C$725="Machinery",Benchmarking!$G$4:$G$725))</f>
        <v>709</v>
      </c>
      <c r="I29" t="str">
        <f t="shared" si="0"/>
        <v>Large sample</v>
      </c>
      <c r="J29">
        <f t="shared" si="1"/>
        <v>1048.048590047619</v>
      </c>
    </row>
    <row r="30" spans="1:10" ht="15" customHeight="1" x14ac:dyDescent="0.35">
      <c r="A30" t="s">
        <v>2363</v>
      </c>
      <c r="B30">
        <f>COUNTIF(Benchmarking!$C$4:$C$725,"Marine")</f>
        <v>3</v>
      </c>
      <c r="C30" s="18">
        <f>AVERAGEIF(Benchmarking!$C$4:$C$725,"Marine",Benchmarking!$D$4:$D$725)</f>
        <v>305.33333333333331</v>
      </c>
      <c r="D30" s="18">
        <f>AVERAGEIF(Benchmarking!$C$4:$C$725,"Marine",Benchmarking!$E$4:$E$725)</f>
        <v>285</v>
      </c>
      <c r="E30" s="18">
        <f>AVERAGEIF(Benchmarking!$C$4:$C$725,"Marine",Benchmarking!$F$4:$F$725)</f>
        <v>275</v>
      </c>
      <c r="F30" s="18">
        <f>AVERAGEIF(Benchmarking!$C$4:$C$725,"Marine",Benchmarking!$G$4:$G$725)</f>
        <v>865.33333333333337</v>
      </c>
      <c r="G30" s="18">
        <f t="array" ref="G30">MAX(IF(Benchmarking!$C$4:$C$725="Marine",Benchmarking!$G$4:$G$725))</f>
        <v>1000</v>
      </c>
      <c r="H30" s="18">
        <f t="array" ref="H30">MIN(IF(Benchmarking!$C$4:$C$725="Marine",Benchmarking!$G$4:$G$725))</f>
        <v>646</v>
      </c>
      <c r="I30" t="str">
        <f t="shared" si="0"/>
        <v>Small sample</v>
      </c>
      <c r="J30">
        <f t="shared" si="1"/>
        <v>865.33430333333342</v>
      </c>
    </row>
    <row r="31" spans="1:10" ht="15" customHeight="1" x14ac:dyDescent="0.35">
      <c r="A31" t="s">
        <v>25</v>
      </c>
      <c r="B31">
        <f>COUNTIF(Benchmarking!$C$4:$C$725,"Media")</f>
        <v>23</v>
      </c>
      <c r="C31" s="18">
        <f>AVERAGEIF(Benchmarking!$C$4:$C$725,"Media",Benchmarking!$D$4:$D$725)</f>
        <v>346.91304347826087</v>
      </c>
      <c r="D31" s="18">
        <f>AVERAGEIF(Benchmarking!$C$4:$C$725,"Media",Benchmarking!$E$4:$E$725)</f>
        <v>313</v>
      </c>
      <c r="E31" s="18">
        <f>AVERAGEIF(Benchmarking!$C$4:$C$725,"Media",Benchmarking!$F$4:$F$725)</f>
        <v>275.3478260869565</v>
      </c>
      <c r="F31" s="18">
        <f>AVERAGEIF(Benchmarking!$C$4:$C$725,"Media",Benchmarking!$G$4:$G$725)</f>
        <v>935.26086956521738</v>
      </c>
      <c r="G31" s="18">
        <f t="array" ref="G31">MAX(IF(Benchmarking!$C$4:$C$725="Media",Benchmarking!$G$4:$G$725))</f>
        <v>1181</v>
      </c>
      <c r="H31" s="18">
        <f t="array" ref="H31">MIN(IF(Benchmarking!$C$4:$C$725="Media",Benchmarking!$G$4:$G$725))</f>
        <v>607</v>
      </c>
      <c r="I31" t="str">
        <f t="shared" si="0"/>
        <v>Large sample</v>
      </c>
      <c r="J31">
        <f t="shared" si="1"/>
        <v>935.26183856521743</v>
      </c>
    </row>
    <row r="32" spans="1:10" ht="15" customHeight="1" x14ac:dyDescent="0.35">
      <c r="A32" t="s">
        <v>2890</v>
      </c>
      <c r="B32">
        <f>COUNTIF(Benchmarking!$C$4:$C$725,"Metals &amp; Mining")</f>
        <v>10</v>
      </c>
      <c r="C32" s="18">
        <f>AVERAGEIF(Benchmarking!$C$4:$C$725,"Metals &amp; Mining",Benchmarking!$D$4:$D$725)</f>
        <v>427.3</v>
      </c>
      <c r="D32" s="18">
        <f>AVERAGEIF(Benchmarking!$C$4:$C$725,"Metals &amp; Mining",Benchmarking!$E$4:$E$725)</f>
        <v>289.2</v>
      </c>
      <c r="E32" s="18">
        <f>AVERAGEIF(Benchmarking!$C$4:$C$725,"Metals &amp; Mining",Benchmarking!$F$4:$F$725)</f>
        <v>270.5</v>
      </c>
      <c r="F32" s="18">
        <f>AVERAGEIF(Benchmarking!$C$4:$C$725,"Metals &amp; Mining",Benchmarking!$G$4:$G$725)</f>
        <v>987</v>
      </c>
      <c r="G32" s="18">
        <f t="array" ref="G32">MAX(IF(Benchmarking!$C$4:$C$725="Metals &amp; Mining",Benchmarking!$G$4:$G$725))</f>
        <v>1419</v>
      </c>
      <c r="H32" s="18">
        <f t="array" ref="H32">MIN(IF(Benchmarking!$C$4:$C$725="Metals &amp; Mining",Benchmarking!$G$4:$G$725))</f>
        <v>615</v>
      </c>
      <c r="I32" t="str">
        <f t="shared" si="0"/>
        <v>Medium sample</v>
      </c>
      <c r="J32">
        <f t="shared" si="1"/>
        <v>987.00096799999994</v>
      </c>
    </row>
    <row r="33" spans="1:10" ht="15" customHeight="1" x14ac:dyDescent="0.35">
      <c r="A33" t="s">
        <v>1096</v>
      </c>
      <c r="B33">
        <f>COUNTIF(Benchmarking!$C$4:$C$725,"Packaging")</f>
        <v>4</v>
      </c>
      <c r="C33" s="18">
        <f>AVERAGEIF(Benchmarking!$C$4:$C$725,"Packaging",Benchmarking!$D$4:$D$725)</f>
        <v>536.25</v>
      </c>
      <c r="D33" s="18">
        <f>AVERAGEIF(Benchmarking!$C$4:$C$725,"Packaging",Benchmarking!$E$4:$E$725)</f>
        <v>323</v>
      </c>
      <c r="E33" s="18">
        <f>AVERAGEIF(Benchmarking!$C$4:$C$725,"Packaging",Benchmarking!$F$4:$F$725)</f>
        <v>296.75</v>
      </c>
      <c r="F33" s="18">
        <f>AVERAGEIF(Benchmarking!$C$4:$C$725,"Packaging",Benchmarking!$G$4:$G$725)</f>
        <v>1156</v>
      </c>
      <c r="G33" s="18">
        <f t="array" ref="G33">MAX(IF(Benchmarking!$C$4:$C$725="Packaging",Benchmarking!$G$4:$G$725))</f>
        <v>1207</v>
      </c>
      <c r="H33" s="18">
        <f t="array" ref="H33">MIN(IF(Benchmarking!$C$4:$C$725="Packaging",Benchmarking!$G$4:$G$725))</f>
        <v>1103</v>
      </c>
      <c r="I33" t="str">
        <f t="shared" si="0"/>
        <v>Small sample</v>
      </c>
      <c r="J33">
        <f t="shared" si="1"/>
        <v>1156.0009669999999</v>
      </c>
    </row>
    <row r="34" spans="1:10" ht="15" customHeight="1" x14ac:dyDescent="0.35">
      <c r="A34" t="s">
        <v>215</v>
      </c>
      <c r="B34">
        <f>COUNTIF(Benchmarking!$C$4:$C$725,"Pharmaceuticals")</f>
        <v>21</v>
      </c>
      <c r="C34" s="18">
        <f>AVERAGEIF(Benchmarking!$C$4:$C$725,"Pharmaceuticals",Benchmarking!$D$4:$D$725)</f>
        <v>360.04761904761904</v>
      </c>
      <c r="D34" s="18">
        <f>AVERAGEIF(Benchmarking!$C$4:$C$725,"Pharmaceuticals",Benchmarking!$E$4:$E$725)</f>
        <v>269.66666666666669</v>
      </c>
      <c r="E34" s="18">
        <f>AVERAGEIF(Benchmarking!$C$4:$C$725,"Pharmaceuticals",Benchmarking!$F$4:$F$725)</f>
        <v>273.95238095238096</v>
      </c>
      <c r="F34" s="18">
        <f>AVERAGEIF(Benchmarking!$C$4:$C$725,"Pharmaceuticals",Benchmarking!$G$4:$G$725)</f>
        <v>903.66666666666663</v>
      </c>
      <c r="G34" s="18">
        <f t="array" ref="G34">MAX(IF(Benchmarking!$C$4:$C$725="Pharmaceuticals",Benchmarking!$G$4:$G$725))</f>
        <v>1180</v>
      </c>
      <c r="H34" s="18">
        <f t="array" ref="H34">MIN(IF(Benchmarking!$C$4:$C$725="Pharmaceuticals",Benchmarking!$G$4:$G$725))</f>
        <v>645</v>
      </c>
      <c r="I34" t="str">
        <f t="shared" si="0"/>
        <v>Large sample</v>
      </c>
      <c r="J34">
        <f t="shared" si="1"/>
        <v>903.66763266666658</v>
      </c>
    </row>
    <row r="35" spans="1:10" ht="15" customHeight="1" x14ac:dyDescent="0.35">
      <c r="A35" t="s">
        <v>926</v>
      </c>
      <c r="B35">
        <f>COUNTIF(Benchmarking!$C$4:$C$725,"Professional Services")</f>
        <v>7</v>
      </c>
      <c r="C35" s="18">
        <f>AVERAGEIF(Benchmarking!$C$4:$C$725,"Professional Services",Benchmarking!$D$4:$D$725)</f>
        <v>435</v>
      </c>
      <c r="D35" s="18">
        <f>AVERAGEIF(Benchmarking!$C$4:$C$725,"Professional Services",Benchmarking!$E$4:$E$725)</f>
        <v>312.42857142857144</v>
      </c>
      <c r="E35" s="18">
        <f>AVERAGEIF(Benchmarking!$C$4:$C$725,"Professional Services",Benchmarking!$F$4:$F$725)</f>
        <v>300.42857142857144</v>
      </c>
      <c r="F35" s="18">
        <f>AVERAGEIF(Benchmarking!$C$4:$C$725,"Professional Services",Benchmarking!$G$4:$G$725)</f>
        <v>1047.8571428571429</v>
      </c>
      <c r="G35" s="18">
        <f t="array" ref="G35">MAX(IF(Benchmarking!$C$4:$C$725="Professional Services",Benchmarking!$G$4:$G$725))</f>
        <v>1281</v>
      </c>
      <c r="H35" s="18">
        <f t="array" ref="H35">MIN(IF(Benchmarking!$C$4:$C$725="Professional Services",Benchmarking!$G$4:$G$725))</f>
        <v>817</v>
      </c>
      <c r="I35" t="str">
        <f t="shared" si="0"/>
        <v>Small sample</v>
      </c>
      <c r="J35">
        <f t="shared" si="1"/>
        <v>1047.8581078571428</v>
      </c>
    </row>
    <row r="36" spans="1:10" ht="15" customHeight="1" x14ac:dyDescent="0.35">
      <c r="A36" t="s">
        <v>321</v>
      </c>
      <c r="B36">
        <f>COUNTIF(Benchmarking!$C$4:$C$725,"Real Estate")</f>
        <v>36</v>
      </c>
      <c r="C36" s="18">
        <f>AVERAGEIF(Benchmarking!$C$4:$C$725,"Real Estate",Benchmarking!$D$4:$D$725)</f>
        <v>431.38888888888891</v>
      </c>
      <c r="D36" s="18">
        <f>AVERAGEIF(Benchmarking!$C$4:$C$725,"Real Estate",Benchmarking!$E$4:$E$725)</f>
        <v>290.91666666666669</v>
      </c>
      <c r="E36" s="18">
        <f>AVERAGEIF(Benchmarking!$C$4:$C$725,"Real Estate",Benchmarking!$F$4:$F$725)</f>
        <v>273.63888888888891</v>
      </c>
      <c r="F36" s="18">
        <f>AVERAGEIF(Benchmarking!$C$4:$C$725,"Real Estate",Benchmarking!$G$4:$G$725)</f>
        <v>995.94444444444446</v>
      </c>
      <c r="G36" s="18">
        <f t="array" ref="G36">MAX(IF(Benchmarking!$C$4:$C$725="Real Estate",Benchmarking!$G$4:$G$725))</f>
        <v>1363</v>
      </c>
      <c r="H36" s="18">
        <f t="array" ref="H36">MIN(IF(Benchmarking!$C$4:$C$725="Real Estate",Benchmarking!$G$4:$G$725))</f>
        <v>609</v>
      </c>
      <c r="I36" t="str">
        <f t="shared" si="0"/>
        <v>Large sample</v>
      </c>
      <c r="J36">
        <f t="shared" si="1"/>
        <v>995.94540844444441</v>
      </c>
    </row>
    <row r="37" spans="1:10" ht="15" customHeight="1" x14ac:dyDescent="0.35">
      <c r="A37" t="s">
        <v>596</v>
      </c>
      <c r="B37">
        <f>COUNTIF(Benchmarking!$C$4:$C$725,"Retail")</f>
        <v>26</v>
      </c>
      <c r="C37" s="18">
        <f>AVERAGEIF(Benchmarking!$C$4:$C$725,"Retail",Benchmarking!$D$4:$D$725)</f>
        <v>380.30769230769232</v>
      </c>
      <c r="D37" s="18">
        <f>AVERAGEIF(Benchmarking!$C$4:$C$725,"Retail",Benchmarking!$E$4:$E$725)</f>
        <v>274.96153846153845</v>
      </c>
      <c r="E37" s="18">
        <f>AVERAGEIF(Benchmarking!$C$4:$C$725,"Retail",Benchmarking!$F$4:$F$725)</f>
        <v>263.30769230769232</v>
      </c>
      <c r="F37" s="18">
        <f>AVERAGEIF(Benchmarking!$C$4:$C$725,"Retail",Benchmarking!$G$4:$G$725)</f>
        <v>918.57692307692309</v>
      </c>
      <c r="G37" s="18">
        <f t="array" ref="G37">MAX(IF(Benchmarking!$C$4:$C$725="Retail",Benchmarking!$G$4:$G$725))</f>
        <v>1433</v>
      </c>
      <c r="H37" s="18">
        <f t="array" ref="H37">MIN(IF(Benchmarking!$C$4:$C$725="Retail",Benchmarking!$G$4:$G$725))</f>
        <v>618</v>
      </c>
      <c r="I37" t="str">
        <f t="shared" si="0"/>
        <v>Large sample</v>
      </c>
      <c r="J37">
        <f t="shared" si="1"/>
        <v>918.57788607692305</v>
      </c>
    </row>
    <row r="38" spans="1:10" ht="15" customHeight="1" x14ac:dyDescent="0.35">
      <c r="A38" t="s">
        <v>3124</v>
      </c>
      <c r="B38">
        <f>COUNTIF(Benchmarking!$C$4:$C$725,"Road &amp; Rail")</f>
        <v>6</v>
      </c>
      <c r="C38" s="18">
        <f>AVERAGEIF(Benchmarking!$C$4:$C$725,"Road &amp; Rail",Benchmarking!$D$4:$D$725)</f>
        <v>452.83333333333331</v>
      </c>
      <c r="D38" s="18">
        <f>AVERAGEIF(Benchmarking!$C$4:$C$725,"Road &amp; Rail",Benchmarking!$E$4:$E$725)</f>
        <v>326.33333333333331</v>
      </c>
      <c r="E38" s="18">
        <f>AVERAGEIF(Benchmarking!$C$4:$C$725,"Road &amp; Rail",Benchmarking!$F$4:$F$725)</f>
        <v>297.16666666666669</v>
      </c>
      <c r="F38" s="18">
        <f>AVERAGEIF(Benchmarking!$C$4:$C$725,"Road &amp; Rail",Benchmarking!$G$4:$G$725)</f>
        <v>1076.3333333333333</v>
      </c>
      <c r="G38" s="18">
        <f t="array" ref="G38">MAX(IF(Benchmarking!$C$4:$C$725="Road &amp; Rail",Benchmarking!$G$4:$G$725))</f>
        <v>1178</v>
      </c>
      <c r="H38" s="18">
        <f t="array" ref="H38">MIN(IF(Benchmarking!$C$4:$C$725="Road &amp; Rail",Benchmarking!$G$4:$G$725))</f>
        <v>792</v>
      </c>
      <c r="I38" t="str">
        <f t="shared" si="0"/>
        <v>Small sample</v>
      </c>
      <c r="J38">
        <f t="shared" si="1"/>
        <v>1076.3342953333333</v>
      </c>
    </row>
    <row r="39" spans="1:10" ht="15" customHeight="1" x14ac:dyDescent="0.35">
      <c r="A39" t="s">
        <v>189</v>
      </c>
      <c r="B39">
        <f>COUNTIF(Benchmarking!$C$4:$C$725,"Semiconductors")</f>
        <v>24</v>
      </c>
      <c r="C39" s="18">
        <f>AVERAGEIF(Benchmarking!$C$4:$C$725,"Semiconductors",Benchmarking!$D$4:$D$725)</f>
        <v>448.45833333333331</v>
      </c>
      <c r="D39" s="18">
        <f>AVERAGEIF(Benchmarking!$C$4:$C$725,"Semiconductors",Benchmarking!$E$4:$E$725)</f>
        <v>296.70833333333331</v>
      </c>
      <c r="E39" s="18">
        <f>AVERAGEIF(Benchmarking!$C$4:$C$725,"Semiconductors",Benchmarking!$F$4:$F$725)</f>
        <v>285.41666666666669</v>
      </c>
      <c r="F39" s="18">
        <f>AVERAGEIF(Benchmarking!$C$4:$C$725,"Semiconductors",Benchmarking!$G$4:$G$725)</f>
        <v>1030.5833333333333</v>
      </c>
      <c r="G39" s="18">
        <f t="array" ref="G39">MAX(IF(Benchmarking!$C$4:$C$725="Semiconductors",Benchmarking!$G$4:$G$725))</f>
        <v>1195</v>
      </c>
      <c r="H39" s="18">
        <f t="array" ref="H39">MIN(IF(Benchmarking!$C$4:$C$725="Semiconductors",Benchmarking!$G$4:$G$725))</f>
        <v>608</v>
      </c>
      <c r="I39" t="str">
        <f t="shared" si="0"/>
        <v>Large sample</v>
      </c>
      <c r="J39">
        <f t="shared" si="1"/>
        <v>1030.5842943333332</v>
      </c>
    </row>
    <row r="40" spans="1:10" ht="15" customHeight="1" x14ac:dyDescent="0.35">
      <c r="A40" t="s">
        <v>91</v>
      </c>
      <c r="B40">
        <f>COUNTIF(Benchmarking!$C$4:$C$725,"Technology")</f>
        <v>63</v>
      </c>
      <c r="C40" s="18">
        <f>AVERAGEIF(Benchmarking!$C$4:$C$725,"Technology",Benchmarking!$D$4:$D$725)</f>
        <v>438.11111111111109</v>
      </c>
      <c r="D40" s="18">
        <f>AVERAGEIF(Benchmarking!$C$4:$C$725,"Technology",Benchmarking!$E$4:$E$725)</f>
        <v>307.90476190476193</v>
      </c>
      <c r="E40" s="18">
        <f>AVERAGEIF(Benchmarking!$C$4:$C$725,"Technology",Benchmarking!$F$4:$F$725)</f>
        <v>285.30158730158729</v>
      </c>
      <c r="F40" s="18">
        <f>AVERAGEIF(Benchmarking!$C$4:$C$725,"Technology",Benchmarking!$G$4:$G$725)</f>
        <v>1031.3174603174602</v>
      </c>
      <c r="G40" s="18">
        <f t="array" ref="G40">MAX(IF(Benchmarking!$C$4:$C$725="Technology",Benchmarking!$G$4:$G$725))</f>
        <v>1533</v>
      </c>
      <c r="H40" s="18">
        <f t="array" ref="H40">MIN(IF(Benchmarking!$C$4:$C$725="Technology",Benchmarking!$G$4:$G$725))</f>
        <v>621</v>
      </c>
      <c r="I40" t="str">
        <f t="shared" si="0"/>
        <v>Large sample</v>
      </c>
      <c r="J40">
        <f t="shared" si="1"/>
        <v>1031.3184203174603</v>
      </c>
    </row>
    <row r="41" spans="1:10" ht="15" customHeight="1" x14ac:dyDescent="0.35">
      <c r="A41" t="s">
        <v>917</v>
      </c>
      <c r="B41">
        <f>COUNTIF(Benchmarking!$C$4:$C$725,"Telecommunication")</f>
        <v>3</v>
      </c>
      <c r="C41" s="18">
        <f>AVERAGEIF(Benchmarking!$C$4:$C$725,"Telecommunication",Benchmarking!$D$4:$D$725)</f>
        <v>362.33333333333331</v>
      </c>
      <c r="D41" s="18">
        <f>AVERAGEIF(Benchmarking!$C$4:$C$725,"Telecommunication",Benchmarking!$E$4:$E$725)</f>
        <v>286</v>
      </c>
      <c r="E41" s="18">
        <f>AVERAGEIF(Benchmarking!$C$4:$C$725,"Telecommunication",Benchmarking!$F$4:$F$725)</f>
        <v>280</v>
      </c>
      <c r="F41" s="18">
        <f>AVERAGEIF(Benchmarking!$C$4:$C$725,"Telecommunication",Benchmarking!$G$4:$G$725)</f>
        <v>928.33333333333337</v>
      </c>
      <c r="G41" s="18">
        <f t="array" ref="G41">MAX(IF(Benchmarking!$C$4:$C$725="Telecommunication",Benchmarking!$G$4:$G$725))</f>
        <v>1167</v>
      </c>
      <c r="H41" s="18">
        <f t="array" ref="H41">MIN(IF(Benchmarking!$C$4:$C$725="Telecommunication",Benchmarking!$G$4:$G$725))</f>
        <v>715</v>
      </c>
      <c r="I41" t="str">
        <f t="shared" si="0"/>
        <v>Small sample</v>
      </c>
      <c r="J41">
        <f t="shared" si="1"/>
        <v>928.33429233333334</v>
      </c>
    </row>
    <row r="42" spans="1:10" ht="15" customHeight="1" x14ac:dyDescent="0.35">
      <c r="A42" t="s">
        <v>3125</v>
      </c>
      <c r="B42">
        <f>COUNTIF(Benchmarking!$C$4:$C$725,"Textiles Apparel &amp; Luxury Goods")</f>
        <v>9</v>
      </c>
      <c r="C42" s="18">
        <f>AVERAGEIF(Benchmarking!$C$4:$C$725,"Textiles Apparel &amp; Luxury Goods",Benchmarking!$D$4:$D$725)</f>
        <v>382.11111111111109</v>
      </c>
      <c r="D42" s="18">
        <f>AVERAGEIF(Benchmarking!$C$4:$C$725,"Textiles Apparel &amp; Luxury Goods",Benchmarking!$E$4:$E$725)</f>
        <v>280</v>
      </c>
      <c r="E42" s="18">
        <f>AVERAGEIF(Benchmarking!$C$4:$C$725,"Textiles Apparel &amp; Luxury Goods",Benchmarking!$F$4:$F$725)</f>
        <v>282.33333333333331</v>
      </c>
      <c r="F42" s="18">
        <f>AVERAGEIF(Benchmarking!$C$4:$C$725,"Textiles Apparel &amp; Luxury Goods",Benchmarking!$G$4:$G$725)</f>
        <v>944.44444444444446</v>
      </c>
      <c r="G42" s="18">
        <f t="array" ref="G42">MAX(IF(Benchmarking!$C$4:$C$725="Textiles Apparel &amp; Luxury Goods",Benchmarking!$G$4:$G$725))</f>
        <v>1106</v>
      </c>
      <c r="H42" s="18">
        <f t="array" ref="H42">MIN(IF(Benchmarking!$C$4:$C$725="Textiles Apparel &amp; Luxury Goods",Benchmarking!$G$4:$G$725))</f>
        <v>621</v>
      </c>
      <c r="I42" t="str">
        <f t="shared" si="0"/>
        <v>Small sample</v>
      </c>
      <c r="J42">
        <f t="shared" si="1"/>
        <v>944.44540244444443</v>
      </c>
    </row>
    <row r="43" spans="1:10" ht="15" customHeight="1" x14ac:dyDescent="0.35">
      <c r="A43" t="s">
        <v>1382</v>
      </c>
      <c r="B43">
        <f>COUNTIF(Benchmarking!$C$4:$C$725,"Tobacco")</f>
        <v>2</v>
      </c>
      <c r="C43" s="18">
        <f>AVERAGEIF(Benchmarking!$C$4:$C$725,"Tobacco",Benchmarking!$D$4:$D$725)</f>
        <v>510</v>
      </c>
      <c r="D43" s="18">
        <f>AVERAGEIF(Benchmarking!$C$4:$C$725,"Tobacco",Benchmarking!$E$4:$E$725)</f>
        <v>327</v>
      </c>
      <c r="E43" s="18">
        <f>AVERAGEIF(Benchmarking!$C$4:$C$725,"Tobacco",Benchmarking!$F$4:$F$725)</f>
        <v>328</v>
      </c>
      <c r="F43" s="18">
        <f>AVERAGEIF(Benchmarking!$C$4:$C$725,"Tobacco",Benchmarking!$G$4:$G$725)</f>
        <v>1165</v>
      </c>
      <c r="G43" s="18">
        <f t="array" ref="G43">MAX(IF(Benchmarking!$C$4:$C$725="Tobacco",Benchmarking!$G$4:$G$725))</f>
        <v>1168</v>
      </c>
      <c r="H43" s="18">
        <f t="array" ref="H43">MIN(IF(Benchmarking!$C$4:$C$725="Tobacco",Benchmarking!$G$4:$G$725))</f>
        <v>1162</v>
      </c>
      <c r="I43" t="str">
        <f t="shared" si="0"/>
        <v>Small sample</v>
      </c>
      <c r="J43">
        <f t="shared" si="1"/>
        <v>1165.000957</v>
      </c>
    </row>
    <row r="44" spans="1:10" ht="15" customHeight="1" x14ac:dyDescent="0.35">
      <c r="A44" t="s">
        <v>3126</v>
      </c>
      <c r="B44">
        <f>COUNTIF(Benchmarking!$C$4:$C$725,"Trading Companies &amp; Distributors")</f>
        <v>5</v>
      </c>
      <c r="C44" s="18">
        <f>AVERAGEIF(Benchmarking!$C$4:$C$725,"Trading Companies &amp; Distributors",Benchmarking!$D$4:$D$725)</f>
        <v>332.8</v>
      </c>
      <c r="D44" s="18">
        <f>AVERAGEIF(Benchmarking!$C$4:$C$725,"Trading Companies &amp; Distributors",Benchmarking!$E$4:$E$725)</f>
        <v>302.39999999999998</v>
      </c>
      <c r="E44" s="18">
        <f>AVERAGEIF(Benchmarking!$C$4:$C$725,"Trading Companies &amp; Distributors",Benchmarking!$F$4:$F$725)</f>
        <v>250</v>
      </c>
      <c r="F44" s="18">
        <f>AVERAGEIF(Benchmarking!$C$4:$C$725,"Trading Companies &amp; Distributors",Benchmarking!$G$4:$G$725)</f>
        <v>885.2</v>
      </c>
      <c r="G44" s="18">
        <f t="array" ref="G44">MAX(IF(Benchmarking!$C$4:$C$725="Trading Companies &amp; Distributors",Benchmarking!$G$4:$G$725))</f>
        <v>1090</v>
      </c>
      <c r="H44" s="18">
        <f t="array" ref="H44">MIN(IF(Benchmarking!$C$4:$C$725="Trading Companies &amp; Distributors",Benchmarking!$G$4:$G$725))</f>
        <v>641</v>
      </c>
      <c r="I44" t="str">
        <f t="shared" si="0"/>
        <v>Small sample</v>
      </c>
      <c r="J44">
        <f t="shared" si="1"/>
        <v>885.20095600000002</v>
      </c>
    </row>
    <row r="45" spans="1:10" ht="15" customHeight="1" x14ac:dyDescent="0.35">
      <c r="A45" t="s">
        <v>330</v>
      </c>
      <c r="B45">
        <f>COUNTIF(Benchmarking!$C$4:$C$725,"Utilities")</f>
        <v>30</v>
      </c>
      <c r="C45" s="18">
        <f>AVERAGEIF(Benchmarking!$C$4:$C$725,"Utilities",Benchmarking!$D$4:$D$725)</f>
        <v>550.9666666666667</v>
      </c>
      <c r="D45" s="18">
        <f>AVERAGEIF(Benchmarking!$C$4:$C$725,"Utilities",Benchmarking!$E$4:$E$725)</f>
        <v>357.4</v>
      </c>
      <c r="E45" s="18">
        <f>AVERAGEIF(Benchmarking!$C$4:$C$725,"Utilities",Benchmarking!$F$4:$F$725)</f>
        <v>282.26666666666665</v>
      </c>
      <c r="F45" s="18">
        <f>AVERAGEIF(Benchmarking!$C$4:$C$725,"Utilities",Benchmarking!$G$4:$G$725)</f>
        <v>1190.6333333333334</v>
      </c>
      <c r="G45" s="18">
        <f t="array" ref="G45">MAX(IF(Benchmarking!$C$4:$C$725="Utilities",Benchmarking!$G$4:$G$725))</f>
        <v>1528</v>
      </c>
      <c r="H45" s="18">
        <f t="array" ref="H45">MIN(IF(Benchmarking!$C$4:$C$725="Utilities",Benchmarking!$G$4:$G$725))</f>
        <v>629</v>
      </c>
      <c r="I45" t="str">
        <f t="shared" si="0"/>
        <v>Large sample</v>
      </c>
      <c r="J45">
        <f t="shared" si="1"/>
        <v>1190.6342883333334</v>
      </c>
    </row>
    <row r="46" spans="1:10" ht="15" customHeight="1" x14ac:dyDescent="0.35">
      <c r="A46" t="s">
        <v>3127</v>
      </c>
      <c r="B46">
        <f>COUNTIF(Benchmarking!$C$4:$C$725,"Unclassified")</f>
        <v>13</v>
      </c>
      <c r="C46" s="18">
        <f>AVERAGEIF(Benchmarking!$C$4:$C$725,"Unclassified",Benchmarking!$D$4:$D$725)</f>
        <v>215.38461538461539</v>
      </c>
      <c r="D46" s="18">
        <f>AVERAGEIF(Benchmarking!$C$4:$C$725,"Unclassified",Benchmarking!$E$4:$E$725)</f>
        <v>231.15384615384616</v>
      </c>
      <c r="E46" s="18">
        <f>AVERAGEIF(Benchmarking!$C$4:$C$725,"Unclassified",Benchmarking!$F$4:$F$725)</f>
        <v>262.76923076923077</v>
      </c>
      <c r="F46" s="18">
        <f>AVERAGEIF(Benchmarking!$C$4:$C$725,"Unclassified",Benchmarking!$G$4:$G$725)</f>
        <v>709.30769230769226</v>
      </c>
      <c r="G46" s="18">
        <f t="array" ref="G46">MAX(IF(Benchmarking!$C$4:$C$725="Unclassified",Benchmarking!$G$4:$G$725))</f>
        <v>816</v>
      </c>
      <c r="H46" s="18">
        <f t="array" ref="H46">MIN(IF(Benchmarking!$C$4:$C$725="Unclassified",Benchmarking!$G$4:$G$725))</f>
        <v>600</v>
      </c>
      <c r="I46" t="str">
        <f t="shared" si="0"/>
        <v>Medium sample</v>
      </c>
      <c r="J46">
        <f t="shared" si="1"/>
        <v>709.30864630769224</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Benchmarking</vt:lpstr>
      <vt:lpstr>Pillar Analysis</vt:lpstr>
      <vt:lpstr>Rankings</vt:lpstr>
      <vt:lpstr>Dashboard</vt:lpstr>
      <vt:lpstr>Executive Summary</vt:lpstr>
      <vt:lpstr>Industry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Rana Aryaveer Rajeev Kumar</dc:creator>
  <dc:description/>
  <cp:lastModifiedBy>Rana Aryaveer Rajeev Kumar</cp:lastModifiedBy>
  <cp:revision>12</cp:revision>
  <dcterms:created xsi:type="dcterms:W3CDTF">2026-08-17T22:26:24Z</dcterms:created>
  <dcterms:modified xsi:type="dcterms:W3CDTF">2026-08-18T21:35:02Z</dcterms:modified>
  <dc:language>en-US</dc:language>
</cp:coreProperties>
</file>